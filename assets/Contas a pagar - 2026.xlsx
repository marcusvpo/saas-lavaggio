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 CEB  Caesb e IPTU" sheetId="1" r:id="rId4"/>
    <sheet state="visible" name="P. salários" sheetId="2" r:id="rId5"/>
    <sheet state="visible" name="13º" sheetId="3" r:id="rId6"/>
    <sheet state="visible" name="Janeiro" sheetId="4" r:id="rId7"/>
    <sheet state="visible" name="Fevereiro" sheetId="5" r:id="rId8"/>
  </sheets>
  <definedNames/>
  <calcPr/>
  <extLst>
    <ext uri="GoogleSheetsCustomDataVersion2">
      <go:sheetsCustomData xmlns:go="http://customooxmlschemas.google.com/" r:id="rId9" roundtripDataChecksum="BoXdhAkMBNXaoNbTOUxqEXo5XJvYM6UXmriJbKp2Y7c="/>
    </ext>
  </extLst>
</workbook>
</file>

<file path=xl/sharedStrings.xml><?xml version="1.0" encoding="utf-8"?>
<sst xmlns="http://schemas.openxmlformats.org/spreadsheetml/2006/main" count="979" uniqueCount="449">
  <si>
    <t>Local</t>
  </si>
  <si>
    <t>Neoenergia</t>
  </si>
  <si>
    <t>É possível alterar para o nosso nome?</t>
  </si>
  <si>
    <t>Caesb</t>
  </si>
  <si>
    <t>Ana Neri Machado Rolim</t>
  </si>
  <si>
    <t>Sim. Mudar para PF - Kananda</t>
  </si>
  <si>
    <t>Fiestaseco Serv. de Lavanderia</t>
  </si>
  <si>
    <t>Não. Não temos contrato de locação</t>
  </si>
  <si>
    <t>Eduardo de Souza e Albuquerque</t>
  </si>
  <si>
    <t>Lavanderia 307 Norte LTDA</t>
  </si>
  <si>
    <t>Tudo certo</t>
  </si>
  <si>
    <t>Processadora Lavasecco</t>
  </si>
  <si>
    <t>Foto Okiyama</t>
  </si>
  <si>
    <t>Mudar para nosso nome - PJ</t>
  </si>
  <si>
    <t>Lago Norte</t>
  </si>
  <si>
    <t>Não tem conta separada</t>
  </si>
  <si>
    <t>-</t>
  </si>
  <si>
    <t>Sudoeste</t>
  </si>
  <si>
    <t>Lavanderia Sudoeste LTDA</t>
  </si>
  <si>
    <t>Belaseco Serv. de Lavanderia</t>
  </si>
  <si>
    <t>Noroeste</t>
  </si>
  <si>
    <t>Henrique Alvares Distretti</t>
  </si>
  <si>
    <t>Não tem como mudar para PJ</t>
  </si>
  <si>
    <t>SOFN</t>
  </si>
  <si>
    <t>Rosa Maria de Sousa e Albuquerque</t>
  </si>
  <si>
    <t>Resumo</t>
  </si>
  <si>
    <t>Troca de titularidade solicitada</t>
  </si>
  <si>
    <t>Não há o que fazer. Não temos contrato de locação</t>
  </si>
  <si>
    <t>CPF/CNPJ</t>
  </si>
  <si>
    <t>51.653.949/0001-21</t>
  </si>
  <si>
    <t>Neoenergia (Cód. Instalação: 54849, Cód. cliente: 2895796-2) - Lavanderia 202 Norte LTDA</t>
  </si>
  <si>
    <t>Caesb (Inscrição: 19206-6) - Lavanderia 202N</t>
  </si>
  <si>
    <r>
      <rPr>
        <rFont val="Arial"/>
        <color rgb="FF1F1F1F"/>
        <sz val="10.0"/>
      </rPr>
      <t xml:space="preserve">707.671.141-91 / </t>
    </r>
    <r>
      <rPr>
        <rFont val="Arial"/>
        <color theme="1"/>
        <sz val="10.0"/>
      </rPr>
      <t>27.410.479/0001-90</t>
    </r>
  </si>
  <si>
    <t>Neoenergia (Cód. Instalação: 692755 Cód. cliente: 1830304-8) - Fiestaseco Serv. de Lavanderia</t>
  </si>
  <si>
    <t>Caesb (Inscrição: 388673-5) - Eduardo de Souza e Alburquerque</t>
  </si>
  <si>
    <t>Neoenergia (Cód. Instalação: 58492, Cód. cliente: 2813356-0) - Lavanderia 307 Norte LTDA</t>
  </si>
  <si>
    <t>Caesb (Inscrição: 17576-5) - Lavanderia 307N</t>
  </si>
  <si>
    <t>52.187.690/0001-33</t>
  </si>
  <si>
    <t>Neoenergia (Cód. Instalação: 77466, Cód. cliente: 2781842-X) - Proc.Lavasecco Serv. de Lavanderia</t>
  </si>
  <si>
    <t>Caesb (Inscrição: 18505-1) - Proc.Lavasecco Serv. de Lavanderia</t>
  </si>
  <si>
    <t>Neoenergia (Cód. Instalação: 1937, Cód. cliente: 2947943-6) - Lavanderia 307 Norte LTDA</t>
  </si>
  <si>
    <t>Caesb (Inscrição: 6174-3) - Lavanderia 307N</t>
  </si>
  <si>
    <t>Incluso no boleto</t>
  </si>
  <si>
    <t>51.603.450/0001-00</t>
  </si>
  <si>
    <t>Neoenergia (Cód. Instalação: 1327856, Cód. cliente: 2813362-5) - Lavanderia Sudoeste LTDA</t>
  </si>
  <si>
    <t>Caesb (Inscrição: 881603-4) - Lavanderia Sudoeste LTDA</t>
  </si>
  <si>
    <t>Neoenergia (Cód. Instalação: 1187242, Cód. cliente: 2844299-7) - Henrique Alvares Distretti</t>
  </si>
  <si>
    <t>Caesb (Inscrição: 689512-3) - Henrique Alvares Distretti</t>
  </si>
  <si>
    <t>040.354.531-53</t>
  </si>
  <si>
    <t>Neoenergia (Cód. Instalação: 728150, Cód. cliente: 3090211-8) - Lavanderia Sudoeste LTDA</t>
  </si>
  <si>
    <t>Caesb (Inscrição: 377365-5) - Lavanderia Sudoeste LTDA</t>
  </si>
  <si>
    <t>Neoenergia (Cód. Instalação: 728150, Cód. cliente: 3166250-1) - Elivaldina Fernandes Magalhães</t>
  </si>
  <si>
    <r>
      <rPr>
        <rFont val="Calibri"/>
        <b/>
        <color theme="1"/>
      </rPr>
      <t xml:space="preserve">CPF Rosa: </t>
    </r>
    <r>
      <rPr>
        <rFont val="Calibri"/>
        <color theme="1"/>
      </rPr>
      <t>040.354.531-53</t>
    </r>
  </si>
  <si>
    <r>
      <rPr>
        <rFont val="Calibri"/>
        <b/>
        <color theme="1"/>
      </rPr>
      <t>CPF Eduardo:</t>
    </r>
    <r>
      <rPr>
        <rFont val="Calibri"/>
        <color theme="1"/>
      </rPr>
      <t xml:space="preserve"> 707.671.141-91</t>
    </r>
  </si>
  <si>
    <r>
      <rPr>
        <rFont val="Calibri"/>
        <b/>
        <color theme="1"/>
      </rPr>
      <t>CPF Lucia Machado Gonçalves:</t>
    </r>
    <r>
      <rPr>
        <rFont val="Calibri"/>
        <color theme="1"/>
      </rPr>
      <t xml:space="preserve"> 185.182.901-63 (213 Norte)</t>
    </r>
  </si>
  <si>
    <t>CNPJ 202: 51.653.949/0001-21</t>
  </si>
  <si>
    <t>CNPJ 307: 51.654.046/0001-65</t>
  </si>
  <si>
    <t>CNPJ 313: 52.187.690/0001-33</t>
  </si>
  <si>
    <t>CNPJ Sudoeste: 51.603.450/0001-00</t>
  </si>
  <si>
    <t>CPF Henrique: 001.331.981-70</t>
  </si>
  <si>
    <t>CNPJ Fiestaseco: 27.410.479/0001-90</t>
  </si>
  <si>
    <t>CNPJ Belaseco: 27.549.918/0002-21</t>
  </si>
  <si>
    <t>CNPJ Processadora: 51.603.376/0001-21</t>
  </si>
  <si>
    <t>CPF Elivaldina: 552.086.901-44</t>
  </si>
  <si>
    <t>Relação IPTUs lojas</t>
  </si>
  <si>
    <t>Lojas</t>
  </si>
  <si>
    <t>Matrícula imóvel</t>
  </si>
  <si>
    <t>307 - loja 01</t>
  </si>
  <si>
    <t>Proprietário que paga</t>
  </si>
  <si>
    <t>307 - loja 11</t>
  </si>
  <si>
    <t>307 - loja 12</t>
  </si>
  <si>
    <t>*09180001 (em 2025 veio junto com o boleto do aluguel)</t>
  </si>
  <si>
    <t>Incluso no valor do aluguel</t>
  </si>
  <si>
    <t>Lago</t>
  </si>
  <si>
    <t>SOF Norte</t>
  </si>
  <si>
    <t>Asa Sul</t>
  </si>
  <si>
    <t>*06311245</t>
  </si>
  <si>
    <t>CONTA</t>
  </si>
  <si>
    <t>VENCIMENTO</t>
  </si>
  <si>
    <t>VALOR</t>
  </si>
  <si>
    <t>REGISTRO</t>
  </si>
  <si>
    <t xml:space="preserve">202 NORTE </t>
  </si>
  <si>
    <t>Salário Jheyne</t>
  </si>
  <si>
    <t>307N</t>
  </si>
  <si>
    <t>213 NORTE</t>
  </si>
  <si>
    <t>Salário Ingrid Cunha dos Santos</t>
  </si>
  <si>
    <t>213N</t>
  </si>
  <si>
    <t>307 NORTE</t>
  </si>
  <si>
    <t>Salário Marilia</t>
  </si>
  <si>
    <t>313 NORTE</t>
  </si>
  <si>
    <t>Salário Ana</t>
  </si>
  <si>
    <t>313N</t>
  </si>
  <si>
    <t xml:space="preserve">SUDOESTE </t>
  </si>
  <si>
    <t>Salário Camila</t>
  </si>
  <si>
    <t>LAGO NORTE</t>
  </si>
  <si>
    <t>Salário Dayanne Ingrid</t>
  </si>
  <si>
    <t>Começou dia 19/01</t>
  </si>
  <si>
    <t>Contabilidade 21/01</t>
  </si>
  <si>
    <t>Pagar 2 dias</t>
  </si>
  <si>
    <t>NOROESTE</t>
  </si>
  <si>
    <t>Salário Nathaly</t>
  </si>
  <si>
    <t>Salário Giovana</t>
  </si>
  <si>
    <t xml:space="preserve">SOFN </t>
  </si>
  <si>
    <t>Sirley Maria da Silva - Salário</t>
  </si>
  <si>
    <t>Carla Cristina Dutra - Salário</t>
  </si>
  <si>
    <t>Edimaria Maria - Salário</t>
  </si>
  <si>
    <t>Maria de Fátima Gonçalves da C. - Salário</t>
  </si>
  <si>
    <t>Victor de Sousa Pacheco - Salário</t>
  </si>
  <si>
    <t>Maria do Carmo</t>
  </si>
  <si>
    <t>THAIANE VIEIRA DA SILVA</t>
  </si>
  <si>
    <t xml:space="preserve">PABLO </t>
  </si>
  <si>
    <t xml:space="preserve">GABRIELA </t>
  </si>
  <si>
    <t>Lindce</t>
  </si>
  <si>
    <t>Salário Angélica</t>
  </si>
  <si>
    <t>Começou dia 07/01</t>
  </si>
  <si>
    <t>Contabilidade 13/01</t>
  </si>
  <si>
    <t>Pagar 5 dias</t>
  </si>
  <si>
    <t>Eliane</t>
  </si>
  <si>
    <t>Kamila Vitória</t>
  </si>
  <si>
    <t>Começou dia 21/01</t>
  </si>
  <si>
    <t>Contabilidade 28/01</t>
  </si>
  <si>
    <t>Pagar 7 dias</t>
  </si>
  <si>
    <t>Dani</t>
  </si>
  <si>
    <t>Começou dia 14/01</t>
  </si>
  <si>
    <t>Aluguel Lago (3373,22)</t>
  </si>
  <si>
    <t>Aluguel Sudoeste</t>
  </si>
  <si>
    <t>Aluguel 307</t>
  </si>
  <si>
    <t>Salário Ingrid Cunha dos Santos (R$ 617,98 - R$ 184,61)</t>
  </si>
  <si>
    <t>055.911.231-98</t>
  </si>
  <si>
    <t>Yara</t>
  </si>
  <si>
    <t>314 SUL</t>
  </si>
  <si>
    <t>Contas</t>
  </si>
  <si>
    <t>Deuziane</t>
  </si>
  <si>
    <t>Ana Maria</t>
  </si>
  <si>
    <t>Pablo</t>
  </si>
  <si>
    <t>CONTAS A PAGAR -  ATUALIZANDO EM xx</t>
  </si>
  <si>
    <t>DESCONTO</t>
  </si>
  <si>
    <t>VALOR COM DESCONTO</t>
  </si>
  <si>
    <t>CUSTO LOJA MÊS</t>
  </si>
  <si>
    <t>JÁ FOI PAGO</t>
  </si>
  <si>
    <t>PENDENTE PGTO</t>
  </si>
  <si>
    <t>Telefone fixo + internet - vencimento janeiro</t>
  </si>
  <si>
    <t>Pagamento efetuado pela conta da 202 em 29/01/2026</t>
  </si>
  <si>
    <t>BB Giro Pronampe_05/30</t>
  </si>
  <si>
    <t>Pagamento efetuado pela conta da 202 em 05/01/2026</t>
  </si>
  <si>
    <t>Compra de água potável (galão)</t>
  </si>
  <si>
    <t>Condomínio (770,20) - vencimento dezembro/2025</t>
  </si>
  <si>
    <t>Pagamento efetuado pela conta da 202 em 28/01/2026</t>
  </si>
  <si>
    <t>Condomínio - taxa extra (R$ 150,00) - vencimento dezembro/2025</t>
  </si>
  <si>
    <t>Condomínio</t>
  </si>
  <si>
    <t>Condomínio - taxa extra (R$ 150,00)</t>
  </si>
  <si>
    <t>Pagamento efetuado pela conta da 307 em 08/01/2026.</t>
  </si>
  <si>
    <t>VT e VA - Jheyne</t>
  </si>
  <si>
    <t>Água - vencimento janeiro</t>
  </si>
  <si>
    <t>Aluguel (ananeri194@gmail.com)</t>
  </si>
  <si>
    <t>Pagamento efetuado pela conta da 307 em 12/01/2026.</t>
  </si>
  <si>
    <t>Tarifa pacote de serviços</t>
  </si>
  <si>
    <t>Pagamento efetuado pela conta da 202 em 13/01/2026</t>
  </si>
  <si>
    <t>Sistema novo (mensalidade)</t>
  </si>
  <si>
    <t>Pagamento efetuado pela conta da 202 em 15/01/2026</t>
  </si>
  <si>
    <t>Luz - vencimento janeiro</t>
  </si>
  <si>
    <t>Simples Nacional (Lavanderia 202 Norte) - Vencimento 01/2026</t>
  </si>
  <si>
    <t>Pagamento efetuado pela conta da 202 em 20/01/2026</t>
  </si>
  <si>
    <t>Honorários contábeis - vencimento janeiro</t>
  </si>
  <si>
    <t>Telefone móvel - vencimento dezembro/2025</t>
  </si>
  <si>
    <t>Telefone móvel - vencimento janeiro</t>
  </si>
  <si>
    <t xml:space="preserve">Gratificação Meta - </t>
  </si>
  <si>
    <t xml:space="preserve">Telefone fixo + internet </t>
  </si>
  <si>
    <t>Pagamento efetuado pela conta da 213 em 05/01/2026</t>
  </si>
  <si>
    <t>VT e VA - Ingrid</t>
  </si>
  <si>
    <t>Pagamento efetuado pela conta da 213 em 12 e 15/01/2026</t>
  </si>
  <si>
    <t>Pagamento efetuado pela conta da 213 em 15/01/2026</t>
  </si>
  <si>
    <t>Multa por atraso ENTREGA DA DCTFWEB - 213 Norte</t>
  </si>
  <si>
    <t>Telefone móvel - outubro</t>
  </si>
  <si>
    <t>Cielo</t>
  </si>
  <si>
    <t>FGTS (213 Norte)</t>
  </si>
  <si>
    <t>Documento de arrecadação de Receitas Federais (Lavanderia 213N)</t>
  </si>
  <si>
    <t>Simples Nacional (Lavanderia 213 Norte) - Vencimento 09/2025</t>
  </si>
  <si>
    <t>Gratificação Meta - Ingrid 1</t>
  </si>
  <si>
    <t>Telefone fixo + internet - janeiro</t>
  </si>
  <si>
    <t>Pagamento efetuado pela conta da 307 em 28/01/2026.</t>
  </si>
  <si>
    <t>Aluguel - Loja Paulo Roberto Muricy Rocha CPF: 503.999.268-87 AG. 8631 CC. 28304</t>
  </si>
  <si>
    <t>BB Giro Pronampe</t>
  </si>
  <si>
    <t>BB Seguro de Vida Flex</t>
  </si>
  <si>
    <t>Pagamento efetuado pela conta da 307 em 05/01/2026.</t>
  </si>
  <si>
    <t>Água - vencimento agosto - 16/08/2025</t>
  </si>
  <si>
    <t>Água - vencimento setembro</t>
  </si>
  <si>
    <t xml:space="preserve">Condomínio - Loja 11 </t>
  </si>
  <si>
    <t xml:space="preserve">Condomínio - Loja 12 </t>
  </si>
  <si>
    <t>Retirada Kananda - 1ª parte</t>
  </si>
  <si>
    <t>Pagamento efetuado pela conta da 307 em 16/01/2026.</t>
  </si>
  <si>
    <t>Retirada Kananda - 2ª parte</t>
  </si>
  <si>
    <t>Pagamento efetuado pela conta do Noroeste em 28/01/2026.</t>
  </si>
  <si>
    <t>Salário Marília</t>
  </si>
  <si>
    <t>Pagamento efetuado pela conta do Noroeste em 08/01/2026.</t>
  </si>
  <si>
    <t>VT e VA Marília</t>
  </si>
  <si>
    <t>Seguro de vida empresa Flex</t>
  </si>
  <si>
    <t>Parcelamento Simples 307</t>
  </si>
  <si>
    <t>Pagamento efetuado pela conta da 307 em 15/01/2026.</t>
  </si>
  <si>
    <t>Parcelamento multa Procon_01de20</t>
  </si>
  <si>
    <t>FGTS (307 Norte)</t>
  </si>
  <si>
    <t>Pagamento efetuado pela conta da 307 em 20/01/2026.</t>
  </si>
  <si>
    <t>Documento de arrecadação de Receitas Federais (Lavanderia 307 Norte)</t>
  </si>
  <si>
    <t>Simples Nacional (Lavanderia 307 Norte) - Vencimento 01/2026</t>
  </si>
  <si>
    <t>Aluguel loja 11</t>
  </si>
  <si>
    <t>Pagamento efetuado pela conta da 307 em 30/01/2026.</t>
  </si>
  <si>
    <t>Aluguel loja 12</t>
  </si>
  <si>
    <t>Tarifa pix</t>
  </si>
  <si>
    <t>Gratificação Meta</t>
  </si>
  <si>
    <t>Pagamento efetuado pela conta da 313 em 28/01/2026.</t>
  </si>
  <si>
    <t>Pagamento efetuado pela conta da 313 em 05/01/2026.</t>
  </si>
  <si>
    <t>Pagamento efetuado pela conta da 313 em 08/01/2026.</t>
  </si>
  <si>
    <t>VT e VA Ana</t>
  </si>
  <si>
    <t>Aluguel</t>
  </si>
  <si>
    <t>Pagamento efetuado pela conta da 313 em 13/01/2026.</t>
  </si>
  <si>
    <t>Compra de galão de água</t>
  </si>
  <si>
    <t>Pagamento efetuado pela conta da 313 em 15/01/2026.</t>
  </si>
  <si>
    <t>Telefone fixo + internet_vencimento janeiro</t>
  </si>
  <si>
    <t>Telefone móvel (313 e Lago) - vencimento dezembro/2025</t>
  </si>
  <si>
    <t>Telefone móvel (313 e Lago) - vencimento janeiro</t>
  </si>
  <si>
    <t>FGTS (313 Norte)</t>
  </si>
  <si>
    <t>Pagamento efetuado pela conta da 313 em 20/01/2026.</t>
  </si>
  <si>
    <t>Documento de arrecadação de Receitas Federais (Lavanderia 313 Norte)</t>
  </si>
  <si>
    <t>Simples Nacional (Lavanderia 313) - vencimento 01/2026</t>
  </si>
  <si>
    <t>Condomínio - vencimento dezembro/2025</t>
  </si>
  <si>
    <t>Condomínio - vencimento janeiro/2026</t>
  </si>
  <si>
    <t>Gratificação Meta - Ana</t>
  </si>
  <si>
    <t>Aluguel + condomínio + iptu (45.434.433/0001-93)</t>
  </si>
  <si>
    <t>Pagamento efetuado pela conta do Sudoeste em 05/01/2026.</t>
  </si>
  <si>
    <t>Telefone fixo + internet (vivo) - vencimento janeiro</t>
  </si>
  <si>
    <t>Pagamento efetuado pela conta do Sudoeste em 28/01/2026.</t>
  </si>
  <si>
    <t>VT e VA Camila</t>
  </si>
  <si>
    <t>BB Seguro de Vida Empresa Flex</t>
  </si>
  <si>
    <t>Pagamento efetuado pela conta do Sudoeste em 12/01/2026.</t>
  </si>
  <si>
    <t>Telefone fixo + internet (claro) - vencimento janeiro</t>
  </si>
  <si>
    <t>Pagamento efetuado pela conta do Sudoeste em 15/01/2026.</t>
  </si>
  <si>
    <t>FGTS (Sudoeste)</t>
  </si>
  <si>
    <t>Documento de arrecadação de Receitas Federais (Lavanderia Sudoeste)</t>
  </si>
  <si>
    <t>.</t>
  </si>
  <si>
    <t>Simples Nacional (Lavanderia Sudoeste) - vencimento 01/2026</t>
  </si>
  <si>
    <t>Pagamento efetuado pela conta do Sudoeste em 20/01/2026.</t>
  </si>
  <si>
    <t>Água - vencimento dezembro/2025</t>
  </si>
  <si>
    <t>Água - vencimento janeiro/2026</t>
  </si>
  <si>
    <t>Aluguel + Luz fixa (R$ 140,00) + água + IPTU</t>
  </si>
  <si>
    <t>Pagamento efetuado pela conta do 307N em 05/01/2026.</t>
  </si>
  <si>
    <t>Salário Yara</t>
  </si>
  <si>
    <t>VT e VA Yara</t>
  </si>
  <si>
    <t>Pagamento efetuado pela conta do Lago em 05/01/2026.</t>
  </si>
  <si>
    <t>Pagamento efetuado pela conta do Lago em 12/01/2026.</t>
  </si>
  <si>
    <t>Sistema (mensalidade)</t>
  </si>
  <si>
    <t>Pagamento efetuado pela conta do Lago em 15/01/2026.</t>
  </si>
  <si>
    <t>Ref. Compra de água potável</t>
  </si>
  <si>
    <t>Pagamento efetuado pela conta do Lago em 14/01/2026.</t>
  </si>
  <si>
    <t>Pagamento efetuado pela conta do Lago em 28/01/2026.</t>
  </si>
  <si>
    <t>FGTS (Lago Norte)</t>
  </si>
  <si>
    <t>Documento de arrecadação de Receitas Federais (Lavanderia Lago Norte)</t>
  </si>
  <si>
    <t>Simples Nacional (Lavanderia Lago Norte) - parcelamento meses 11 e 12/2025</t>
  </si>
  <si>
    <t>Pagamento efetuado pela conta do Lago em 30/01/2026.</t>
  </si>
  <si>
    <t>Simples Nacional (Lavanderia Lago Norte) - vencimento 01/2026</t>
  </si>
  <si>
    <t>Honorários contábeis - vencimento setembro</t>
  </si>
  <si>
    <t>Gratificação Meta - Brunna</t>
  </si>
  <si>
    <t xml:space="preserve"> NOROESTE</t>
  </si>
  <si>
    <t>Pagamento efetuado pela conta do Noroeste em 27/01/2026.</t>
  </si>
  <si>
    <t>Salário Náthaly</t>
  </si>
  <si>
    <t>VT e VA Náthaly</t>
  </si>
  <si>
    <t>VT e VA Giovana</t>
  </si>
  <si>
    <t>Pagamento efetuado pela conta do Noroeste em 05/01/2026.</t>
  </si>
  <si>
    <t>Condomínio - vencimento 10/12/2025</t>
  </si>
  <si>
    <t>Pagamento efetuado pela conta do Noroeste em 09/01/2026.</t>
  </si>
  <si>
    <t>Condomínio (até dia 10 tem desconto de R$ 114,83) (R$ 1033,46 valor sem juros)</t>
  </si>
  <si>
    <t xml:space="preserve">Sistema (mensalidade) </t>
  </si>
  <si>
    <t>Pagamento efetuado pela conta do Noroeste em 15/01/2026.</t>
  </si>
  <si>
    <t>FGTS (Noroeste)</t>
  </si>
  <si>
    <t>Pagamento efetuado pela conta do Noroeste em 20/01/2026.</t>
  </si>
  <si>
    <t>Documento de arrecadação de Receitas Federais (Lavanderia Noroeste)</t>
  </si>
  <si>
    <t>Simples Nacional Noroeste - vencimento 01/2026</t>
  </si>
  <si>
    <t>Aluguel (PIX: 297.353.431-34) Ag. 4882-8 / CC. 1902-X -  Tânia Freitas Carvalho Machado Cunha</t>
  </si>
  <si>
    <t>Pagamento efetuado pela conta do Noroeste em 22/01/2026.</t>
  </si>
  <si>
    <t>Telefone móvel - está junto com o da 307.</t>
  </si>
  <si>
    <t>Ref. compra galão d'água</t>
  </si>
  <si>
    <t>Gratificação Meta - Marilia</t>
  </si>
  <si>
    <t>Gratificação Meta - Ingrid 2</t>
  </si>
  <si>
    <t>Pagamento efetuado pela conta da 314 em 15/01/2026.</t>
  </si>
  <si>
    <t>FGTS (314 Sul)</t>
  </si>
  <si>
    <t>Documento de arrecadação de Receitas Federais (Lavanderia 314 Sul)</t>
  </si>
  <si>
    <t>Simples Nacional (Lavanderia 314 Sul) - vencimento 01/2026</t>
  </si>
  <si>
    <t>Água</t>
  </si>
  <si>
    <t>Honorários contábeis - vencimento agosto</t>
  </si>
  <si>
    <t>Gratificação Meta - Camila</t>
  </si>
  <si>
    <t>VT e VA - Sirley</t>
  </si>
  <si>
    <t>Pagamento efetuado pela conta da 307 em 07/01/2026.</t>
  </si>
  <si>
    <t>VT e VA - Carla Cristina</t>
  </si>
  <si>
    <t>VT e VA - Edimaria</t>
  </si>
  <si>
    <t>VT e VA - Maria de Fátima</t>
  </si>
  <si>
    <t>VT e VA - Victor</t>
  </si>
  <si>
    <t>Maria do Carmo - Salário</t>
  </si>
  <si>
    <t>VT e VA - Maria do Carmo</t>
  </si>
  <si>
    <t>Thaiane - Salario</t>
  </si>
  <si>
    <t>VT e VA - Thaiane</t>
  </si>
  <si>
    <t>Pablo - Salario</t>
  </si>
  <si>
    <t>VT e VA - Pablo</t>
  </si>
  <si>
    <t>Gabriela - Salario</t>
  </si>
  <si>
    <t>VT e VA - Gabriela</t>
  </si>
  <si>
    <t>Lindce - Salario</t>
  </si>
  <si>
    <t>Pagamento efetuado pela conta da 307 em 08 e 09/01/2026.</t>
  </si>
  <si>
    <t>VT e VA - Lindce</t>
  </si>
  <si>
    <t>Salário Eliane</t>
  </si>
  <si>
    <t>VT e VA - Eliane</t>
  </si>
  <si>
    <t>Salário Dani</t>
  </si>
  <si>
    <t>VT e VA - Dani</t>
  </si>
  <si>
    <t>Salário Teresa</t>
  </si>
  <si>
    <t>VT e VA - Teresa</t>
  </si>
  <si>
    <t>Luz - vencimento 18/12/2025</t>
  </si>
  <si>
    <t>Pagamento efetuado pela conta do Noroeste em 13/01/2026.</t>
  </si>
  <si>
    <t>Luz - vencimento 18/01/2026</t>
  </si>
  <si>
    <t>Água - vencimento 26/12/2025</t>
  </si>
  <si>
    <t>Pagamento efetuado pela conta do Noroeste em 19/01/2026.</t>
  </si>
  <si>
    <t>Água - vencimento 26/01/2026</t>
  </si>
  <si>
    <t>AQUISIÇÕES/CUSTOS EXTRAS FIXOS</t>
  </si>
  <si>
    <t>Assessoria Jurídica (thiagomarinho960@gmail.com)</t>
  </si>
  <si>
    <t>Mix Clean</t>
  </si>
  <si>
    <t>Telefone 0800 - vencimento agosto/2025</t>
  </si>
  <si>
    <t>Telefone 0800 - vencimento setembro/2025</t>
  </si>
  <si>
    <t>Telefone 0800 - vencimento outubro/2025</t>
  </si>
  <si>
    <t>Telefone 0800 - vencimento novembro/2025</t>
  </si>
  <si>
    <t>Telefone 0800 - vencimento dezembro/2025</t>
  </si>
  <si>
    <t>Telefone 0800 - vencimento janeiro/2026</t>
  </si>
  <si>
    <t>ATIVASAT SOLUCOES TECNOLOGICAS LTDA - Rastreamento Van (59,90)</t>
  </si>
  <si>
    <t>Pagamento efetuado pela conta da 307 em 22/01/2026.</t>
  </si>
  <si>
    <t>Cartão de crédito INTER</t>
  </si>
  <si>
    <t>Equipe de marketing</t>
  </si>
  <si>
    <t>Impulsionamentos instagram e Google</t>
  </si>
  <si>
    <t>Emerson - Manutenção máquinas - Pix:  61 992290142 - vencimento novembro/2025</t>
  </si>
  <si>
    <t>Emerson - Manutenção máquinas - Pix:  61 992290142 - vencimento dezembro/2025</t>
  </si>
  <si>
    <t>Emerson - Manutenção máquinas - Pix:  61 992290142 - vencimento janeiro/2026</t>
  </si>
  <si>
    <t>Cartão de crédito BB</t>
  </si>
  <si>
    <t>Pagamento efetuado pela conta da 307 em 26/01/2026.</t>
  </si>
  <si>
    <t>Financiamento Renalt Master - 26/36</t>
  </si>
  <si>
    <t xml:space="preserve">IBAMT - Atestado </t>
  </si>
  <si>
    <t>VT e VA restante mês - estimativa</t>
  </si>
  <si>
    <t>INSUMOS</t>
  </si>
  <si>
    <t>Arescom_NF  5430_01de02_Vencimento 28/12/2025</t>
  </si>
  <si>
    <t>Pagamento efetuado pela conta da 307 em 14/01/2026.</t>
  </si>
  <si>
    <t>Arescom_NF  5484_01de02</t>
  </si>
  <si>
    <t>Cab-lav_NF 000034945_01de03_Vencimento 24/12/2025</t>
  </si>
  <si>
    <t>Pagamento efetuado pela conta da 307 em 09/01/2026.</t>
  </si>
  <si>
    <t>Cab-lav_NF 000034945_02de03_Vencimento 07/01/2026</t>
  </si>
  <si>
    <t>Pagamento efetuado pela conta do Noroeste em 16/01/2026.</t>
  </si>
  <si>
    <t>Baviplast NF 13069_01de02_24/12/2025</t>
  </si>
  <si>
    <t>Baviplast NF 13069_02de02 (2.522,55)</t>
  </si>
  <si>
    <t>Baviplast_NF 13191_01de03 (1.687,56)</t>
  </si>
  <si>
    <t>Pagamento efetuado pela conta da 307 em 27/01/2026.</t>
  </si>
  <si>
    <t>Campeão gás_NF 1653</t>
  </si>
  <si>
    <t>Pagamento efetuado pela conta do Noroeste em 23/01/2026.</t>
  </si>
  <si>
    <t>Solida Transportes_Peça Samsung</t>
  </si>
  <si>
    <t>Vima encomendas_frete Cabilavi</t>
  </si>
  <si>
    <t>Pagamento efetuado pela conta da 307 em 13/01/2026.</t>
  </si>
  <si>
    <t>Casa das etiquetas_Compra de ribbon</t>
  </si>
  <si>
    <t>Pagamento efetuado pela conta da 307 em 19/01/2026.</t>
  </si>
  <si>
    <t>Frete compra de ribbon - Casa das etiquetas</t>
  </si>
  <si>
    <t>Solida Transportes_Vencimento 19/12/2025</t>
  </si>
  <si>
    <t>Pagamento efetuado pela conta do Lago em 02/01/2026.</t>
  </si>
  <si>
    <t>Solida Transportes_Vencimento 19/01/2026</t>
  </si>
  <si>
    <t>Pagamento efetuado pela conta do Lago em 19/01/2026.</t>
  </si>
  <si>
    <t>Arescom_NF  5430_02de02</t>
  </si>
  <si>
    <t>Pagamento efetuado pela conta da 307 em 21/01/2026.</t>
  </si>
  <si>
    <t>Baviplast_NF 13191_02de03</t>
  </si>
  <si>
    <t>Pagamento efetuado pela conta do Lago em 22/01/2026.</t>
  </si>
  <si>
    <t>Arescom_NF  5484_02de02</t>
  </si>
  <si>
    <t>COMPRAS/PAGAMENTOS AVULSOS</t>
  </si>
  <si>
    <t>Ref. Manutenção Lago - Paulo Cezar</t>
  </si>
  <si>
    <t>Pagamento efetuado pela conta da 307 em 17/01/2026.</t>
  </si>
  <si>
    <t>Ref. Adiantamento salarial - Terezinha Daniele</t>
  </si>
  <si>
    <t>Reembolso peça danificada - Casaco 307</t>
  </si>
  <si>
    <t>Anuncio vaga de emprego</t>
  </si>
  <si>
    <t>Pagamento efetuado pela conta da 307 em 03/01/2026.</t>
  </si>
  <si>
    <t>Reembolso peça extraviada - Camisa 313</t>
  </si>
  <si>
    <t>Pagamento efetuado pela conta da 313 em 19/01/2026.</t>
  </si>
  <si>
    <t>Reembolso peças que entravam no pacote - 313 Norte</t>
  </si>
  <si>
    <t>Pagamento efetuado pela conta da 313 em 09/01/2026.</t>
  </si>
  <si>
    <t>Reembolso peça não lavada - 313 Norte</t>
  </si>
  <si>
    <t>Pagamento efetuado pela conta da 313 em 06/01/2026.</t>
  </si>
  <si>
    <t>Reembolso peças que entravam no pacote - Noroeste</t>
  </si>
  <si>
    <t>Reembolso peça danificada - Vestido Noroeste</t>
  </si>
  <si>
    <t>Rescisão contratual Yara</t>
  </si>
  <si>
    <t>Implantação Allegro IOT - 202N_01de06</t>
  </si>
  <si>
    <t>Pagamento efetuado pela conta da 202 em 27/01/2026.</t>
  </si>
  <si>
    <t>Implantação Allegro IOT - 307N_01de06</t>
  </si>
  <si>
    <t>Implantação Allegro IOT - 313N_01de06</t>
  </si>
  <si>
    <t>Pagamento efetuado pela conta da 313 em 27/01/2026.</t>
  </si>
  <si>
    <t>Implantação Allegro IOT - Sudoeste_01de06</t>
  </si>
  <si>
    <t>Pagamento efetuado pela conta do Sudoeste em 27/01/2026.</t>
  </si>
  <si>
    <t>Implantação Allegro IOT - Noroeste_01de06</t>
  </si>
  <si>
    <t>Acordo pagamento Contabilidade_01de12</t>
  </si>
  <si>
    <t>FGTS Rescisório Yara</t>
  </si>
  <si>
    <t>Pagamento efetuado pela conta da 307 em 29/01/2026.</t>
  </si>
  <si>
    <t>GASTOS MÊS: JANEIRO/2026</t>
  </si>
  <si>
    <t>GASTOS POR LOJA/SEGMENTO (custo negócio Janeiro/2026)</t>
  </si>
  <si>
    <t>Custo projetado</t>
  </si>
  <si>
    <t>Faturamento projetado</t>
  </si>
  <si>
    <t>202 Norte</t>
  </si>
  <si>
    <t>213 Norte</t>
  </si>
  <si>
    <t xml:space="preserve">307 Norte </t>
  </si>
  <si>
    <t xml:space="preserve">313 Norte </t>
  </si>
  <si>
    <t>314 Sul</t>
  </si>
  <si>
    <t>VAN / CARTÃO DE CRÉDITO / MIX CLEAN / EMERSON</t>
  </si>
  <si>
    <t>TOTAL</t>
  </si>
  <si>
    <t>CONTAS ATRASADAS MESES ANTERIORES</t>
  </si>
  <si>
    <t>SIMPLES NACIONAL</t>
  </si>
  <si>
    <t>TOTAL EFETIVAMENTE PAGO</t>
  </si>
  <si>
    <t>Telefone fixo + internet - vencimento fevereiro</t>
  </si>
  <si>
    <t>BB Giro Pronampe_06/30</t>
  </si>
  <si>
    <t>Pagamento efetuado pela conta da 202 em 04/02/2026.</t>
  </si>
  <si>
    <t>Pagamento efetuado pela conta da 202 em 04 e 23/02/2026.</t>
  </si>
  <si>
    <t>Salário Kamila Vitória</t>
  </si>
  <si>
    <t>Pagamento efetuado pela conta da 307 em 18/02/2026.</t>
  </si>
  <si>
    <t>VT e VA - Kamila</t>
  </si>
  <si>
    <t>Pagamento efetuado pela conta da 202 em 10/02/2026.</t>
  </si>
  <si>
    <t>Simples Nacional (Lavanderia 202 Norte) - Vencimento 02/2026</t>
  </si>
  <si>
    <t>Pagamento efetuado pela conta da 202 em 20/02/2026.</t>
  </si>
  <si>
    <t>Pagamento efetuado pela conta da 307 em 20/02/2026.</t>
  </si>
  <si>
    <t>Salário Dayane</t>
  </si>
  <si>
    <t>VT e VA Dayane</t>
  </si>
  <si>
    <t>s\</t>
  </si>
  <si>
    <t>VT e VA - Angélica</t>
  </si>
  <si>
    <t>Pagamento efetuado pela conta da 307 em 23/02/2026.</t>
  </si>
  <si>
    <t>Cartão de crédito BB - Visa</t>
  </si>
  <si>
    <t>Cartão de crédito BB - Elo</t>
  </si>
  <si>
    <t>Arescom_NF  5585_01de02</t>
  </si>
  <si>
    <t>Baviplast</t>
  </si>
  <si>
    <t xml:space="preserve">Cab-lav_NF </t>
  </si>
  <si>
    <t>Jarjour_Abastecimento Van</t>
  </si>
  <si>
    <t>Pagamento efetuado pela conta da 307 em 19/02/2026.</t>
  </si>
  <si>
    <t>Vima_Frete Cabilavi</t>
  </si>
  <si>
    <t>Campeão Gás_Vencido_Verificar NF</t>
  </si>
  <si>
    <t>Arescom_NF  5585_02de02</t>
  </si>
  <si>
    <t>Acordo Daiane_03de03</t>
  </si>
  <si>
    <t>Diária passadoria_Cristina Aparecida Ferreira</t>
  </si>
  <si>
    <t>Pagamento efetuado pela conta da 307 em 21/02/2026.</t>
  </si>
  <si>
    <t>Diária passadoria_Maria Imaculada Rodrigues</t>
  </si>
  <si>
    <t>Diária motorista_Guinchos Corrida LTDA</t>
  </si>
  <si>
    <t>Adiantamento salarial_Náthaly O Souza</t>
  </si>
  <si>
    <t>Anúncio vaga emprego (passadeira)_Rodrigo A Paes</t>
  </si>
  <si>
    <t>Adiantamento salarial_Terezinha Daniele Ribeiro</t>
  </si>
  <si>
    <t>Adiantamento salarial_Maria do Carmo Barbosa Almeida</t>
  </si>
  <si>
    <t>Diária passadoria_Lucicleia oliveira de Sousa</t>
  </si>
  <si>
    <t>Ideológica Lago - implantação IOT_01de06</t>
  </si>
  <si>
    <t>GASTOS MÊS: FEVEREIRO/2026</t>
  </si>
  <si>
    <t>GASTOS POR LOJA/SEGMENTO (custo negócio Fevereiro/2026)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</si>
</sst>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-&quot;R$&quot;\ * #,##0.00_-;\-&quot;R$&quot;\ * #,##0.00_-;_-&quot;R$&quot;\ * &quot;-&quot;??_-;_-@"/>
    <numFmt numFmtId="165" formatCode="dd/mm/yyyy"/>
    <numFmt numFmtId="166" formatCode="[$R$ -416]#,##0.00"/>
  </numFmts>
  <fonts count="16">
    <font>
      <sz val="11.0"/>
      <color theme="1"/>
      <name val="Calibri"/>
      <scheme val="minor"/>
    </font>
    <font>
      <color theme="1"/>
      <name val="Calibri"/>
    </font>
    <font>
      <b/>
      <sz val="12.0"/>
      <color theme="1"/>
      <name val="Calibri"/>
    </font>
    <font>
      <b/>
      <color theme="1"/>
      <name val="Calibri"/>
    </font>
    <font>
      <b/>
      <sz val="13.0"/>
      <color theme="1"/>
      <name val="Calibri"/>
    </font>
    <font/>
    <font>
      <sz val="10.0"/>
      <color theme="1"/>
      <name val="Arial"/>
    </font>
    <font>
      <color theme="1"/>
      <name val="Arial"/>
    </font>
    <font>
      <sz val="10.0"/>
      <color rgb="FF1F1F1F"/>
      <name val="Arial"/>
    </font>
    <font>
      <b/>
      <sz val="14.0"/>
      <color theme="1"/>
      <name val="Calibri"/>
    </font>
    <font>
      <sz val="11.0"/>
      <color theme="1"/>
      <name val="Calibri"/>
    </font>
    <font>
      <sz val="11.0"/>
      <color rgb="FFFF0000"/>
      <name val="Calibri"/>
    </font>
    <font>
      <color theme="1"/>
      <name val="Calibri"/>
      <scheme val="minor"/>
    </font>
    <font>
      <b/>
      <sz val="11.0"/>
      <color theme="1"/>
      <name val="Calibri"/>
    </font>
    <font>
      <b/>
      <sz val="15.0"/>
      <color theme="1"/>
      <name val="Calibri"/>
    </font>
    <font>
      <sz val="17.0"/>
      <color theme="1"/>
      <name val="Calibri"/>
    </font>
  </fonts>
  <fills count="15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C5E0B3"/>
        <bgColor rgb="FFC5E0B3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8EAADB"/>
        <bgColor rgb="FF8EAADB"/>
      </patternFill>
    </fill>
    <fill>
      <patternFill patternType="solid">
        <fgColor rgb="FFDEEAF6"/>
        <bgColor rgb="FFDEEAF6"/>
      </patternFill>
    </fill>
    <fill>
      <patternFill patternType="solid">
        <fgColor rgb="FFFFFFFF"/>
        <bgColor rgb="FFFFFFFF"/>
      </patternFill>
    </fill>
    <fill>
      <patternFill patternType="solid">
        <fgColor rgb="FFF9CB9C"/>
        <bgColor rgb="FFF9CB9C"/>
      </patternFill>
    </fill>
    <fill>
      <patternFill patternType="solid">
        <fgColor rgb="FFEFEFEF"/>
        <bgColor rgb="FFEFEFEF"/>
      </patternFill>
    </fill>
    <fill>
      <patternFill patternType="solid">
        <fgColor rgb="FFF6B26B"/>
        <bgColor rgb="FFF6B26B"/>
      </patternFill>
    </fill>
  </fills>
  <borders count="2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top/>
      <bottom/>
    </border>
    <border>
      <top/>
      <bottom/>
    </border>
    <border>
      <left/>
      <right/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</border>
    <border>
      <bottom style="medium">
        <color rgb="FF000000"/>
      </bottom>
    </border>
    <border>
      <left style="thick">
        <color rgb="FF000000"/>
      </left>
      <top style="thick">
        <color rgb="FF000000"/>
      </top>
      <bottom style="medium">
        <color rgb="FF000000"/>
      </bottom>
    </border>
    <border>
      <top style="thick">
        <color rgb="FF000000"/>
      </top>
      <bottom style="medium">
        <color rgb="FF000000"/>
      </bottom>
    </border>
    <border>
      <right style="thick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15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2" fontId="1" numFmtId="0" xfId="0" applyAlignment="1" applyFill="1" applyFont="1">
      <alignment horizontal="center"/>
    </xf>
    <xf borderId="0" fillId="3" fontId="1" numFmtId="0" xfId="0" applyAlignment="1" applyFill="1" applyFont="1">
      <alignment horizontal="center"/>
    </xf>
    <xf borderId="0" fillId="4" fontId="1" numFmtId="0" xfId="0" applyAlignment="1" applyFill="1" applyFont="1">
      <alignment horizontal="center"/>
    </xf>
    <xf borderId="0" fillId="5" fontId="1" numFmtId="0" xfId="0" applyAlignment="1" applyFill="1" applyFont="1">
      <alignment horizontal="center"/>
    </xf>
    <xf borderId="1" fillId="0" fontId="4" numFmtId="0" xfId="0" applyAlignment="1" applyBorder="1" applyFont="1">
      <alignment horizontal="center"/>
    </xf>
    <xf borderId="2" fillId="0" fontId="5" numFmtId="0" xfId="0" applyBorder="1" applyFont="1"/>
    <xf borderId="3" fillId="0" fontId="5" numFmtId="0" xfId="0" applyBorder="1" applyFont="1"/>
    <xf borderId="4" fillId="0" fontId="3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0" fillId="0" fontId="6" numFmtId="0" xfId="0" applyAlignment="1" applyFont="1">
      <alignment horizontal="center"/>
    </xf>
    <xf borderId="0" fillId="6" fontId="1" numFmtId="0" xfId="0" applyFill="1" applyFont="1"/>
    <xf borderId="0" fillId="0" fontId="7" numFmtId="0" xfId="0" applyAlignment="1" applyFont="1">
      <alignment horizontal="center" shrinkToFit="0" vertical="center" wrapText="1"/>
    </xf>
    <xf borderId="4" fillId="0" fontId="3" numFmtId="0" xfId="0" applyAlignment="1" applyBorder="1" applyFont="1">
      <alignment horizontal="center" vertical="center"/>
    </xf>
    <xf borderId="0" fillId="7" fontId="1" numFmtId="0" xfId="0" applyAlignment="1" applyFill="1" applyFont="1">
      <alignment vertical="center"/>
    </xf>
    <xf borderId="0" fillId="0" fontId="1" numFmtId="0" xfId="0" applyAlignment="1" applyFont="1">
      <alignment vertical="center"/>
    </xf>
    <xf borderId="0" fillId="8" fontId="1" numFmtId="0" xfId="0" applyAlignment="1" applyFill="1" applyFont="1">
      <alignment horizontal="center"/>
    </xf>
    <xf borderId="0" fillId="0" fontId="8" numFmtId="0" xfId="0" applyAlignment="1" applyFont="1">
      <alignment horizontal="center" readingOrder="0"/>
    </xf>
    <xf borderId="5" fillId="0" fontId="3" numFmtId="0" xfId="0" applyAlignment="1" applyBorder="1" applyFont="1">
      <alignment horizontal="center"/>
    </xf>
    <xf borderId="0" fillId="8" fontId="1" numFmtId="0" xfId="0" applyFont="1"/>
    <xf borderId="6" fillId="0" fontId="5" numFmtId="0" xfId="0" applyBorder="1" applyFont="1"/>
    <xf borderId="0" fillId="6" fontId="1" numFmtId="0" xfId="0" applyAlignment="1" applyFont="1">
      <alignment readingOrder="0"/>
    </xf>
    <xf borderId="1" fillId="0" fontId="9" numFmtId="0" xfId="0" applyAlignment="1" applyBorder="1" applyFont="1">
      <alignment horizontal="center" vertical="bottom"/>
    </xf>
    <xf borderId="4" fillId="0" fontId="10" numFmtId="0" xfId="0" applyAlignment="1" applyBorder="1" applyFont="1">
      <alignment vertical="bottom"/>
    </xf>
    <xf borderId="4" fillId="0" fontId="9" numFmtId="0" xfId="0" applyAlignment="1" applyBorder="1" applyFont="1">
      <alignment horizontal="center" vertical="bottom"/>
    </xf>
    <xf borderId="4" fillId="0" fontId="10" numFmtId="0" xfId="0" applyAlignment="1" applyBorder="1" applyFont="1">
      <alignment horizontal="center" vertical="bottom"/>
    </xf>
    <xf borderId="4" fillId="0" fontId="11" numFmtId="0" xfId="0" applyAlignment="1" applyBorder="1" applyFont="1">
      <alignment horizontal="center" vertical="bottom"/>
    </xf>
    <xf borderId="7" fillId="9" fontId="10" numFmtId="0" xfId="0" applyAlignment="1" applyBorder="1" applyFill="1" applyFont="1">
      <alignment horizontal="center"/>
    </xf>
    <xf borderId="8" fillId="0" fontId="5" numFmtId="0" xfId="0" applyBorder="1" applyFont="1"/>
    <xf borderId="0" fillId="9" fontId="1" numFmtId="0" xfId="0" applyAlignment="1" applyFont="1">
      <alignment horizontal="center"/>
    </xf>
    <xf borderId="9" fillId="10" fontId="10" numFmtId="0" xfId="0" applyAlignment="1" applyBorder="1" applyFill="1" applyFont="1">
      <alignment horizontal="center"/>
    </xf>
    <xf borderId="10" fillId="8" fontId="10" numFmtId="0" xfId="0" applyAlignment="1" applyBorder="1" applyFont="1">
      <alignment horizontal="center"/>
    </xf>
    <xf borderId="11" fillId="0" fontId="5" numFmtId="0" xfId="0" applyBorder="1" applyFont="1"/>
    <xf borderId="12" fillId="0" fontId="5" numFmtId="0" xfId="0" applyBorder="1" applyFont="1"/>
    <xf borderId="0" fillId="0" fontId="10" numFmtId="0" xfId="0" applyAlignment="1" applyFont="1">
      <alignment horizontal="center" vertical="center"/>
    </xf>
    <xf borderId="9" fillId="4" fontId="10" numFmtId="164" xfId="0" applyAlignment="1" applyBorder="1" applyFont="1" applyNumberFormat="1">
      <alignment readingOrder="0"/>
    </xf>
    <xf borderId="0" fillId="0" fontId="12" numFmtId="165" xfId="0" applyAlignment="1" applyFont="1" applyNumberFormat="1">
      <alignment readingOrder="0"/>
    </xf>
    <xf borderId="0" fillId="0" fontId="10" numFmtId="0" xfId="0" applyFont="1"/>
    <xf borderId="0" fillId="0" fontId="10" numFmtId="0" xfId="0" applyAlignment="1" applyFont="1">
      <alignment horizontal="center"/>
    </xf>
    <xf borderId="0" fillId="0" fontId="10" numFmtId="164" xfId="0" applyFont="1" applyNumberFormat="1"/>
    <xf borderId="0" fillId="0" fontId="1" numFmtId="164" xfId="0" applyAlignment="1" applyFont="1" applyNumberFormat="1">
      <alignment horizontal="center"/>
    </xf>
    <xf borderId="0" fillId="0" fontId="1" numFmtId="166" xfId="0" applyFont="1" applyNumberFormat="1"/>
    <xf borderId="0" fillId="0" fontId="10" numFmtId="164" xfId="0" applyAlignment="1" applyFont="1" applyNumberFormat="1">
      <alignment readingOrder="0"/>
    </xf>
    <xf borderId="0" fillId="0" fontId="3" numFmtId="164" xfId="0" applyAlignment="1" applyFont="1" applyNumberFormat="1">
      <alignment horizontal="center"/>
    </xf>
    <xf borderId="0" fillId="0" fontId="1" numFmtId="164" xfId="0" applyFont="1" applyNumberFormat="1"/>
    <xf borderId="0" fillId="0" fontId="3" numFmtId="0" xfId="0" applyFont="1"/>
    <xf borderId="0" fillId="4" fontId="10" numFmtId="164" xfId="0" applyAlignment="1" applyFont="1" applyNumberFormat="1">
      <alignment readingOrder="0"/>
    </xf>
    <xf borderId="0" fillId="0" fontId="1" numFmtId="166" xfId="0" applyAlignment="1" applyFont="1" applyNumberFormat="1">
      <alignment horizontal="center"/>
    </xf>
    <xf borderId="0" fillId="0" fontId="10" numFmtId="0" xfId="0" applyAlignment="1" applyFont="1">
      <alignment readingOrder="0"/>
    </xf>
    <xf borderId="0" fillId="0" fontId="12" numFmtId="0" xfId="0" applyAlignment="1" applyFont="1">
      <alignment readingOrder="0"/>
    </xf>
    <xf borderId="0" fillId="0" fontId="1" numFmtId="166" xfId="0" applyAlignment="1" applyFont="1" applyNumberFormat="1">
      <alignment horizontal="center" readingOrder="0"/>
    </xf>
    <xf borderId="10" fillId="8" fontId="10" numFmtId="4" xfId="0" applyAlignment="1" applyBorder="1" applyFont="1" applyNumberFormat="1">
      <alignment horizontal="center"/>
    </xf>
    <xf borderId="0" fillId="0" fontId="10" numFmtId="166" xfId="0" applyAlignment="1" applyFont="1" applyNumberFormat="1">
      <alignment horizontal="center"/>
    </xf>
    <xf borderId="0" fillId="0" fontId="3" numFmtId="166" xfId="0" applyAlignment="1" applyFont="1" applyNumberFormat="1">
      <alignment horizontal="center"/>
    </xf>
    <xf borderId="0" fillId="4" fontId="12" numFmtId="166" xfId="0" applyAlignment="1" applyFont="1" applyNumberFormat="1">
      <alignment readingOrder="0"/>
    </xf>
    <xf borderId="0" fillId="4" fontId="10" numFmtId="164" xfId="0" applyAlignment="1" applyFont="1" applyNumberFormat="1">
      <alignment readingOrder="0" vertical="bottom"/>
    </xf>
    <xf borderId="0" fillId="0" fontId="10" numFmtId="166" xfId="0" applyFont="1" applyNumberFormat="1"/>
    <xf borderId="0" fillId="0" fontId="1" numFmtId="0" xfId="0" applyAlignment="1" applyFont="1">
      <alignment readingOrder="0"/>
    </xf>
    <xf borderId="0" fillId="0" fontId="10" numFmtId="166" xfId="0" applyAlignment="1" applyFont="1" applyNumberFormat="1">
      <alignment readingOrder="0"/>
    </xf>
    <xf borderId="0" fillId="0" fontId="10" numFmtId="0" xfId="0" applyAlignment="1" applyFont="1">
      <alignment horizontal="center" readingOrder="0"/>
    </xf>
    <xf borderId="0" fillId="0" fontId="10" numFmtId="0" xfId="0" applyAlignment="1" applyFont="1">
      <alignment horizontal="center" readingOrder="0" vertical="bottom"/>
    </xf>
    <xf borderId="0" fillId="0" fontId="10" numFmtId="164" xfId="0" applyAlignment="1" applyFont="1" applyNumberFormat="1">
      <alignment horizontal="right" vertical="bottom"/>
    </xf>
    <xf borderId="0" fillId="0" fontId="10" numFmtId="164" xfId="0" applyAlignment="1" applyFont="1" applyNumberFormat="1">
      <alignment horizontal="right" readingOrder="0" vertical="bottom"/>
    </xf>
    <xf borderId="0" fillId="0" fontId="10" numFmtId="164" xfId="0" applyAlignment="1" applyFont="1" applyNumberFormat="1">
      <alignment horizontal="left" readingOrder="0" vertical="bottom"/>
    </xf>
    <xf borderId="0" fillId="0" fontId="4" numFmtId="164" xfId="0" applyFont="1" applyNumberFormat="1"/>
    <xf borderId="0" fillId="0" fontId="9" numFmtId="164" xfId="0" applyFont="1" applyNumberFormat="1"/>
    <xf borderId="9" fillId="4" fontId="10" numFmtId="164" xfId="0" applyBorder="1" applyFont="1" applyNumberFormat="1"/>
    <xf borderId="0" fillId="4" fontId="10" numFmtId="164" xfId="0" applyFont="1" applyNumberFormat="1"/>
    <xf borderId="0" fillId="0" fontId="10" numFmtId="166" xfId="0" applyAlignment="1" applyFont="1" applyNumberFormat="1">
      <alignment horizontal="center" vertical="bottom"/>
    </xf>
    <xf borderId="0" fillId="4" fontId="10" numFmtId="164" xfId="0" applyAlignment="1" applyFont="1" applyNumberFormat="1">
      <alignment vertical="bottom"/>
    </xf>
    <xf borderId="0" fillId="0" fontId="10" numFmtId="0" xfId="0" applyAlignment="1" applyFont="1">
      <alignment horizontal="center" vertical="bottom"/>
    </xf>
    <xf borderId="0" fillId="0" fontId="10" numFmtId="166" xfId="0" applyAlignment="1" applyFont="1" applyNumberFormat="1">
      <alignment horizontal="left"/>
    </xf>
    <xf borderId="0" fillId="0" fontId="10" numFmtId="164" xfId="0" applyAlignment="1" applyFont="1" applyNumberFormat="1">
      <alignment horizontal="left" vertical="bottom"/>
    </xf>
    <xf borderId="0" fillId="6" fontId="10" numFmtId="0" xfId="0" applyAlignment="1" applyFont="1">
      <alignment readingOrder="0"/>
    </xf>
    <xf borderId="0" fillId="6" fontId="10" numFmtId="0" xfId="0" applyAlignment="1" applyFont="1">
      <alignment horizontal="center"/>
    </xf>
    <xf borderId="0" fillId="6" fontId="10" numFmtId="164" xfId="0" applyAlignment="1" applyFont="1" applyNumberFormat="1">
      <alignment readingOrder="0"/>
    </xf>
    <xf borderId="0" fillId="6" fontId="10" numFmtId="164" xfId="0" applyFont="1" applyNumberFormat="1"/>
    <xf borderId="13" fillId="0" fontId="2" numFmtId="164" xfId="0" applyAlignment="1" applyBorder="1" applyFont="1" applyNumberFormat="1">
      <alignment horizontal="center" vertical="center"/>
    </xf>
    <xf borderId="0" fillId="6" fontId="10" numFmtId="164" xfId="0" applyAlignment="1" applyFont="1" applyNumberFormat="1">
      <alignment horizontal="right" vertical="bottom"/>
    </xf>
    <xf borderId="0" fillId="6" fontId="10" numFmtId="0" xfId="0" applyAlignment="1" applyFont="1">
      <alignment horizontal="center" vertical="center"/>
    </xf>
    <xf borderId="0" fillId="6" fontId="10" numFmtId="0" xfId="0" applyFont="1"/>
    <xf borderId="9" fillId="6" fontId="10" numFmtId="0" xfId="0" applyBorder="1" applyFont="1"/>
    <xf borderId="9" fillId="6" fontId="10" numFmtId="0" xfId="0" applyAlignment="1" applyBorder="1" applyFont="1">
      <alignment horizontal="center"/>
    </xf>
    <xf borderId="9" fillId="6" fontId="10" numFmtId="164" xfId="0" applyBorder="1" applyFont="1" applyNumberFormat="1"/>
    <xf borderId="0" fillId="6" fontId="1" numFmtId="164" xfId="0" applyAlignment="1" applyFont="1" applyNumberFormat="1">
      <alignment horizontal="left" readingOrder="0"/>
    </xf>
    <xf borderId="0" fillId="0" fontId="1" numFmtId="164" xfId="0" applyAlignment="1" applyFont="1" applyNumberFormat="1">
      <alignment horizontal="left" readingOrder="0"/>
    </xf>
    <xf borderId="14" fillId="0" fontId="5" numFmtId="0" xfId="0" applyBorder="1" applyFont="1"/>
    <xf borderId="9" fillId="6" fontId="10" numFmtId="164" xfId="0" applyAlignment="1" applyBorder="1" applyFont="1" applyNumberFormat="1">
      <alignment readingOrder="0"/>
    </xf>
    <xf borderId="0" fillId="0" fontId="1" numFmtId="164" xfId="0" applyAlignment="1" applyFont="1" applyNumberFormat="1">
      <alignment horizontal="left"/>
    </xf>
    <xf borderId="0" fillId="6" fontId="1" numFmtId="164" xfId="0" applyFont="1" applyNumberFormat="1"/>
    <xf borderId="0" fillId="7" fontId="10" numFmtId="0" xfId="0" applyFont="1"/>
    <xf borderId="0" fillId="6" fontId="10" numFmtId="0" xfId="0" applyAlignment="1" applyFont="1">
      <alignment horizontal="center" readingOrder="0"/>
    </xf>
    <xf borderId="0" fillId="6" fontId="1" numFmtId="164" xfId="0" applyAlignment="1" applyFont="1" applyNumberFormat="1">
      <alignment readingOrder="0"/>
    </xf>
    <xf borderId="0" fillId="6" fontId="10" numFmtId="0" xfId="0" applyAlignment="1" applyFont="1">
      <alignment vertical="center"/>
    </xf>
    <xf borderId="0" fillId="6" fontId="10" numFmtId="164" xfId="0" applyAlignment="1" applyFont="1" applyNumberFormat="1">
      <alignment readingOrder="0" vertical="center"/>
    </xf>
    <xf borderId="0" fillId="6" fontId="10" numFmtId="164" xfId="0" applyAlignment="1" applyFont="1" applyNumberFormat="1">
      <alignment vertical="center"/>
    </xf>
    <xf borderId="0" fillId="0" fontId="10" numFmtId="0" xfId="0" applyAlignment="1" applyFont="1">
      <alignment vertical="center"/>
    </xf>
    <xf borderId="0" fillId="0" fontId="2" numFmtId="164" xfId="0" applyAlignment="1" applyFont="1" applyNumberFormat="1">
      <alignment horizontal="center" vertical="center"/>
    </xf>
    <xf borderId="0" fillId="0" fontId="10" numFmtId="164" xfId="0" applyAlignment="1" applyFont="1" applyNumberFormat="1">
      <alignment vertical="center"/>
    </xf>
    <xf borderId="0" fillId="6" fontId="10" numFmtId="0" xfId="0" applyAlignment="1" applyFont="1">
      <alignment readingOrder="0" shrinkToFit="0" wrapText="1"/>
    </xf>
    <xf borderId="0" fillId="6" fontId="10" numFmtId="0" xfId="0" applyAlignment="1" applyFont="1">
      <alignment shrinkToFit="0" wrapText="1"/>
    </xf>
    <xf borderId="0" fillId="0" fontId="1" numFmtId="164" xfId="0" applyAlignment="1" applyFont="1" applyNumberFormat="1">
      <alignment horizontal="right"/>
    </xf>
    <xf borderId="0" fillId="11" fontId="1" numFmtId="0" xfId="0" applyFill="1" applyFont="1"/>
    <xf borderId="0" fillId="11" fontId="10" numFmtId="164" xfId="0" applyFont="1" applyNumberFormat="1"/>
    <xf borderId="0" fillId="11" fontId="10" numFmtId="0" xfId="0" applyAlignment="1" applyFont="1">
      <alignment horizontal="center"/>
    </xf>
    <xf borderId="0" fillId="6" fontId="12" numFmtId="0" xfId="0" applyFont="1"/>
    <xf borderId="0" fillId="0" fontId="10" numFmtId="0" xfId="0" applyAlignment="1" applyFont="1">
      <alignment horizontal="center" vertical="bottom"/>
    </xf>
    <xf borderId="0" fillId="6" fontId="10" numFmtId="0" xfId="0" applyAlignment="1" applyFont="1">
      <alignment readingOrder="0" vertical="bottom"/>
    </xf>
    <xf borderId="0" fillId="6" fontId="10" numFmtId="0" xfId="0" applyAlignment="1" applyFont="1">
      <alignment horizontal="center" vertical="bottom"/>
    </xf>
    <xf borderId="0" fillId="6" fontId="10" numFmtId="164" xfId="0" applyAlignment="1" applyFont="1" applyNumberFormat="1">
      <alignment horizontal="right" readingOrder="0" vertical="bottom"/>
    </xf>
    <xf borderId="0" fillId="6" fontId="10" numFmtId="164" xfId="0" applyAlignment="1" applyFont="1" applyNumberFormat="1">
      <alignment vertical="bottom"/>
    </xf>
    <xf borderId="0" fillId="0" fontId="2" numFmtId="164" xfId="0" applyAlignment="1" applyFont="1" applyNumberFormat="1">
      <alignment vertical="center"/>
    </xf>
    <xf borderId="9" fillId="6" fontId="10" numFmtId="0" xfId="0" applyAlignment="1" applyBorder="1" applyFont="1">
      <alignment readingOrder="0"/>
    </xf>
    <xf borderId="1" fillId="0" fontId="13" numFmtId="0" xfId="0" applyAlignment="1" applyBorder="1" applyFont="1">
      <alignment horizontal="center" readingOrder="0"/>
    </xf>
    <xf borderId="4" fillId="0" fontId="2" numFmtId="164" xfId="0" applyBorder="1" applyFont="1" applyNumberFormat="1"/>
    <xf borderId="0" fillId="0" fontId="2" numFmtId="164" xfId="0" applyFont="1" applyNumberFormat="1"/>
    <xf borderId="0" fillId="12" fontId="14" numFmtId="10" xfId="0" applyFill="1" applyFont="1" applyNumberFormat="1"/>
    <xf borderId="0" fillId="0" fontId="1" numFmtId="10" xfId="0" applyFont="1" applyNumberFormat="1"/>
    <xf borderId="0" fillId="0" fontId="3" numFmtId="0" xfId="0" applyAlignment="1" applyFont="1">
      <alignment horizontal="center" readingOrder="0" vertical="center"/>
    </xf>
    <xf borderId="0" fillId="0" fontId="1" numFmtId="166" xfId="0" applyAlignment="1" applyFont="1" applyNumberFormat="1">
      <alignment horizontal="center" vertical="center"/>
    </xf>
    <xf borderId="0" fillId="8" fontId="1" numFmtId="164" xfId="0" applyAlignment="1" applyFont="1" applyNumberFormat="1">
      <alignment readingOrder="0"/>
    </xf>
    <xf borderId="0" fillId="0" fontId="12" numFmtId="166" xfId="0" applyAlignment="1" applyFont="1" applyNumberFormat="1">
      <alignment readingOrder="0"/>
    </xf>
    <xf borderId="0" fillId="0" fontId="12" numFmtId="166" xfId="0" applyFont="1" applyNumberFormat="1"/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shrinkToFit="0" vertical="center" wrapText="1"/>
    </xf>
    <xf borderId="0" fillId="13" fontId="9" numFmtId="0" xfId="0" applyAlignment="1" applyFill="1" applyFont="1">
      <alignment horizontal="center" vertical="center"/>
    </xf>
    <xf borderId="0" fillId="13" fontId="4" numFmtId="166" xfId="0" applyAlignment="1" applyFont="1" applyNumberFormat="1">
      <alignment horizontal="center" vertical="center"/>
    </xf>
    <xf borderId="15" fillId="14" fontId="15" numFmtId="0" xfId="0" applyAlignment="1" applyBorder="1" applyFill="1" applyFont="1">
      <alignment horizontal="center" vertical="center"/>
    </xf>
    <xf borderId="16" fillId="0" fontId="5" numFmtId="0" xfId="0" applyBorder="1" applyFont="1"/>
    <xf borderId="17" fillId="0" fontId="5" numFmtId="0" xfId="0" applyBorder="1" applyFont="1"/>
    <xf borderId="18" fillId="0" fontId="10" numFmtId="0" xfId="0" applyBorder="1" applyFont="1"/>
    <xf borderId="19" fillId="0" fontId="10" numFmtId="0" xfId="0" applyBorder="1" applyFont="1"/>
    <xf borderId="20" fillId="0" fontId="10" numFmtId="0" xfId="0" applyBorder="1" applyFont="1"/>
    <xf borderId="21" fillId="0" fontId="10" numFmtId="0" xfId="0" applyAlignment="1" applyBorder="1" applyFont="1">
      <alignment horizontal="center"/>
    </xf>
    <xf borderId="21" fillId="0" fontId="10" numFmtId="164" xfId="0" applyBorder="1" applyFont="1" applyNumberFormat="1"/>
    <xf borderId="21" fillId="0" fontId="5" numFmtId="0" xfId="0" applyBorder="1" applyFont="1"/>
    <xf borderId="22" fillId="0" fontId="10" numFmtId="0" xfId="0" applyBorder="1" applyFont="1"/>
    <xf borderId="0" fillId="0" fontId="13" numFmtId="0" xfId="0" applyAlignment="1" applyFont="1">
      <alignment horizontal="center"/>
    </xf>
    <xf borderId="0" fillId="4" fontId="14" numFmtId="0" xfId="0" applyAlignment="1" applyFont="1">
      <alignment horizontal="center" vertical="center"/>
    </xf>
    <xf borderId="0" fillId="4" fontId="14" numFmtId="164" xfId="0" applyAlignment="1" applyFont="1" applyNumberFormat="1">
      <alignment vertical="center"/>
    </xf>
    <xf borderId="9" fillId="0" fontId="10" numFmtId="0" xfId="0" applyBorder="1" applyFont="1"/>
    <xf borderId="9" fillId="0" fontId="10" numFmtId="0" xfId="0" applyAlignment="1" applyBorder="1" applyFont="1">
      <alignment horizontal="center"/>
    </xf>
    <xf borderId="9" fillId="0" fontId="10" numFmtId="164" xfId="0" applyAlignment="1" applyBorder="1" applyFont="1" applyNumberFormat="1">
      <alignment readingOrder="0"/>
    </xf>
    <xf borderId="9" fillId="0" fontId="10" numFmtId="164" xfId="0" applyBorder="1" applyFont="1" applyNumberFormat="1"/>
    <xf borderId="0" fillId="0" fontId="10" numFmtId="164" xfId="0" applyAlignment="1" applyFont="1" applyNumberFormat="1">
      <alignment readingOrder="0" vertical="center"/>
    </xf>
    <xf borderId="0" fillId="0" fontId="10" numFmtId="0" xfId="0" applyAlignment="1" applyFont="1">
      <alignment shrinkToFit="0" wrapText="1"/>
    </xf>
    <xf borderId="0" fillId="0" fontId="10" numFmtId="0" xfId="0" applyAlignment="1" applyFont="1">
      <alignment readingOrder="0" vertical="bottom"/>
    </xf>
    <xf borderId="0" fillId="0" fontId="10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5B9BD5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Pt>
            <c:idx val="3"/>
            <c:spPr>
              <a:solidFill>
                <a:srgbClr val="FFC000"/>
              </a:solidFill>
            </c:spPr>
          </c:dPt>
          <c:dPt>
            <c:idx val="4"/>
            <c:spPr>
              <a:solidFill>
                <a:srgbClr val="4472C4"/>
              </a:solidFill>
            </c:spPr>
          </c:dPt>
          <c:dPt>
            <c:idx val="5"/>
            <c:spPr>
              <a:solidFill>
                <a:srgbClr val="70AD47"/>
              </a:solidFill>
            </c:spPr>
          </c:dPt>
          <c:dPt>
            <c:idx val="6"/>
            <c:spPr>
              <a:solidFill>
                <a:srgbClr val="8CB9E2"/>
              </a:solidFill>
            </c:spPr>
          </c:dPt>
          <c:dPt>
            <c:idx val="7"/>
            <c:spPr>
              <a:solidFill>
                <a:srgbClr val="F2A46F"/>
              </a:solidFill>
            </c:spPr>
          </c:dPt>
          <c:dPt>
            <c:idx val="8"/>
            <c:spPr>
              <a:solidFill>
                <a:srgbClr val="C0C0C0"/>
              </a:solidFill>
            </c:spPr>
          </c:dPt>
          <c:dPt>
            <c:idx val="9"/>
            <c:spPr>
              <a:solidFill>
                <a:srgbClr val="FFD34D"/>
              </a:solidFill>
            </c:spPr>
          </c:dPt>
          <c:dPt>
            <c:idx val="10"/>
            <c:spPr>
              <a:solidFill>
                <a:srgbClr val="7C9CD6"/>
              </a:solidFill>
            </c:spPr>
          </c:dPt>
          <c:dPt>
            <c:idx val="11"/>
            <c:spPr>
              <a:solidFill>
                <a:srgbClr val="9BC67E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Janeiro!$D$292:$D$303</c:f>
            </c:strRef>
          </c:cat>
          <c:val>
            <c:numRef>
              <c:f>Janeiro!$E$292:$E$303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5B9BD5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Pt>
            <c:idx val="3"/>
            <c:spPr>
              <a:solidFill>
                <a:srgbClr val="FFC000"/>
              </a:solidFill>
            </c:spPr>
          </c:dPt>
          <c:dPt>
            <c:idx val="4"/>
            <c:spPr>
              <a:solidFill>
                <a:srgbClr val="4472C4"/>
              </a:solidFill>
            </c:spPr>
          </c:dPt>
          <c:dPt>
            <c:idx val="5"/>
            <c:spPr>
              <a:solidFill>
                <a:srgbClr val="70AD47"/>
              </a:solidFill>
            </c:spPr>
          </c:dPt>
          <c:dPt>
            <c:idx val="6"/>
            <c:spPr>
              <a:solidFill>
                <a:srgbClr val="8CB9E2"/>
              </a:solidFill>
            </c:spPr>
          </c:dPt>
          <c:dPt>
            <c:idx val="7"/>
            <c:spPr>
              <a:solidFill>
                <a:srgbClr val="F2A46F"/>
              </a:solidFill>
            </c:spPr>
          </c:dPt>
          <c:dPt>
            <c:idx val="8"/>
            <c:spPr>
              <a:solidFill>
                <a:srgbClr val="C0C0C0"/>
              </a:solidFill>
            </c:spPr>
          </c:dPt>
          <c:dPt>
            <c:idx val="9"/>
            <c:spPr>
              <a:solidFill>
                <a:srgbClr val="FFD34D"/>
              </a:solidFill>
            </c:spPr>
          </c:dPt>
          <c:dPt>
            <c:idx val="10"/>
            <c:spPr>
              <a:solidFill>
                <a:srgbClr val="7C9CD6"/>
              </a:solidFill>
            </c:spPr>
          </c:dPt>
          <c:dPt>
            <c:idx val="11"/>
            <c:spPr>
              <a:solidFill>
                <a:srgbClr val="9BC67E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Fevereiro!$D$290:$D$301</c:f>
            </c:strRef>
          </c:cat>
          <c:val>
            <c:numRef>
              <c:f>Fevereiro!$E$290:$E$301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1143000</xdr:colOff>
      <xdr:row>290</xdr:row>
      <xdr:rowOff>28575</xdr:rowOff>
    </xdr:from>
    <xdr:ext cx="4867275" cy="3009900"/>
    <xdr:graphicFrame>
      <xdr:nvGraphicFramePr>
        <xdr:cNvPr id="1201927567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1143000</xdr:colOff>
      <xdr:row>288</xdr:row>
      <xdr:rowOff>28575</xdr:rowOff>
    </xdr:from>
    <xdr:ext cx="4867275" cy="3009900"/>
    <xdr:graphicFrame>
      <xdr:nvGraphicFramePr>
        <xdr:cNvPr id="1759050768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23.0"/>
    <col customWidth="1" min="3" max="3" width="84.43"/>
    <col customWidth="1" min="4" max="4" width="55.14"/>
    <col customWidth="1" min="5" max="5" width="34.43"/>
    <col customWidth="1" min="6" max="6" width="36.86"/>
  </cols>
  <sheetData>
    <row r="1">
      <c r="A1" s="1">
        <v>3.0</v>
      </c>
    </row>
    <row r="2">
      <c r="B2" s="2" t="s">
        <v>0</v>
      </c>
      <c r="C2" s="2" t="s">
        <v>1</v>
      </c>
      <c r="D2" s="2" t="s">
        <v>2</v>
      </c>
      <c r="E2" s="2" t="s">
        <v>3</v>
      </c>
      <c r="F2" s="2" t="s">
        <v>2</v>
      </c>
    </row>
    <row r="3">
      <c r="B3" s="3">
        <v>202.0</v>
      </c>
      <c r="C3" s="4" t="s">
        <v>4</v>
      </c>
      <c r="D3" s="4" t="s">
        <v>5</v>
      </c>
      <c r="E3" s="4" t="s">
        <v>4</v>
      </c>
      <c r="F3" s="4" t="s">
        <v>5</v>
      </c>
    </row>
    <row r="4">
      <c r="B4" s="3">
        <v>213.0</v>
      </c>
      <c r="C4" s="5" t="s">
        <v>6</v>
      </c>
      <c r="D4" s="5" t="s">
        <v>7</v>
      </c>
      <c r="E4" s="5" t="s">
        <v>8</v>
      </c>
      <c r="F4" s="5" t="s">
        <v>7</v>
      </c>
    </row>
    <row r="5">
      <c r="B5" s="3">
        <v>307.0</v>
      </c>
      <c r="C5" s="6" t="s">
        <v>9</v>
      </c>
      <c r="D5" s="6" t="s">
        <v>10</v>
      </c>
      <c r="E5" s="6" t="s">
        <v>9</v>
      </c>
      <c r="F5" s="6" t="s">
        <v>10</v>
      </c>
    </row>
    <row r="6">
      <c r="B6" s="3">
        <v>313.0</v>
      </c>
      <c r="C6" s="6" t="s">
        <v>11</v>
      </c>
      <c r="D6" s="6" t="s">
        <v>10</v>
      </c>
      <c r="E6" s="4" t="s">
        <v>12</v>
      </c>
      <c r="F6" s="4" t="s">
        <v>13</v>
      </c>
    </row>
    <row r="7">
      <c r="B7" s="3" t="s">
        <v>14</v>
      </c>
      <c r="C7" s="7" t="s">
        <v>15</v>
      </c>
      <c r="D7" s="7" t="s">
        <v>16</v>
      </c>
      <c r="E7" s="7" t="s">
        <v>15</v>
      </c>
      <c r="F7" s="7" t="s">
        <v>16</v>
      </c>
    </row>
    <row r="8">
      <c r="B8" s="3" t="s">
        <v>17</v>
      </c>
      <c r="C8" s="6" t="s">
        <v>18</v>
      </c>
      <c r="D8" s="6" t="s">
        <v>10</v>
      </c>
      <c r="E8" s="4" t="s">
        <v>19</v>
      </c>
      <c r="F8" s="4" t="s">
        <v>13</v>
      </c>
    </row>
    <row r="9">
      <c r="B9" s="3" t="s">
        <v>20</v>
      </c>
      <c r="C9" s="6" t="s">
        <v>21</v>
      </c>
      <c r="D9" s="6" t="s">
        <v>22</v>
      </c>
      <c r="E9" s="6" t="s">
        <v>21</v>
      </c>
      <c r="F9" s="6" t="s">
        <v>22</v>
      </c>
    </row>
    <row r="10">
      <c r="B10" s="3" t="s">
        <v>23</v>
      </c>
      <c r="C10" s="5" t="s">
        <v>24</v>
      </c>
      <c r="D10" s="5" t="s">
        <v>7</v>
      </c>
      <c r="E10" s="5" t="s">
        <v>24</v>
      </c>
      <c r="F10" s="5" t="s">
        <v>7</v>
      </c>
    </row>
    <row r="13">
      <c r="B13" s="8" t="s">
        <v>25</v>
      </c>
      <c r="C13" s="9"/>
      <c r="D13" s="10"/>
    </row>
    <row r="14">
      <c r="B14" s="11">
        <v>202.0</v>
      </c>
      <c r="C14" s="6" t="s">
        <v>10</v>
      </c>
      <c r="E14" s="12" t="s">
        <v>26</v>
      </c>
    </row>
    <row r="15">
      <c r="B15" s="11">
        <v>213.0</v>
      </c>
      <c r="C15" s="5" t="s">
        <v>27</v>
      </c>
    </row>
    <row r="16">
      <c r="B16" s="11">
        <v>307.0</v>
      </c>
      <c r="C16" s="6" t="s">
        <v>10</v>
      </c>
    </row>
    <row r="17">
      <c r="B17" s="11">
        <v>313.0</v>
      </c>
      <c r="C17" s="6" t="s">
        <v>10</v>
      </c>
      <c r="E17" s="12"/>
    </row>
    <row r="18">
      <c r="B18" s="11" t="s">
        <v>14</v>
      </c>
      <c r="C18" s="6" t="s">
        <v>10</v>
      </c>
    </row>
    <row r="19">
      <c r="B19" s="11" t="s">
        <v>17</v>
      </c>
      <c r="C19" s="6" t="s">
        <v>10</v>
      </c>
      <c r="E19" s="12" t="s">
        <v>26</v>
      </c>
    </row>
    <row r="20">
      <c r="B20" s="11" t="s">
        <v>20</v>
      </c>
      <c r="C20" s="6" t="s">
        <v>10</v>
      </c>
    </row>
    <row r="21">
      <c r="B21" s="11" t="s">
        <v>23</v>
      </c>
      <c r="C21" s="6" t="s">
        <v>10</v>
      </c>
    </row>
    <row r="23">
      <c r="A23" s="3" t="s">
        <v>28</v>
      </c>
    </row>
    <row r="24">
      <c r="A24" s="13" t="s">
        <v>29</v>
      </c>
      <c r="B24" s="11">
        <v>202.0</v>
      </c>
      <c r="C24" s="14" t="s">
        <v>30</v>
      </c>
      <c r="D24" s="14" t="s">
        <v>31</v>
      </c>
    </row>
    <row r="25">
      <c r="A25" s="15" t="s">
        <v>32</v>
      </c>
      <c r="B25" s="16">
        <v>213.0</v>
      </c>
      <c r="C25" s="17" t="s">
        <v>33</v>
      </c>
      <c r="D25" s="17" t="s">
        <v>34</v>
      </c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</row>
    <row r="26">
      <c r="A26" s="12"/>
      <c r="B26" s="11">
        <v>307.0</v>
      </c>
      <c r="C26" s="14" t="s">
        <v>35</v>
      </c>
      <c r="D26" s="14" t="s">
        <v>36</v>
      </c>
    </row>
    <row r="27">
      <c r="A27" s="13" t="s">
        <v>37</v>
      </c>
      <c r="B27" s="11">
        <v>313.0</v>
      </c>
      <c r="C27" s="14" t="s">
        <v>38</v>
      </c>
      <c r="D27" s="14" t="s">
        <v>39</v>
      </c>
    </row>
    <row r="28">
      <c r="A28" s="12"/>
      <c r="B28" s="11">
        <v>314.0</v>
      </c>
      <c r="C28" s="14" t="s">
        <v>40</v>
      </c>
      <c r="D28" s="14" t="s">
        <v>41</v>
      </c>
    </row>
    <row r="29">
      <c r="A29" s="12"/>
      <c r="B29" s="11" t="s">
        <v>14</v>
      </c>
      <c r="C29" s="19" t="s">
        <v>42</v>
      </c>
      <c r="D29" s="19" t="s">
        <v>42</v>
      </c>
    </row>
    <row r="30">
      <c r="A30" s="12" t="s">
        <v>43</v>
      </c>
      <c r="B30" s="11" t="s">
        <v>17</v>
      </c>
      <c r="C30" s="14" t="s">
        <v>44</v>
      </c>
      <c r="D30" s="14" t="s">
        <v>45</v>
      </c>
    </row>
    <row r="31">
      <c r="A31" s="12"/>
      <c r="B31" s="11" t="s">
        <v>20</v>
      </c>
      <c r="C31" s="14" t="s">
        <v>46</v>
      </c>
      <c r="D31" s="14" t="s">
        <v>47</v>
      </c>
    </row>
    <row r="32">
      <c r="A32" s="20" t="s">
        <v>48</v>
      </c>
      <c r="B32" s="21" t="s">
        <v>23</v>
      </c>
      <c r="C32" s="22" t="s">
        <v>49</v>
      </c>
      <c r="D32" s="14" t="s">
        <v>50</v>
      </c>
    </row>
    <row r="33">
      <c r="B33" s="23"/>
      <c r="C33" s="24" t="s">
        <v>51</v>
      </c>
    </row>
    <row r="34">
      <c r="C34" s="1"/>
    </row>
    <row r="35">
      <c r="C35" s="1" t="s">
        <v>52</v>
      </c>
    </row>
    <row r="36">
      <c r="C36" s="1" t="s">
        <v>53</v>
      </c>
    </row>
    <row r="37">
      <c r="C37" s="1" t="s">
        <v>54</v>
      </c>
    </row>
    <row r="38">
      <c r="C38" s="1" t="s">
        <v>55</v>
      </c>
    </row>
    <row r="39">
      <c r="C39" s="1" t="s">
        <v>56</v>
      </c>
    </row>
    <row r="40">
      <c r="C40" s="1" t="s">
        <v>57</v>
      </c>
    </row>
    <row r="41">
      <c r="C41" s="1" t="s">
        <v>58</v>
      </c>
    </row>
    <row r="42">
      <c r="C42" s="1" t="s">
        <v>59</v>
      </c>
    </row>
    <row r="43">
      <c r="C43" s="1" t="s">
        <v>60</v>
      </c>
    </row>
    <row r="44">
      <c r="C44" s="1" t="s">
        <v>61</v>
      </c>
    </row>
    <row r="45">
      <c r="C45" s="1" t="s">
        <v>62</v>
      </c>
    </row>
    <row r="46">
      <c r="C46" s="1" t="s">
        <v>63</v>
      </c>
    </row>
    <row r="49">
      <c r="B49" s="25" t="s">
        <v>64</v>
      </c>
      <c r="C49" s="10"/>
    </row>
    <row r="50">
      <c r="B50" s="26"/>
      <c r="C50" s="26"/>
    </row>
    <row r="51">
      <c r="B51" s="27" t="s">
        <v>65</v>
      </c>
      <c r="C51" s="27" t="s">
        <v>66</v>
      </c>
    </row>
    <row r="52">
      <c r="B52" s="28">
        <v>202.0</v>
      </c>
      <c r="C52" s="28">
        <v>4.5054886E7</v>
      </c>
    </row>
    <row r="53">
      <c r="B53" s="28">
        <v>213.0</v>
      </c>
      <c r="C53" s="28">
        <v>4.8398691E7</v>
      </c>
    </row>
    <row r="54">
      <c r="B54" s="28" t="s">
        <v>67</v>
      </c>
      <c r="C54" s="29" t="s">
        <v>68</v>
      </c>
    </row>
    <row r="55">
      <c r="B55" s="28" t="s">
        <v>69</v>
      </c>
      <c r="C55" s="28">
        <v>4.5032289E7</v>
      </c>
    </row>
    <row r="56">
      <c r="B56" s="28" t="s">
        <v>70</v>
      </c>
      <c r="C56" s="28">
        <v>4.5032297E7</v>
      </c>
    </row>
    <row r="57">
      <c r="B57" s="28">
        <v>313.0</v>
      </c>
      <c r="C57" s="29" t="s">
        <v>71</v>
      </c>
    </row>
    <row r="58">
      <c r="B58" s="28" t="s">
        <v>17</v>
      </c>
      <c r="C58" s="28" t="s">
        <v>72</v>
      </c>
    </row>
    <row r="59">
      <c r="B59" s="28" t="s">
        <v>73</v>
      </c>
      <c r="C59" s="28" t="s">
        <v>42</v>
      </c>
    </row>
    <row r="60">
      <c r="B60" s="28" t="s">
        <v>20</v>
      </c>
      <c r="C60" s="28">
        <v>5.1785226E7</v>
      </c>
    </row>
    <row r="61">
      <c r="B61" s="28" t="s">
        <v>74</v>
      </c>
      <c r="C61" s="28" t="s">
        <v>42</v>
      </c>
    </row>
    <row r="62">
      <c r="B62" s="28" t="s">
        <v>75</v>
      </c>
      <c r="C62" s="28" t="s">
        <v>76</v>
      </c>
    </row>
    <row r="63">
      <c r="B63" s="26"/>
      <c r="C63" s="26"/>
    </row>
  </sheetData>
  <mergeCells count="11">
    <mergeCell ref="C20:D20"/>
    <mergeCell ref="C21:D21"/>
    <mergeCell ref="B32:B33"/>
    <mergeCell ref="B49:C49"/>
    <mergeCell ref="B13:D13"/>
    <mergeCell ref="C14:D14"/>
    <mergeCell ref="C15:D15"/>
    <mergeCell ref="C16:D16"/>
    <mergeCell ref="C17:D17"/>
    <mergeCell ref="C18:D18"/>
    <mergeCell ref="C19:D19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76.71"/>
    <col customWidth="1" min="2" max="2" width="12.43"/>
    <col customWidth="1" min="3" max="3" width="20.0"/>
    <col customWidth="1" min="4" max="4" width="17.71"/>
    <col customWidth="1" min="5" max="5" width="16.71"/>
    <col customWidth="1" min="6" max="6" width="15.43"/>
    <col customWidth="1" min="7" max="7" width="19.71"/>
    <col customWidth="1" min="8" max="8" width="17.86"/>
    <col customWidth="1" min="9" max="9" width="12.29"/>
    <col customWidth="1" min="10" max="21" width="8.71"/>
  </cols>
  <sheetData>
    <row r="1" ht="14.25" customHeight="1">
      <c r="A1" s="30"/>
      <c r="B1" s="31"/>
      <c r="C1" s="31"/>
      <c r="D1" s="32"/>
    </row>
    <row r="2" ht="14.25" customHeight="1">
      <c r="A2" s="33" t="s">
        <v>77</v>
      </c>
      <c r="B2" s="33" t="s">
        <v>78</v>
      </c>
      <c r="C2" s="33" t="s">
        <v>79</v>
      </c>
      <c r="D2" s="33" t="s">
        <v>80</v>
      </c>
    </row>
    <row r="3" ht="12.75" customHeight="1">
      <c r="A3" s="34" t="s">
        <v>81</v>
      </c>
      <c r="B3" s="35"/>
      <c r="C3" s="35"/>
      <c r="D3" s="36"/>
    </row>
    <row r="4" ht="12.75" customHeight="1">
      <c r="A4" s="1" t="s">
        <v>82</v>
      </c>
      <c r="B4" s="37">
        <v>5.0</v>
      </c>
      <c r="C4" s="38">
        <v>1630.58</v>
      </c>
      <c r="D4" s="12" t="s">
        <v>83</v>
      </c>
      <c r="E4" s="39"/>
    </row>
    <row r="5" ht="12.75" customHeight="1">
      <c r="A5" s="40"/>
      <c r="B5" s="41"/>
      <c r="C5" s="42"/>
      <c r="D5" s="12"/>
    </row>
    <row r="6" ht="14.25" customHeight="1">
      <c r="A6" s="34" t="s">
        <v>84</v>
      </c>
      <c r="B6" s="35"/>
      <c r="C6" s="35"/>
      <c r="D6" s="36"/>
    </row>
    <row r="7" ht="12.75" customHeight="1">
      <c r="A7" s="40" t="s">
        <v>85</v>
      </c>
      <c r="B7" s="41">
        <v>5.0</v>
      </c>
      <c r="C7" s="42">
        <v>0.0</v>
      </c>
      <c r="D7" s="12" t="s">
        <v>86</v>
      </c>
    </row>
    <row r="8" ht="14.25" customHeight="1">
      <c r="D8" s="12"/>
      <c r="F8" s="1"/>
      <c r="G8" s="43"/>
    </row>
    <row r="9" ht="14.25" customHeight="1">
      <c r="A9" s="34" t="s">
        <v>87</v>
      </c>
      <c r="B9" s="35"/>
      <c r="C9" s="35"/>
      <c r="D9" s="36"/>
      <c r="F9" s="1"/>
      <c r="G9" s="43"/>
      <c r="I9" s="44"/>
    </row>
    <row r="10" ht="14.25" customHeight="1">
      <c r="A10" s="1" t="s">
        <v>88</v>
      </c>
      <c r="B10" s="41">
        <v>5.0</v>
      </c>
      <c r="C10" s="45"/>
      <c r="D10" s="12" t="s">
        <v>20</v>
      </c>
      <c r="E10" s="39"/>
      <c r="F10" s="1"/>
      <c r="G10" s="43"/>
    </row>
    <row r="11" ht="14.25" customHeight="1">
      <c r="D11" s="12"/>
      <c r="F11" s="1"/>
      <c r="G11" s="43"/>
    </row>
    <row r="12" ht="14.25" customHeight="1">
      <c r="A12" s="34" t="s">
        <v>89</v>
      </c>
      <c r="B12" s="35"/>
      <c r="C12" s="35"/>
      <c r="D12" s="36"/>
      <c r="F12" s="1"/>
      <c r="G12" s="43"/>
    </row>
    <row r="13" ht="14.25" customHeight="1">
      <c r="A13" s="40" t="s">
        <v>90</v>
      </c>
      <c r="B13" s="41">
        <v>5.0</v>
      </c>
      <c r="C13" s="45"/>
      <c r="D13" s="12" t="s">
        <v>91</v>
      </c>
      <c r="E13" s="39"/>
      <c r="F13" s="1"/>
      <c r="G13" s="43"/>
    </row>
    <row r="14" ht="12.75" customHeight="1">
      <c r="D14" s="12"/>
      <c r="G14" s="46"/>
    </row>
    <row r="15" ht="14.25" customHeight="1">
      <c r="A15" s="34" t="s">
        <v>92</v>
      </c>
      <c r="B15" s="35"/>
      <c r="C15" s="35"/>
      <c r="D15" s="36"/>
      <c r="E15" s="47"/>
      <c r="G15" s="12"/>
      <c r="H15" s="48"/>
    </row>
    <row r="16" ht="14.25" customHeight="1">
      <c r="A16" s="40" t="s">
        <v>93</v>
      </c>
      <c r="B16" s="41">
        <v>5.0</v>
      </c>
      <c r="C16" s="49">
        <v>1881.85</v>
      </c>
      <c r="D16" s="12" t="s">
        <v>83</v>
      </c>
      <c r="E16" s="39"/>
      <c r="G16" s="12"/>
    </row>
    <row r="17" ht="12.75" customHeight="1">
      <c r="B17" s="41"/>
      <c r="C17" s="42"/>
      <c r="D17" s="12"/>
      <c r="G17" s="50"/>
      <c r="H17" s="44"/>
    </row>
    <row r="18" ht="12.75" customHeight="1">
      <c r="A18" s="34" t="s">
        <v>94</v>
      </c>
      <c r="B18" s="35"/>
      <c r="C18" s="35"/>
      <c r="D18" s="36"/>
      <c r="G18" s="50"/>
      <c r="H18" s="44"/>
    </row>
    <row r="19" ht="14.25" customHeight="1">
      <c r="A19" s="51" t="s">
        <v>95</v>
      </c>
      <c r="B19" s="41">
        <v>5.0</v>
      </c>
      <c r="C19" s="49">
        <v>729.14</v>
      </c>
      <c r="D19" s="12" t="s">
        <v>83</v>
      </c>
      <c r="E19" s="52" t="s">
        <v>96</v>
      </c>
      <c r="F19" s="40"/>
      <c r="G19" s="53" t="s">
        <v>97</v>
      </c>
      <c r="H19" s="52" t="s">
        <v>98</v>
      </c>
    </row>
    <row r="20" ht="14.25" customHeight="1">
      <c r="C20" s="42"/>
      <c r="D20" s="12"/>
      <c r="G20" s="53"/>
      <c r="H20" s="48"/>
    </row>
    <row r="21" ht="12.75" customHeight="1">
      <c r="A21" s="54" t="s">
        <v>99</v>
      </c>
      <c r="B21" s="35"/>
      <c r="C21" s="35"/>
      <c r="D21" s="36"/>
      <c r="G21" s="50"/>
    </row>
    <row r="22" ht="14.25" customHeight="1">
      <c r="A22" s="40" t="s">
        <v>100</v>
      </c>
      <c r="B22" s="41">
        <v>5.0</v>
      </c>
      <c r="C22" s="49">
        <v>1821.08</v>
      </c>
      <c r="D22" s="12" t="s">
        <v>83</v>
      </c>
      <c r="E22" s="39"/>
      <c r="F22" s="40"/>
      <c r="G22" s="50"/>
    </row>
    <row r="23" ht="15.0" customHeight="1">
      <c r="A23" s="1" t="s">
        <v>101</v>
      </c>
      <c r="B23" s="12">
        <v>5.0</v>
      </c>
      <c r="C23" s="49">
        <v>1929.81</v>
      </c>
      <c r="D23" s="12" t="s">
        <v>83</v>
      </c>
      <c r="E23" s="39"/>
      <c r="F23" s="40"/>
      <c r="G23" s="55"/>
      <c r="H23" s="1"/>
    </row>
    <row r="24" ht="12.75" customHeight="1">
      <c r="A24" s="41"/>
      <c r="B24" s="41"/>
      <c r="C24" s="41"/>
      <c r="D24" s="12"/>
      <c r="F24" s="1"/>
      <c r="G24" s="56"/>
    </row>
    <row r="25" ht="14.25" customHeight="1">
      <c r="A25" s="34" t="s">
        <v>102</v>
      </c>
      <c r="B25" s="35"/>
      <c r="C25" s="35"/>
      <c r="D25" s="36"/>
      <c r="G25" s="50"/>
    </row>
    <row r="26" ht="14.25" customHeight="1">
      <c r="A26" s="40" t="s">
        <v>103</v>
      </c>
      <c r="B26" s="41">
        <v>5.0</v>
      </c>
      <c r="C26" s="49">
        <v>709.77</v>
      </c>
      <c r="D26" s="12" t="s">
        <v>83</v>
      </c>
      <c r="E26" s="39"/>
    </row>
    <row r="27" ht="14.25" customHeight="1">
      <c r="A27" s="40" t="s">
        <v>104</v>
      </c>
      <c r="B27" s="41">
        <v>5.0</v>
      </c>
      <c r="C27" s="45">
        <v>0.0</v>
      </c>
      <c r="D27" s="12" t="s">
        <v>83</v>
      </c>
      <c r="E27" s="39"/>
    </row>
    <row r="28" ht="14.25" customHeight="1">
      <c r="A28" s="40" t="s">
        <v>105</v>
      </c>
      <c r="B28" s="41">
        <v>5.0</v>
      </c>
      <c r="C28" s="49">
        <v>2001.6</v>
      </c>
      <c r="D28" s="12" t="s">
        <v>83</v>
      </c>
      <c r="E28" s="39"/>
    </row>
    <row r="29" ht="14.25" customHeight="1">
      <c r="A29" s="40" t="s">
        <v>106</v>
      </c>
      <c r="B29" s="41">
        <v>5.0</v>
      </c>
      <c r="C29" s="49">
        <v>2000.51</v>
      </c>
      <c r="D29" s="12" t="s">
        <v>83</v>
      </c>
      <c r="E29" s="39"/>
      <c r="G29" s="1"/>
    </row>
    <row r="30" ht="14.25" customHeight="1">
      <c r="A30" s="40" t="s">
        <v>107</v>
      </c>
      <c r="B30" s="41">
        <v>5.0</v>
      </c>
      <c r="C30" s="57">
        <v>2200.0</v>
      </c>
      <c r="D30" s="12" t="s">
        <v>83</v>
      </c>
    </row>
    <row r="31" ht="14.25" customHeight="1">
      <c r="A31" s="1" t="s">
        <v>108</v>
      </c>
      <c r="B31" s="41">
        <v>5.0</v>
      </c>
      <c r="C31" s="49">
        <v>2000.95</v>
      </c>
      <c r="D31" s="12" t="s">
        <v>83</v>
      </c>
      <c r="E31" s="39"/>
    </row>
    <row r="32" ht="14.25" customHeight="1">
      <c r="A32" s="40" t="s">
        <v>109</v>
      </c>
      <c r="B32" s="41">
        <v>5.0</v>
      </c>
      <c r="C32" s="49">
        <v>2001.6</v>
      </c>
      <c r="D32" s="12" t="s">
        <v>83</v>
      </c>
      <c r="E32" s="39"/>
    </row>
    <row r="33" ht="18.0" customHeight="1">
      <c r="A33" s="51" t="s">
        <v>110</v>
      </c>
      <c r="B33" s="41">
        <v>5.0</v>
      </c>
      <c r="C33" s="49">
        <v>1400.75</v>
      </c>
      <c r="D33" s="12" t="s">
        <v>83</v>
      </c>
      <c r="E33" s="39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</row>
    <row r="34" ht="18.0" customHeight="1">
      <c r="A34" s="51" t="s">
        <v>111</v>
      </c>
      <c r="B34" s="41">
        <v>5.0</v>
      </c>
      <c r="C34" s="49">
        <v>1800.75</v>
      </c>
      <c r="D34" s="12" t="s">
        <v>83</v>
      </c>
      <c r="E34" s="39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</row>
    <row r="35" ht="18.0" customHeight="1">
      <c r="A35" s="1" t="s">
        <v>112</v>
      </c>
      <c r="B35" s="41">
        <v>5.0</v>
      </c>
      <c r="C35" s="58">
        <v>1800.62</v>
      </c>
      <c r="D35" s="12" t="s">
        <v>83</v>
      </c>
      <c r="E35" s="39"/>
      <c r="F35" s="40"/>
      <c r="G35" s="40"/>
      <c r="H35" s="59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</row>
    <row r="36" ht="18.0" customHeight="1">
      <c r="A36" s="60" t="s">
        <v>113</v>
      </c>
      <c r="B36" s="41">
        <v>5.0</v>
      </c>
      <c r="C36" s="58">
        <v>1225.24</v>
      </c>
      <c r="D36" s="12" t="s">
        <v>83</v>
      </c>
      <c r="E36" s="52" t="s">
        <v>114</v>
      </c>
      <c r="F36" s="40"/>
      <c r="G36" s="51" t="s">
        <v>115</v>
      </c>
      <c r="H36" s="61" t="s">
        <v>116</v>
      </c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</row>
    <row r="37" ht="18.0" customHeight="1">
      <c r="A37" s="51" t="s">
        <v>117</v>
      </c>
      <c r="B37" s="62">
        <v>5.0</v>
      </c>
      <c r="C37" s="58">
        <v>1248.17</v>
      </c>
      <c r="D37" s="63" t="s">
        <v>83</v>
      </c>
      <c r="E37" s="39"/>
      <c r="F37" s="64"/>
      <c r="G37" s="64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</row>
    <row r="38" ht="18.0" customHeight="1">
      <c r="A38" s="51" t="s">
        <v>118</v>
      </c>
      <c r="B38" s="41"/>
      <c r="C38" s="58">
        <v>266.26</v>
      </c>
      <c r="D38" s="63" t="s">
        <v>83</v>
      </c>
      <c r="E38" s="52" t="s">
        <v>119</v>
      </c>
      <c r="F38" s="64"/>
      <c r="G38" s="65" t="s">
        <v>120</v>
      </c>
      <c r="H38" s="51" t="s">
        <v>121</v>
      </c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</row>
    <row r="39" ht="18.0" customHeight="1">
      <c r="A39" s="51" t="s">
        <v>122</v>
      </c>
      <c r="B39" s="41"/>
      <c r="C39" s="58">
        <f>1320-250</f>
        <v>1070</v>
      </c>
      <c r="D39" s="63" t="s">
        <v>83</v>
      </c>
      <c r="E39" s="66" t="s">
        <v>123</v>
      </c>
      <c r="F39" s="64"/>
      <c r="G39" s="64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</row>
    <row r="40" ht="18.0" customHeight="1">
      <c r="A40" s="40"/>
      <c r="B40" s="41"/>
      <c r="C40" s="67"/>
      <c r="D40" s="41"/>
      <c r="E40" s="64"/>
      <c r="F40" s="64"/>
      <c r="G40" s="64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</row>
    <row r="41" ht="18.0" customHeight="1">
      <c r="A41" s="40"/>
      <c r="B41" s="41"/>
      <c r="C41" s="67">
        <f>SUM(C3:C39)</f>
        <v>27718.68</v>
      </c>
      <c r="D41" s="41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</row>
    <row r="42" ht="18.0" customHeight="1">
      <c r="A42" s="40"/>
      <c r="B42" s="40"/>
      <c r="C42" s="40"/>
      <c r="D42" s="41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</row>
    <row r="43" ht="14.25" customHeight="1">
      <c r="D43" s="12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</row>
    <row r="44" ht="23.25" customHeight="1">
      <c r="D44" s="12"/>
    </row>
    <row r="45" ht="14.25" customHeight="1">
      <c r="A45" s="1" t="s">
        <v>124</v>
      </c>
      <c r="C45" s="44">
        <v>3562.44</v>
      </c>
      <c r="D45" s="12"/>
    </row>
    <row r="46" ht="14.25" customHeight="1">
      <c r="A46" s="1" t="s">
        <v>125</v>
      </c>
      <c r="C46" s="44">
        <v>4003.0</v>
      </c>
      <c r="D46" s="12"/>
      <c r="E46" s="44">
        <f>C45-3373.22</f>
        <v>189.22</v>
      </c>
    </row>
    <row r="47" ht="14.25" customHeight="1">
      <c r="A47" s="1" t="s">
        <v>126</v>
      </c>
      <c r="C47" s="44"/>
      <c r="D47" s="12"/>
    </row>
    <row r="48" ht="14.25" customHeight="1">
      <c r="D48" s="12"/>
    </row>
    <row r="49" ht="14.25" customHeight="1">
      <c r="D49" s="12"/>
    </row>
    <row r="50" ht="14.25" customHeight="1">
      <c r="D50" s="12"/>
    </row>
    <row r="51" ht="14.25" customHeight="1">
      <c r="C51" s="68">
        <f>SUM(C41:C49)</f>
        <v>35284.12</v>
      </c>
      <c r="D51" s="12"/>
    </row>
    <row r="52" ht="21.0" customHeight="1">
      <c r="D52" s="12"/>
    </row>
    <row r="53" ht="14.25" customHeight="1">
      <c r="D53" s="12"/>
    </row>
    <row r="54" ht="14.25" customHeight="1">
      <c r="D54" s="12"/>
    </row>
    <row r="55" ht="14.25" customHeight="1">
      <c r="D55" s="12"/>
    </row>
    <row r="56" ht="14.25" customHeight="1">
      <c r="D56" s="12"/>
    </row>
    <row r="57" ht="14.25" customHeight="1">
      <c r="D57" s="12"/>
    </row>
    <row r="58" ht="14.25" customHeight="1">
      <c r="D58" s="12"/>
    </row>
    <row r="59" ht="14.25" customHeight="1">
      <c r="D59" s="12"/>
    </row>
    <row r="60" ht="14.25" customHeight="1">
      <c r="D60" s="12"/>
    </row>
    <row r="61" ht="14.25" customHeight="1">
      <c r="D61" s="12"/>
    </row>
    <row r="62" ht="14.25" customHeight="1">
      <c r="D62" s="12"/>
    </row>
    <row r="63" ht="14.25" customHeight="1">
      <c r="D63" s="12"/>
    </row>
    <row r="64" ht="14.25" customHeight="1">
      <c r="D64" s="12"/>
    </row>
    <row r="65" ht="14.25" customHeight="1">
      <c r="D65" s="12"/>
    </row>
    <row r="66" ht="14.25" customHeight="1">
      <c r="D66" s="12"/>
    </row>
    <row r="67" ht="14.25" customHeight="1">
      <c r="D67" s="12"/>
    </row>
    <row r="68" ht="14.25" customHeight="1">
      <c r="D68" s="12"/>
    </row>
    <row r="69" ht="14.25" customHeight="1">
      <c r="D69" s="12"/>
    </row>
    <row r="70" ht="14.25" customHeight="1">
      <c r="D70" s="12"/>
    </row>
    <row r="71" ht="14.25" customHeight="1">
      <c r="D71" s="12"/>
    </row>
    <row r="72" ht="14.25" customHeight="1">
      <c r="D72" s="12"/>
    </row>
    <row r="73" ht="14.25" customHeight="1">
      <c r="D73" s="12"/>
    </row>
    <row r="74" ht="14.25" customHeight="1">
      <c r="D74" s="12"/>
    </row>
    <row r="75" ht="14.25" customHeight="1">
      <c r="D75" s="12"/>
    </row>
    <row r="76" ht="14.25" customHeight="1">
      <c r="D76" s="12"/>
    </row>
    <row r="77" ht="14.25" customHeight="1">
      <c r="D77" s="12"/>
    </row>
    <row r="78" ht="14.25" customHeight="1">
      <c r="D78" s="12"/>
    </row>
    <row r="79" ht="14.25" customHeight="1">
      <c r="D79" s="12"/>
    </row>
    <row r="80" ht="14.25" customHeight="1">
      <c r="D80" s="12"/>
    </row>
    <row r="81" ht="14.25" customHeight="1">
      <c r="D81" s="12"/>
    </row>
    <row r="82" ht="14.25" customHeight="1">
      <c r="D82" s="12"/>
    </row>
    <row r="83" ht="14.25" customHeight="1">
      <c r="D83" s="12"/>
    </row>
    <row r="84" ht="14.25" customHeight="1">
      <c r="D84" s="12"/>
    </row>
    <row r="85" ht="14.25" customHeight="1">
      <c r="D85" s="12"/>
    </row>
    <row r="86" ht="14.25" customHeight="1">
      <c r="D86" s="12"/>
    </row>
    <row r="87" ht="14.25" customHeight="1">
      <c r="D87" s="12"/>
    </row>
    <row r="88" ht="14.25" customHeight="1">
      <c r="D88" s="12"/>
    </row>
    <row r="89" ht="14.25" customHeight="1">
      <c r="D89" s="12"/>
    </row>
    <row r="90" ht="14.25" customHeight="1">
      <c r="D90" s="12"/>
    </row>
    <row r="91" ht="14.25" customHeight="1">
      <c r="D91" s="12"/>
    </row>
    <row r="92" ht="14.25" customHeight="1">
      <c r="D92" s="12"/>
    </row>
    <row r="93" ht="14.25" customHeight="1">
      <c r="D93" s="12"/>
    </row>
    <row r="94" ht="14.25" customHeight="1">
      <c r="D94" s="12"/>
    </row>
    <row r="95" ht="14.25" customHeight="1">
      <c r="D95" s="12"/>
    </row>
    <row r="96" ht="14.25" customHeight="1">
      <c r="D96" s="12"/>
    </row>
    <row r="97" ht="14.25" customHeight="1">
      <c r="D97" s="12"/>
    </row>
    <row r="98" ht="14.25" customHeight="1">
      <c r="D98" s="12"/>
    </row>
    <row r="99" ht="14.25" customHeight="1">
      <c r="D99" s="12"/>
    </row>
    <row r="100" ht="14.25" customHeight="1">
      <c r="D100" s="12"/>
    </row>
    <row r="101" ht="14.25" customHeight="1">
      <c r="D101" s="12"/>
    </row>
    <row r="102" ht="14.25" customHeight="1">
      <c r="D102" s="12"/>
    </row>
    <row r="103" ht="14.25" customHeight="1">
      <c r="D103" s="12"/>
    </row>
    <row r="104" ht="14.25" customHeight="1">
      <c r="D104" s="12"/>
    </row>
    <row r="105" ht="14.25" customHeight="1">
      <c r="D105" s="12"/>
    </row>
    <row r="106" ht="14.25" customHeight="1">
      <c r="D106" s="12"/>
    </row>
    <row r="107" ht="14.25" customHeight="1">
      <c r="D107" s="12"/>
    </row>
    <row r="108" ht="14.25" customHeight="1">
      <c r="D108" s="12"/>
    </row>
    <row r="109" ht="14.25" customHeight="1">
      <c r="D109" s="12"/>
    </row>
    <row r="110" ht="14.25" customHeight="1">
      <c r="D110" s="12"/>
    </row>
    <row r="111" ht="14.25" customHeight="1">
      <c r="D111" s="12"/>
    </row>
    <row r="112" ht="14.25" customHeight="1">
      <c r="D112" s="12"/>
    </row>
    <row r="113" ht="14.25" customHeight="1">
      <c r="D113" s="12"/>
    </row>
    <row r="114" ht="14.25" customHeight="1">
      <c r="D114" s="12"/>
    </row>
    <row r="115" ht="14.25" customHeight="1">
      <c r="D115" s="12"/>
    </row>
    <row r="116" ht="14.25" customHeight="1">
      <c r="D116" s="12"/>
    </row>
    <row r="117" ht="14.25" customHeight="1">
      <c r="D117" s="12"/>
    </row>
    <row r="118" ht="14.25" customHeight="1">
      <c r="D118" s="12"/>
    </row>
    <row r="119" ht="14.25" customHeight="1">
      <c r="D119" s="12"/>
    </row>
    <row r="120" ht="14.25" customHeight="1">
      <c r="D120" s="12"/>
    </row>
    <row r="121" ht="14.25" customHeight="1">
      <c r="D121" s="12"/>
    </row>
    <row r="122" ht="14.25" customHeight="1">
      <c r="D122" s="12"/>
    </row>
    <row r="123" ht="14.25" customHeight="1">
      <c r="D123" s="12"/>
    </row>
    <row r="124" ht="14.25" customHeight="1">
      <c r="D124" s="12"/>
    </row>
    <row r="125" ht="14.25" customHeight="1">
      <c r="D125" s="12"/>
    </row>
    <row r="126" ht="14.25" customHeight="1">
      <c r="D126" s="12"/>
    </row>
    <row r="127" ht="14.25" customHeight="1">
      <c r="D127" s="12"/>
    </row>
    <row r="128" ht="14.25" customHeight="1">
      <c r="D128" s="12"/>
    </row>
    <row r="129" ht="14.25" customHeight="1">
      <c r="D129" s="12"/>
    </row>
    <row r="130" ht="14.25" customHeight="1">
      <c r="D130" s="12"/>
    </row>
    <row r="131" ht="14.25" customHeight="1">
      <c r="D131" s="12"/>
    </row>
    <row r="132" ht="14.25" customHeight="1">
      <c r="D132" s="12"/>
    </row>
    <row r="133" ht="14.25" customHeight="1">
      <c r="D133" s="12"/>
    </row>
    <row r="134" ht="14.25" customHeight="1">
      <c r="D134" s="12"/>
    </row>
    <row r="135" ht="14.25" customHeight="1">
      <c r="D135" s="12"/>
    </row>
    <row r="136" ht="14.25" customHeight="1">
      <c r="D136" s="12"/>
    </row>
    <row r="137" ht="14.25" customHeight="1">
      <c r="D137" s="12"/>
    </row>
    <row r="138" ht="14.25" customHeight="1">
      <c r="D138" s="12"/>
    </row>
    <row r="139" ht="14.25" customHeight="1">
      <c r="D139" s="12"/>
    </row>
    <row r="140" ht="14.25" customHeight="1">
      <c r="D140" s="12"/>
    </row>
    <row r="141" ht="14.25" customHeight="1">
      <c r="D141" s="12"/>
    </row>
    <row r="142" ht="14.25" customHeight="1">
      <c r="D142" s="12"/>
    </row>
    <row r="143" ht="14.25" customHeight="1">
      <c r="D143" s="12"/>
    </row>
    <row r="144" ht="14.25" customHeight="1">
      <c r="D144" s="12"/>
    </row>
    <row r="145" ht="14.25" customHeight="1">
      <c r="D145" s="12"/>
    </row>
    <row r="146" ht="14.25" customHeight="1">
      <c r="D146" s="12"/>
    </row>
    <row r="147" ht="14.25" customHeight="1">
      <c r="D147" s="12"/>
    </row>
    <row r="148" ht="14.25" customHeight="1">
      <c r="D148" s="12"/>
    </row>
    <row r="149" ht="14.25" customHeight="1">
      <c r="D149" s="12"/>
    </row>
    <row r="150" ht="14.25" customHeight="1">
      <c r="D150" s="12"/>
    </row>
    <row r="151" ht="14.25" customHeight="1">
      <c r="D151" s="12"/>
    </row>
    <row r="152" ht="14.25" customHeight="1">
      <c r="D152" s="12"/>
    </row>
    <row r="153" ht="14.25" customHeight="1">
      <c r="D153" s="12"/>
    </row>
    <row r="154" ht="14.25" customHeight="1">
      <c r="D154" s="12"/>
    </row>
    <row r="155" ht="14.25" customHeight="1">
      <c r="D155" s="12"/>
    </row>
    <row r="156" ht="14.25" customHeight="1">
      <c r="D156" s="12"/>
    </row>
    <row r="157" ht="14.25" customHeight="1">
      <c r="D157" s="12"/>
    </row>
    <row r="158" ht="14.25" customHeight="1">
      <c r="D158" s="12"/>
    </row>
    <row r="159" ht="14.25" customHeight="1">
      <c r="D159" s="12"/>
    </row>
    <row r="160" ht="14.25" customHeight="1">
      <c r="D160" s="12"/>
    </row>
    <row r="161" ht="14.25" customHeight="1">
      <c r="D161" s="12"/>
    </row>
    <row r="162" ht="14.25" customHeight="1">
      <c r="D162" s="12"/>
    </row>
    <row r="163" ht="14.25" customHeight="1">
      <c r="D163" s="12"/>
    </row>
    <row r="164" ht="14.25" customHeight="1">
      <c r="D164" s="12"/>
    </row>
    <row r="165" ht="14.25" customHeight="1">
      <c r="D165" s="12"/>
    </row>
    <row r="166" ht="14.25" customHeight="1">
      <c r="D166" s="12"/>
    </row>
    <row r="167" ht="14.25" customHeight="1">
      <c r="D167" s="12"/>
    </row>
    <row r="168" ht="14.25" customHeight="1">
      <c r="D168" s="12"/>
    </row>
    <row r="169" ht="14.25" customHeight="1">
      <c r="D169" s="12"/>
    </row>
    <row r="170" ht="14.25" customHeight="1">
      <c r="D170" s="12"/>
    </row>
    <row r="171" ht="14.25" customHeight="1">
      <c r="D171" s="12"/>
    </row>
    <row r="172" ht="14.25" customHeight="1">
      <c r="D172" s="12"/>
    </row>
    <row r="173" ht="14.25" customHeight="1">
      <c r="D173" s="12"/>
    </row>
    <row r="174" ht="14.25" customHeight="1">
      <c r="D174" s="12"/>
    </row>
    <row r="175" ht="14.25" customHeight="1">
      <c r="D175" s="12"/>
    </row>
    <row r="176" ht="14.25" customHeight="1">
      <c r="D176" s="12"/>
    </row>
    <row r="177" ht="14.25" customHeight="1">
      <c r="D177" s="12"/>
    </row>
    <row r="178" ht="14.25" customHeight="1">
      <c r="D178" s="12"/>
    </row>
    <row r="179" ht="14.25" customHeight="1">
      <c r="D179" s="12"/>
    </row>
    <row r="180" ht="14.25" customHeight="1">
      <c r="D180" s="12"/>
    </row>
    <row r="181" ht="14.25" customHeight="1">
      <c r="D181" s="12"/>
    </row>
    <row r="182" ht="14.25" customHeight="1">
      <c r="D182" s="12"/>
    </row>
    <row r="183" ht="14.25" customHeight="1">
      <c r="D183" s="12"/>
    </row>
    <row r="184" ht="14.25" customHeight="1">
      <c r="D184" s="12"/>
    </row>
    <row r="185" ht="14.25" customHeight="1">
      <c r="D185" s="12"/>
    </row>
    <row r="186" ht="14.25" customHeight="1">
      <c r="D186" s="12"/>
    </row>
    <row r="187" ht="14.25" customHeight="1">
      <c r="D187" s="12"/>
    </row>
    <row r="188" ht="14.25" customHeight="1">
      <c r="D188" s="12"/>
    </row>
    <row r="189" ht="14.25" customHeight="1">
      <c r="D189" s="12"/>
    </row>
    <row r="190" ht="14.25" customHeight="1">
      <c r="D190" s="12"/>
    </row>
    <row r="191" ht="14.25" customHeight="1">
      <c r="D191" s="12"/>
    </row>
    <row r="192" ht="14.25" customHeight="1">
      <c r="D192" s="12"/>
    </row>
    <row r="193" ht="14.25" customHeight="1">
      <c r="D193" s="12"/>
    </row>
    <row r="194" ht="14.25" customHeight="1">
      <c r="D194" s="12"/>
    </row>
    <row r="195" ht="14.25" customHeight="1">
      <c r="D195" s="12"/>
    </row>
    <row r="196" ht="14.25" customHeight="1">
      <c r="D196" s="12"/>
    </row>
    <row r="197" ht="14.25" customHeight="1">
      <c r="D197" s="12"/>
    </row>
    <row r="198" ht="14.25" customHeight="1">
      <c r="D198" s="12"/>
    </row>
    <row r="199" ht="14.25" customHeight="1">
      <c r="D199" s="12"/>
    </row>
    <row r="200" ht="14.25" customHeight="1">
      <c r="D200" s="12"/>
    </row>
    <row r="201" ht="14.25" customHeight="1">
      <c r="D201" s="12"/>
    </row>
    <row r="202" ht="14.25" customHeight="1">
      <c r="D202" s="12"/>
    </row>
    <row r="203" ht="14.25" customHeight="1">
      <c r="D203" s="12"/>
    </row>
    <row r="204" ht="14.25" customHeight="1">
      <c r="D204" s="12"/>
    </row>
    <row r="205" ht="14.25" customHeight="1">
      <c r="D205" s="12"/>
    </row>
    <row r="206" ht="14.25" customHeight="1">
      <c r="D206" s="12"/>
    </row>
    <row r="207" ht="14.25" customHeight="1">
      <c r="D207" s="12"/>
    </row>
    <row r="208" ht="14.25" customHeight="1">
      <c r="D208" s="12"/>
    </row>
    <row r="209" ht="14.25" customHeight="1">
      <c r="D209" s="12"/>
    </row>
    <row r="210" ht="14.25" customHeight="1">
      <c r="D210" s="12"/>
    </row>
    <row r="211" ht="14.25" customHeight="1">
      <c r="D211" s="12"/>
    </row>
    <row r="212" ht="14.25" customHeight="1">
      <c r="D212" s="12"/>
    </row>
    <row r="213" ht="14.25" customHeight="1">
      <c r="D213" s="12"/>
    </row>
    <row r="214" ht="14.25" customHeight="1">
      <c r="D214" s="12"/>
    </row>
    <row r="215" ht="14.25" customHeight="1">
      <c r="D215" s="12"/>
    </row>
    <row r="216" ht="14.25" customHeight="1">
      <c r="D216" s="12"/>
    </row>
    <row r="217" ht="14.25" customHeight="1">
      <c r="D217" s="12"/>
    </row>
    <row r="218" ht="14.25" customHeight="1">
      <c r="D218" s="12"/>
    </row>
    <row r="219" ht="14.25" customHeight="1">
      <c r="D219" s="12"/>
    </row>
    <row r="220" ht="14.25" customHeight="1">
      <c r="D220" s="12"/>
    </row>
    <row r="221" ht="14.25" customHeight="1">
      <c r="D221" s="12"/>
    </row>
    <row r="222" ht="14.25" customHeight="1">
      <c r="D222" s="12"/>
    </row>
    <row r="223" ht="14.25" customHeight="1">
      <c r="D223" s="12"/>
    </row>
    <row r="224" ht="14.25" customHeight="1">
      <c r="D224" s="12"/>
    </row>
    <row r="225" ht="14.25" customHeight="1">
      <c r="D225" s="12"/>
    </row>
    <row r="226" ht="14.25" customHeight="1">
      <c r="D226" s="12"/>
    </row>
    <row r="227" ht="14.25" customHeight="1">
      <c r="D227" s="12"/>
    </row>
    <row r="228" ht="14.25" customHeight="1">
      <c r="D228" s="12"/>
    </row>
    <row r="229" ht="14.25" customHeight="1">
      <c r="D229" s="12"/>
    </row>
    <row r="230" ht="14.25" customHeight="1">
      <c r="D230" s="12"/>
    </row>
    <row r="231" ht="14.25" customHeight="1">
      <c r="D231" s="12"/>
    </row>
    <row r="232" ht="14.25" customHeight="1">
      <c r="D232" s="12"/>
    </row>
    <row r="233" ht="14.25" customHeight="1">
      <c r="D233" s="12"/>
    </row>
    <row r="234" ht="14.25" customHeight="1">
      <c r="D234" s="12"/>
    </row>
    <row r="235" ht="14.25" customHeight="1">
      <c r="D235" s="12"/>
    </row>
    <row r="236" ht="14.25" customHeight="1">
      <c r="D236" s="12"/>
    </row>
    <row r="237" ht="14.25" customHeight="1">
      <c r="D237" s="12"/>
    </row>
    <row r="238" ht="14.25" customHeight="1">
      <c r="D238" s="12"/>
    </row>
    <row r="239" ht="14.25" customHeight="1">
      <c r="D239" s="12"/>
    </row>
    <row r="240" ht="14.25" customHeight="1">
      <c r="D240" s="12"/>
    </row>
    <row r="241" ht="14.25" customHeight="1">
      <c r="D241" s="12"/>
    </row>
    <row r="242" ht="14.25" customHeight="1">
      <c r="D242" s="12"/>
    </row>
    <row r="243" ht="14.25" customHeight="1">
      <c r="D243" s="12"/>
    </row>
    <row r="244" ht="14.25" customHeight="1">
      <c r="D244" s="12"/>
    </row>
    <row r="245" ht="14.25" customHeight="1">
      <c r="D245" s="12"/>
    </row>
    <row r="246" ht="14.25" customHeight="1">
      <c r="D246" s="12"/>
    </row>
    <row r="247" ht="14.25" customHeight="1">
      <c r="D247" s="12"/>
    </row>
    <row r="248" ht="14.25" customHeight="1">
      <c r="D248" s="12"/>
    </row>
    <row r="249" ht="14.25" customHeight="1">
      <c r="D249" s="12"/>
    </row>
    <row r="250" ht="14.25" customHeight="1">
      <c r="D250" s="12"/>
    </row>
    <row r="251" ht="14.25" customHeight="1">
      <c r="D251" s="12"/>
    </row>
    <row r="252" ht="14.25" customHeight="1">
      <c r="D252" s="12"/>
    </row>
    <row r="253" ht="14.25" customHeight="1">
      <c r="D253" s="12"/>
    </row>
    <row r="254" ht="14.25" customHeight="1">
      <c r="D254" s="12"/>
    </row>
    <row r="255" ht="14.25" customHeight="1">
      <c r="D255" s="12"/>
    </row>
    <row r="256" ht="14.25" customHeight="1">
      <c r="D256" s="12"/>
    </row>
    <row r="257" ht="14.25" customHeight="1">
      <c r="D257" s="12"/>
    </row>
    <row r="258" ht="14.25" customHeight="1">
      <c r="D258" s="12"/>
    </row>
    <row r="259" ht="14.25" customHeight="1">
      <c r="D259" s="12"/>
    </row>
    <row r="260" ht="14.25" customHeight="1">
      <c r="D260" s="12"/>
    </row>
    <row r="261" ht="14.25" customHeight="1">
      <c r="D261" s="12"/>
    </row>
    <row r="262" ht="14.25" customHeight="1">
      <c r="D262" s="12"/>
    </row>
    <row r="263" ht="14.25" customHeight="1">
      <c r="D263" s="12"/>
    </row>
    <row r="264" ht="14.25" customHeight="1">
      <c r="D264" s="12"/>
    </row>
    <row r="265" ht="14.25" customHeight="1">
      <c r="D265" s="12"/>
    </row>
    <row r="266" ht="14.25" customHeight="1">
      <c r="D266" s="12"/>
    </row>
    <row r="267" ht="14.25" customHeight="1">
      <c r="D267" s="12"/>
    </row>
    <row r="268" ht="14.25" customHeight="1">
      <c r="D268" s="12"/>
    </row>
    <row r="269" ht="14.25" customHeight="1">
      <c r="D269" s="12"/>
    </row>
    <row r="270" ht="14.25" customHeight="1">
      <c r="D270" s="12"/>
    </row>
    <row r="271" ht="14.25" customHeight="1">
      <c r="D271" s="12"/>
    </row>
    <row r="272" ht="14.25" customHeight="1">
      <c r="D272" s="12"/>
    </row>
    <row r="273" ht="14.25" customHeight="1">
      <c r="D273" s="12"/>
    </row>
    <row r="274" ht="14.25" customHeight="1">
      <c r="D274" s="12"/>
    </row>
    <row r="275" ht="14.25" customHeight="1">
      <c r="D275" s="12"/>
    </row>
    <row r="276" ht="14.25" customHeight="1">
      <c r="D276" s="12"/>
    </row>
    <row r="277" ht="14.25" customHeight="1">
      <c r="D277" s="12"/>
    </row>
    <row r="278" ht="14.25" customHeight="1">
      <c r="D278" s="12"/>
    </row>
    <row r="279" ht="14.25" customHeight="1">
      <c r="D279" s="12"/>
    </row>
    <row r="280" ht="14.25" customHeight="1">
      <c r="D280" s="12"/>
    </row>
    <row r="281" ht="14.25" customHeight="1">
      <c r="D281" s="12"/>
    </row>
    <row r="282" ht="14.25" customHeight="1">
      <c r="D282" s="12"/>
    </row>
    <row r="283" ht="14.25" customHeight="1">
      <c r="D283" s="12"/>
    </row>
    <row r="284" ht="14.25" customHeight="1">
      <c r="D284" s="12"/>
    </row>
    <row r="285" ht="14.25" customHeight="1">
      <c r="D285" s="12"/>
    </row>
    <row r="286" ht="14.25" customHeight="1">
      <c r="D286" s="12"/>
    </row>
    <row r="287" ht="14.25" customHeight="1">
      <c r="D287" s="12"/>
    </row>
    <row r="288" ht="14.25" customHeight="1">
      <c r="D288" s="12"/>
    </row>
    <row r="289" ht="14.25" customHeight="1">
      <c r="D289" s="12"/>
    </row>
    <row r="290" ht="14.25" customHeight="1">
      <c r="D290" s="12"/>
    </row>
    <row r="291" ht="14.25" customHeight="1">
      <c r="D291" s="12"/>
    </row>
    <row r="292" ht="14.25" customHeight="1">
      <c r="D292" s="12"/>
    </row>
    <row r="293" ht="14.25" customHeight="1">
      <c r="D293" s="12"/>
    </row>
    <row r="294" ht="14.25" customHeight="1">
      <c r="D294" s="12"/>
    </row>
    <row r="295" ht="14.25" customHeight="1">
      <c r="D295" s="12"/>
    </row>
    <row r="296" ht="14.25" customHeight="1">
      <c r="D296" s="12"/>
    </row>
    <row r="297" ht="14.25" customHeight="1">
      <c r="D297" s="12"/>
    </row>
    <row r="298" ht="14.25" customHeight="1">
      <c r="D298" s="12"/>
    </row>
    <row r="299" ht="14.25" customHeight="1">
      <c r="D299" s="12"/>
    </row>
    <row r="300" ht="14.25" customHeight="1">
      <c r="D300" s="12"/>
    </row>
    <row r="301" ht="14.25" customHeight="1">
      <c r="D301" s="12"/>
    </row>
    <row r="302" ht="14.25" customHeight="1">
      <c r="D302" s="12"/>
    </row>
    <row r="303" ht="14.25" customHeight="1">
      <c r="D303" s="12"/>
    </row>
    <row r="304" ht="14.25" customHeight="1">
      <c r="D304" s="12"/>
    </row>
    <row r="305" ht="14.25" customHeight="1">
      <c r="D305" s="12"/>
    </row>
    <row r="306" ht="14.25" customHeight="1">
      <c r="D306" s="12"/>
    </row>
    <row r="307" ht="14.25" customHeight="1">
      <c r="D307" s="12"/>
    </row>
    <row r="308" ht="14.25" customHeight="1">
      <c r="D308" s="12"/>
    </row>
    <row r="309" ht="14.25" customHeight="1">
      <c r="D309" s="12"/>
    </row>
    <row r="310" ht="14.25" customHeight="1">
      <c r="D310" s="12"/>
    </row>
    <row r="311" ht="14.25" customHeight="1">
      <c r="D311" s="12"/>
    </row>
    <row r="312" ht="14.25" customHeight="1">
      <c r="D312" s="12"/>
    </row>
    <row r="313" ht="14.25" customHeight="1">
      <c r="D313" s="12"/>
    </row>
    <row r="314" ht="14.25" customHeight="1">
      <c r="D314" s="12"/>
    </row>
    <row r="315" ht="14.25" customHeight="1">
      <c r="D315" s="12"/>
    </row>
    <row r="316" ht="14.25" customHeight="1">
      <c r="D316" s="12"/>
    </row>
    <row r="317" ht="14.25" customHeight="1">
      <c r="D317" s="12"/>
    </row>
    <row r="318" ht="14.25" customHeight="1">
      <c r="D318" s="12"/>
    </row>
    <row r="319" ht="14.25" customHeight="1">
      <c r="D319" s="12"/>
    </row>
    <row r="320" ht="14.25" customHeight="1">
      <c r="D320" s="12"/>
    </row>
    <row r="321" ht="14.25" customHeight="1">
      <c r="D321" s="12"/>
    </row>
    <row r="322" ht="14.25" customHeight="1">
      <c r="D322" s="12"/>
    </row>
    <row r="323" ht="14.25" customHeight="1">
      <c r="D323" s="12"/>
    </row>
    <row r="324" ht="14.25" customHeight="1">
      <c r="D324" s="12"/>
    </row>
    <row r="325" ht="14.25" customHeight="1">
      <c r="D325" s="12"/>
    </row>
    <row r="326" ht="14.25" customHeight="1">
      <c r="D326" s="12"/>
    </row>
    <row r="327" ht="14.25" customHeight="1">
      <c r="D327" s="12"/>
    </row>
    <row r="328" ht="14.25" customHeight="1">
      <c r="D328" s="12"/>
    </row>
    <row r="329" ht="14.25" customHeight="1">
      <c r="D329" s="12"/>
    </row>
    <row r="330" ht="14.25" customHeight="1">
      <c r="D330" s="12"/>
    </row>
    <row r="331" ht="14.25" customHeight="1">
      <c r="D331" s="12"/>
    </row>
    <row r="332" ht="14.25" customHeight="1">
      <c r="D332" s="12"/>
    </row>
    <row r="333" ht="14.25" customHeight="1">
      <c r="D333" s="12"/>
    </row>
    <row r="334" ht="14.25" customHeight="1">
      <c r="D334" s="12"/>
    </row>
    <row r="335" ht="14.25" customHeight="1">
      <c r="D335" s="12"/>
    </row>
    <row r="336" ht="14.25" customHeight="1">
      <c r="D336" s="12"/>
    </row>
    <row r="337" ht="14.25" customHeight="1">
      <c r="D337" s="12"/>
    </row>
    <row r="338" ht="14.25" customHeight="1">
      <c r="D338" s="12"/>
    </row>
    <row r="339" ht="14.25" customHeight="1">
      <c r="D339" s="12"/>
    </row>
    <row r="340" ht="14.25" customHeight="1">
      <c r="D340" s="12"/>
    </row>
    <row r="341" ht="14.25" customHeight="1">
      <c r="D341" s="12"/>
    </row>
    <row r="342" ht="14.25" customHeight="1">
      <c r="D342" s="12"/>
    </row>
    <row r="343" ht="14.25" customHeight="1">
      <c r="D343" s="12"/>
    </row>
    <row r="344" ht="14.25" customHeight="1">
      <c r="D344" s="12"/>
    </row>
    <row r="345" ht="14.25" customHeight="1">
      <c r="D345" s="12"/>
    </row>
    <row r="346" ht="14.25" customHeight="1">
      <c r="D346" s="12"/>
    </row>
    <row r="347" ht="14.25" customHeight="1">
      <c r="D347" s="12"/>
    </row>
    <row r="348" ht="14.25" customHeight="1">
      <c r="D348" s="12"/>
    </row>
    <row r="349" ht="14.25" customHeight="1">
      <c r="D349" s="12"/>
    </row>
    <row r="350" ht="14.25" customHeight="1">
      <c r="D350" s="12"/>
    </row>
    <row r="351" ht="14.25" customHeight="1">
      <c r="D351" s="12"/>
    </row>
    <row r="352" ht="14.25" customHeight="1">
      <c r="D352" s="12"/>
    </row>
    <row r="353" ht="14.25" customHeight="1">
      <c r="D353" s="12"/>
    </row>
    <row r="354" ht="14.25" customHeight="1">
      <c r="D354" s="12"/>
    </row>
    <row r="355" ht="14.25" customHeight="1">
      <c r="D355" s="12"/>
    </row>
    <row r="356" ht="14.25" customHeight="1">
      <c r="D356" s="12"/>
    </row>
    <row r="357" ht="14.25" customHeight="1">
      <c r="D357" s="12"/>
    </row>
    <row r="358" ht="14.25" customHeight="1">
      <c r="D358" s="12"/>
    </row>
    <row r="359" ht="14.25" customHeight="1">
      <c r="D359" s="12"/>
    </row>
    <row r="360" ht="14.25" customHeight="1">
      <c r="D360" s="12"/>
    </row>
    <row r="361" ht="14.25" customHeight="1">
      <c r="D361" s="12"/>
    </row>
    <row r="362" ht="14.25" customHeight="1">
      <c r="D362" s="12"/>
    </row>
    <row r="363" ht="14.25" customHeight="1">
      <c r="D363" s="12"/>
    </row>
    <row r="364" ht="14.25" customHeight="1">
      <c r="D364" s="12"/>
    </row>
    <row r="365" ht="14.25" customHeight="1">
      <c r="D365" s="12"/>
    </row>
    <row r="366" ht="14.25" customHeight="1">
      <c r="D366" s="12"/>
    </row>
    <row r="367" ht="14.25" customHeight="1">
      <c r="D367" s="12"/>
    </row>
    <row r="368" ht="14.25" customHeight="1">
      <c r="D368" s="12"/>
    </row>
    <row r="369" ht="14.25" customHeight="1">
      <c r="D369" s="12"/>
    </row>
    <row r="370" ht="14.25" customHeight="1">
      <c r="D370" s="12"/>
    </row>
    <row r="371" ht="14.25" customHeight="1">
      <c r="D371" s="12"/>
    </row>
    <row r="372" ht="14.25" customHeight="1">
      <c r="D372" s="12"/>
    </row>
    <row r="373" ht="14.25" customHeight="1">
      <c r="D373" s="12"/>
    </row>
    <row r="374" ht="14.25" customHeight="1">
      <c r="D374" s="12"/>
    </row>
    <row r="375" ht="14.25" customHeight="1">
      <c r="D375" s="12"/>
    </row>
    <row r="376" ht="14.25" customHeight="1">
      <c r="D376" s="12"/>
    </row>
    <row r="377" ht="14.25" customHeight="1">
      <c r="D377" s="12"/>
    </row>
    <row r="378" ht="14.25" customHeight="1">
      <c r="D378" s="12"/>
    </row>
    <row r="379" ht="14.25" customHeight="1">
      <c r="D379" s="12"/>
    </row>
    <row r="380" ht="14.25" customHeight="1">
      <c r="D380" s="12"/>
    </row>
    <row r="381" ht="14.25" customHeight="1">
      <c r="D381" s="12"/>
    </row>
    <row r="382" ht="14.25" customHeight="1">
      <c r="D382" s="12"/>
    </row>
    <row r="383" ht="14.25" customHeight="1">
      <c r="D383" s="12"/>
    </row>
    <row r="384" ht="14.25" customHeight="1">
      <c r="D384" s="12"/>
    </row>
    <row r="385" ht="14.25" customHeight="1">
      <c r="D385" s="12"/>
    </row>
    <row r="386" ht="14.25" customHeight="1">
      <c r="D386" s="12"/>
    </row>
    <row r="387" ht="14.25" customHeight="1">
      <c r="D387" s="12"/>
    </row>
    <row r="388" ht="14.25" customHeight="1">
      <c r="D388" s="12"/>
    </row>
    <row r="389" ht="14.25" customHeight="1">
      <c r="D389" s="12"/>
    </row>
    <row r="390" ht="14.25" customHeight="1">
      <c r="D390" s="12"/>
    </row>
    <row r="391" ht="14.25" customHeight="1">
      <c r="D391" s="12"/>
    </row>
    <row r="392" ht="14.25" customHeight="1">
      <c r="D392" s="12"/>
    </row>
    <row r="393" ht="14.25" customHeight="1">
      <c r="D393" s="12"/>
    </row>
    <row r="394" ht="14.25" customHeight="1">
      <c r="D394" s="12"/>
    </row>
    <row r="395" ht="14.25" customHeight="1">
      <c r="D395" s="12"/>
    </row>
    <row r="396" ht="14.25" customHeight="1">
      <c r="D396" s="12"/>
    </row>
    <row r="397" ht="14.25" customHeight="1">
      <c r="D397" s="12"/>
    </row>
    <row r="398" ht="14.25" customHeight="1">
      <c r="D398" s="12"/>
    </row>
    <row r="399" ht="14.25" customHeight="1">
      <c r="D399" s="12"/>
    </row>
    <row r="400" ht="14.25" customHeight="1">
      <c r="D400" s="12"/>
    </row>
    <row r="401" ht="14.25" customHeight="1">
      <c r="D401" s="12"/>
    </row>
    <row r="402" ht="14.25" customHeight="1">
      <c r="D402" s="12"/>
    </row>
    <row r="403" ht="14.25" customHeight="1">
      <c r="D403" s="12"/>
    </row>
    <row r="404" ht="14.25" customHeight="1">
      <c r="D404" s="12"/>
    </row>
    <row r="405" ht="14.25" customHeight="1">
      <c r="D405" s="12"/>
    </row>
    <row r="406" ht="14.25" customHeight="1">
      <c r="D406" s="12"/>
    </row>
    <row r="407" ht="14.25" customHeight="1">
      <c r="D407" s="12"/>
    </row>
    <row r="408" ht="14.25" customHeight="1">
      <c r="D408" s="12"/>
    </row>
    <row r="409" ht="14.25" customHeight="1">
      <c r="D409" s="12"/>
    </row>
    <row r="410" ht="14.25" customHeight="1">
      <c r="D410" s="12"/>
    </row>
    <row r="411" ht="14.25" customHeight="1">
      <c r="D411" s="12"/>
    </row>
    <row r="412" ht="14.25" customHeight="1">
      <c r="D412" s="12"/>
    </row>
    <row r="413" ht="14.25" customHeight="1">
      <c r="D413" s="12"/>
    </row>
    <row r="414" ht="14.25" customHeight="1">
      <c r="D414" s="12"/>
    </row>
    <row r="415" ht="14.25" customHeight="1">
      <c r="D415" s="12"/>
    </row>
    <row r="416" ht="14.25" customHeight="1">
      <c r="D416" s="12"/>
    </row>
    <row r="417" ht="14.25" customHeight="1">
      <c r="D417" s="12"/>
    </row>
    <row r="418" ht="14.25" customHeight="1">
      <c r="D418" s="12"/>
    </row>
    <row r="419" ht="14.25" customHeight="1">
      <c r="D419" s="12"/>
    </row>
    <row r="420" ht="14.25" customHeight="1">
      <c r="D420" s="12"/>
    </row>
    <row r="421" ht="14.25" customHeight="1">
      <c r="D421" s="12"/>
    </row>
    <row r="422" ht="14.25" customHeight="1">
      <c r="D422" s="12"/>
    </row>
    <row r="423" ht="14.25" customHeight="1">
      <c r="D423" s="12"/>
    </row>
    <row r="424" ht="14.25" customHeight="1">
      <c r="D424" s="12"/>
    </row>
    <row r="425" ht="14.25" customHeight="1">
      <c r="D425" s="12"/>
    </row>
    <row r="426" ht="14.25" customHeight="1">
      <c r="D426" s="12"/>
    </row>
    <row r="427" ht="14.25" customHeight="1">
      <c r="D427" s="12"/>
    </row>
    <row r="428" ht="14.25" customHeight="1">
      <c r="D428" s="12"/>
    </row>
    <row r="429" ht="14.25" customHeight="1">
      <c r="D429" s="12"/>
    </row>
    <row r="430" ht="14.25" customHeight="1">
      <c r="D430" s="12"/>
    </row>
    <row r="431" ht="14.25" customHeight="1">
      <c r="D431" s="12"/>
    </row>
    <row r="432" ht="14.25" customHeight="1">
      <c r="D432" s="12"/>
    </row>
    <row r="433" ht="14.25" customHeight="1">
      <c r="D433" s="12"/>
    </row>
    <row r="434" ht="14.25" customHeight="1">
      <c r="D434" s="12"/>
    </row>
    <row r="435" ht="14.25" customHeight="1">
      <c r="D435" s="12"/>
    </row>
    <row r="436" ht="14.25" customHeight="1">
      <c r="D436" s="12"/>
    </row>
    <row r="437" ht="14.25" customHeight="1">
      <c r="D437" s="12"/>
    </row>
    <row r="438" ht="14.25" customHeight="1">
      <c r="D438" s="12"/>
    </row>
    <row r="439" ht="14.25" customHeight="1">
      <c r="D439" s="12"/>
    </row>
    <row r="440" ht="14.25" customHeight="1">
      <c r="D440" s="12"/>
    </row>
    <row r="441" ht="14.25" customHeight="1">
      <c r="D441" s="12"/>
    </row>
    <row r="442" ht="14.25" customHeight="1">
      <c r="D442" s="12"/>
    </row>
    <row r="443" ht="14.25" customHeight="1">
      <c r="D443" s="12"/>
    </row>
    <row r="444" ht="14.25" customHeight="1">
      <c r="D444" s="12"/>
    </row>
    <row r="445" ht="14.25" customHeight="1">
      <c r="D445" s="12"/>
    </row>
    <row r="446" ht="14.25" customHeight="1">
      <c r="D446" s="12"/>
    </row>
    <row r="447" ht="14.25" customHeight="1">
      <c r="D447" s="12"/>
    </row>
    <row r="448" ht="14.25" customHeight="1">
      <c r="D448" s="12"/>
    </row>
    <row r="449" ht="14.25" customHeight="1">
      <c r="D449" s="12"/>
    </row>
    <row r="450" ht="14.25" customHeight="1">
      <c r="D450" s="12"/>
    </row>
    <row r="451" ht="14.25" customHeight="1">
      <c r="D451" s="12"/>
    </row>
    <row r="452" ht="14.25" customHeight="1">
      <c r="D452" s="12"/>
    </row>
    <row r="453" ht="14.25" customHeight="1">
      <c r="D453" s="12"/>
    </row>
    <row r="454" ht="14.25" customHeight="1">
      <c r="D454" s="12"/>
    </row>
    <row r="455" ht="14.25" customHeight="1">
      <c r="D455" s="12"/>
    </row>
    <row r="456" ht="14.25" customHeight="1">
      <c r="D456" s="12"/>
    </row>
    <row r="457" ht="14.25" customHeight="1">
      <c r="D457" s="12"/>
    </row>
    <row r="458" ht="14.25" customHeight="1">
      <c r="D458" s="12"/>
    </row>
    <row r="459" ht="14.25" customHeight="1">
      <c r="D459" s="12"/>
    </row>
    <row r="460" ht="14.25" customHeight="1">
      <c r="D460" s="12"/>
    </row>
    <row r="461" ht="14.25" customHeight="1">
      <c r="D461" s="12"/>
    </row>
    <row r="462" ht="14.25" customHeight="1">
      <c r="D462" s="12"/>
    </row>
    <row r="463" ht="14.25" customHeight="1">
      <c r="D463" s="12"/>
    </row>
    <row r="464" ht="14.25" customHeight="1">
      <c r="D464" s="12"/>
    </row>
    <row r="465" ht="14.25" customHeight="1">
      <c r="D465" s="12"/>
    </row>
    <row r="466" ht="14.25" customHeight="1">
      <c r="D466" s="12"/>
    </row>
    <row r="467" ht="14.25" customHeight="1">
      <c r="D467" s="12"/>
    </row>
    <row r="468" ht="14.25" customHeight="1">
      <c r="D468" s="12"/>
    </row>
    <row r="469" ht="14.25" customHeight="1">
      <c r="D469" s="12"/>
    </row>
    <row r="470" ht="14.25" customHeight="1">
      <c r="D470" s="12"/>
    </row>
    <row r="471" ht="14.25" customHeight="1">
      <c r="D471" s="12"/>
    </row>
    <row r="472" ht="14.25" customHeight="1">
      <c r="D472" s="12"/>
    </row>
    <row r="473" ht="14.25" customHeight="1">
      <c r="D473" s="12"/>
    </row>
    <row r="474" ht="14.25" customHeight="1">
      <c r="D474" s="12"/>
    </row>
    <row r="475" ht="14.25" customHeight="1">
      <c r="D475" s="12"/>
    </row>
    <row r="476" ht="14.25" customHeight="1">
      <c r="D476" s="12"/>
    </row>
    <row r="477" ht="14.25" customHeight="1">
      <c r="D477" s="12"/>
    </row>
    <row r="478" ht="14.25" customHeight="1">
      <c r="D478" s="12"/>
    </row>
    <row r="479" ht="14.25" customHeight="1">
      <c r="D479" s="12"/>
    </row>
    <row r="480" ht="14.25" customHeight="1">
      <c r="D480" s="12"/>
    </row>
    <row r="481" ht="14.25" customHeight="1">
      <c r="D481" s="12"/>
    </row>
    <row r="482" ht="14.25" customHeight="1">
      <c r="D482" s="12"/>
    </row>
    <row r="483" ht="14.25" customHeight="1">
      <c r="D483" s="12"/>
    </row>
    <row r="484" ht="14.25" customHeight="1">
      <c r="D484" s="12"/>
    </row>
    <row r="485" ht="14.25" customHeight="1">
      <c r="D485" s="12"/>
    </row>
    <row r="486" ht="14.25" customHeight="1">
      <c r="D486" s="12"/>
    </row>
    <row r="487" ht="14.25" customHeight="1">
      <c r="D487" s="12"/>
    </row>
    <row r="488" ht="14.25" customHeight="1">
      <c r="D488" s="12"/>
    </row>
    <row r="489" ht="14.25" customHeight="1">
      <c r="D489" s="12"/>
    </row>
    <row r="490" ht="14.25" customHeight="1">
      <c r="D490" s="12"/>
    </row>
    <row r="491" ht="14.25" customHeight="1">
      <c r="D491" s="12"/>
    </row>
    <row r="492" ht="14.25" customHeight="1">
      <c r="D492" s="12"/>
    </row>
    <row r="493" ht="14.25" customHeight="1">
      <c r="D493" s="12"/>
    </row>
    <row r="494" ht="14.25" customHeight="1">
      <c r="D494" s="12"/>
    </row>
    <row r="495" ht="14.25" customHeight="1">
      <c r="D495" s="12"/>
    </row>
    <row r="496" ht="14.25" customHeight="1">
      <c r="D496" s="12"/>
    </row>
    <row r="497" ht="14.25" customHeight="1">
      <c r="D497" s="12"/>
    </row>
    <row r="498" ht="14.25" customHeight="1">
      <c r="D498" s="12"/>
    </row>
    <row r="499" ht="14.25" customHeight="1">
      <c r="D499" s="12"/>
    </row>
    <row r="500" ht="14.25" customHeight="1">
      <c r="D500" s="12"/>
    </row>
    <row r="501" ht="14.25" customHeight="1">
      <c r="D501" s="12"/>
    </row>
    <row r="502" ht="14.25" customHeight="1">
      <c r="D502" s="12"/>
    </row>
    <row r="503" ht="14.25" customHeight="1">
      <c r="D503" s="12"/>
    </row>
    <row r="504" ht="14.25" customHeight="1">
      <c r="D504" s="12"/>
    </row>
    <row r="505" ht="14.25" customHeight="1">
      <c r="D505" s="12"/>
    </row>
    <row r="506" ht="14.25" customHeight="1">
      <c r="D506" s="12"/>
    </row>
    <row r="507" ht="14.25" customHeight="1">
      <c r="D507" s="12"/>
    </row>
    <row r="508" ht="14.25" customHeight="1">
      <c r="D508" s="12"/>
    </row>
    <row r="509" ht="14.25" customHeight="1">
      <c r="D509" s="12"/>
    </row>
    <row r="510" ht="14.25" customHeight="1">
      <c r="D510" s="12"/>
    </row>
    <row r="511" ht="14.25" customHeight="1">
      <c r="D511" s="12"/>
    </row>
    <row r="512" ht="14.25" customHeight="1">
      <c r="D512" s="12"/>
    </row>
    <row r="513" ht="14.25" customHeight="1">
      <c r="D513" s="12"/>
    </row>
    <row r="514" ht="14.25" customHeight="1">
      <c r="D514" s="12"/>
    </row>
    <row r="515" ht="14.25" customHeight="1">
      <c r="D515" s="12"/>
    </row>
    <row r="516" ht="14.25" customHeight="1">
      <c r="D516" s="12"/>
    </row>
    <row r="517" ht="14.25" customHeight="1">
      <c r="D517" s="12"/>
    </row>
    <row r="518" ht="14.25" customHeight="1">
      <c r="D518" s="12"/>
    </row>
    <row r="519" ht="14.25" customHeight="1">
      <c r="D519" s="12"/>
    </row>
    <row r="520" ht="14.25" customHeight="1">
      <c r="D520" s="12"/>
    </row>
    <row r="521" ht="14.25" customHeight="1">
      <c r="D521" s="12"/>
    </row>
    <row r="522" ht="14.25" customHeight="1">
      <c r="D522" s="12"/>
    </row>
    <row r="523" ht="14.25" customHeight="1">
      <c r="D523" s="12"/>
    </row>
    <row r="524" ht="14.25" customHeight="1">
      <c r="D524" s="12"/>
    </row>
    <row r="525" ht="14.25" customHeight="1">
      <c r="D525" s="12"/>
    </row>
    <row r="526" ht="14.25" customHeight="1">
      <c r="D526" s="12"/>
    </row>
    <row r="527" ht="14.25" customHeight="1">
      <c r="D527" s="12"/>
    </row>
    <row r="528" ht="14.25" customHeight="1">
      <c r="D528" s="12"/>
    </row>
    <row r="529" ht="14.25" customHeight="1">
      <c r="D529" s="12"/>
    </row>
    <row r="530" ht="14.25" customHeight="1">
      <c r="D530" s="12"/>
    </row>
    <row r="531" ht="14.25" customHeight="1">
      <c r="D531" s="12"/>
    </row>
    <row r="532" ht="14.25" customHeight="1">
      <c r="D532" s="12"/>
    </row>
    <row r="533" ht="14.25" customHeight="1">
      <c r="D533" s="12"/>
    </row>
    <row r="534" ht="14.25" customHeight="1">
      <c r="D534" s="12"/>
    </row>
    <row r="535" ht="14.25" customHeight="1">
      <c r="D535" s="12"/>
    </row>
    <row r="536" ht="14.25" customHeight="1">
      <c r="D536" s="12"/>
    </row>
    <row r="537" ht="14.25" customHeight="1">
      <c r="D537" s="12"/>
    </row>
    <row r="538" ht="14.25" customHeight="1">
      <c r="D538" s="12"/>
    </row>
    <row r="539" ht="14.25" customHeight="1">
      <c r="D539" s="12"/>
    </row>
    <row r="540" ht="14.25" customHeight="1">
      <c r="D540" s="12"/>
    </row>
    <row r="541" ht="14.25" customHeight="1">
      <c r="D541" s="12"/>
    </row>
    <row r="542" ht="14.25" customHeight="1">
      <c r="D542" s="12"/>
    </row>
    <row r="543" ht="14.25" customHeight="1">
      <c r="D543" s="12"/>
    </row>
    <row r="544" ht="14.25" customHeight="1">
      <c r="D544" s="12"/>
    </row>
    <row r="545" ht="14.25" customHeight="1">
      <c r="D545" s="12"/>
    </row>
    <row r="546" ht="14.25" customHeight="1">
      <c r="D546" s="12"/>
    </row>
    <row r="547" ht="14.25" customHeight="1">
      <c r="D547" s="12"/>
    </row>
    <row r="548" ht="14.25" customHeight="1">
      <c r="D548" s="12"/>
    </row>
    <row r="549" ht="14.25" customHeight="1">
      <c r="D549" s="12"/>
    </row>
    <row r="550" ht="14.25" customHeight="1">
      <c r="D550" s="12"/>
    </row>
    <row r="551" ht="14.25" customHeight="1">
      <c r="D551" s="12"/>
    </row>
    <row r="552" ht="14.25" customHeight="1">
      <c r="D552" s="12"/>
    </row>
    <row r="553" ht="14.25" customHeight="1">
      <c r="D553" s="12"/>
    </row>
    <row r="554" ht="14.25" customHeight="1">
      <c r="D554" s="12"/>
    </row>
    <row r="555" ht="14.25" customHeight="1">
      <c r="D555" s="12"/>
    </row>
    <row r="556" ht="14.25" customHeight="1">
      <c r="D556" s="12"/>
    </row>
    <row r="557" ht="14.25" customHeight="1">
      <c r="D557" s="12"/>
    </row>
    <row r="558" ht="14.25" customHeight="1">
      <c r="D558" s="12"/>
    </row>
    <row r="559" ht="14.25" customHeight="1">
      <c r="D559" s="12"/>
    </row>
    <row r="560" ht="14.25" customHeight="1">
      <c r="D560" s="12"/>
    </row>
    <row r="561" ht="14.25" customHeight="1">
      <c r="D561" s="12"/>
    </row>
    <row r="562" ht="14.25" customHeight="1">
      <c r="D562" s="12"/>
    </row>
    <row r="563" ht="14.25" customHeight="1">
      <c r="D563" s="12"/>
    </row>
    <row r="564" ht="14.25" customHeight="1">
      <c r="D564" s="12"/>
    </row>
    <row r="565" ht="14.25" customHeight="1">
      <c r="D565" s="12"/>
    </row>
    <row r="566" ht="14.25" customHeight="1">
      <c r="D566" s="12"/>
    </row>
    <row r="567" ht="14.25" customHeight="1">
      <c r="D567" s="12"/>
    </row>
    <row r="568" ht="14.25" customHeight="1">
      <c r="D568" s="12"/>
    </row>
    <row r="569" ht="14.25" customHeight="1">
      <c r="D569" s="12"/>
    </row>
    <row r="570" ht="14.25" customHeight="1">
      <c r="D570" s="12"/>
    </row>
    <row r="571" ht="14.25" customHeight="1">
      <c r="D571" s="12"/>
    </row>
    <row r="572" ht="14.25" customHeight="1">
      <c r="D572" s="12"/>
    </row>
    <row r="573" ht="14.25" customHeight="1">
      <c r="D573" s="12"/>
    </row>
    <row r="574" ht="14.25" customHeight="1">
      <c r="D574" s="12"/>
    </row>
    <row r="575" ht="14.25" customHeight="1">
      <c r="D575" s="12"/>
    </row>
    <row r="576" ht="14.25" customHeight="1">
      <c r="D576" s="12"/>
    </row>
    <row r="577" ht="14.25" customHeight="1">
      <c r="D577" s="12"/>
    </row>
    <row r="578" ht="14.25" customHeight="1">
      <c r="D578" s="12"/>
    </row>
    <row r="579" ht="14.25" customHeight="1">
      <c r="D579" s="12"/>
    </row>
    <row r="580" ht="14.25" customHeight="1">
      <c r="D580" s="12"/>
    </row>
    <row r="581" ht="14.25" customHeight="1">
      <c r="D581" s="12"/>
    </row>
    <row r="582" ht="14.25" customHeight="1">
      <c r="D582" s="12"/>
    </row>
    <row r="583" ht="14.25" customHeight="1">
      <c r="D583" s="12"/>
    </row>
    <row r="584" ht="14.25" customHeight="1">
      <c r="D584" s="12"/>
    </row>
    <row r="585" ht="14.25" customHeight="1">
      <c r="D585" s="12"/>
    </row>
    <row r="586" ht="14.25" customHeight="1">
      <c r="D586" s="12"/>
    </row>
    <row r="587" ht="14.25" customHeight="1">
      <c r="D587" s="12"/>
    </row>
    <row r="588" ht="14.25" customHeight="1">
      <c r="D588" s="12"/>
    </row>
    <row r="589" ht="14.25" customHeight="1">
      <c r="D589" s="12"/>
    </row>
    <row r="590" ht="14.25" customHeight="1">
      <c r="D590" s="12"/>
    </row>
    <row r="591" ht="14.25" customHeight="1">
      <c r="D591" s="12"/>
    </row>
    <row r="592" ht="14.25" customHeight="1">
      <c r="D592" s="12"/>
    </row>
    <row r="593" ht="14.25" customHeight="1">
      <c r="D593" s="12"/>
    </row>
    <row r="594" ht="14.25" customHeight="1">
      <c r="D594" s="12"/>
    </row>
    <row r="595" ht="14.25" customHeight="1">
      <c r="D595" s="12"/>
    </row>
    <row r="596" ht="14.25" customHeight="1">
      <c r="D596" s="12"/>
    </row>
    <row r="597" ht="14.25" customHeight="1">
      <c r="D597" s="12"/>
    </row>
    <row r="598" ht="14.25" customHeight="1">
      <c r="D598" s="12"/>
    </row>
    <row r="599" ht="14.25" customHeight="1">
      <c r="D599" s="12"/>
    </row>
    <row r="600" ht="14.25" customHeight="1">
      <c r="D600" s="12"/>
    </row>
    <row r="601" ht="14.25" customHeight="1">
      <c r="D601" s="12"/>
    </row>
    <row r="602" ht="14.25" customHeight="1">
      <c r="D602" s="12"/>
    </row>
    <row r="603" ht="14.25" customHeight="1">
      <c r="D603" s="12"/>
    </row>
    <row r="604" ht="14.25" customHeight="1">
      <c r="D604" s="12"/>
    </row>
    <row r="605" ht="14.25" customHeight="1">
      <c r="D605" s="12"/>
    </row>
    <row r="606" ht="14.25" customHeight="1">
      <c r="D606" s="12"/>
    </row>
    <row r="607" ht="14.25" customHeight="1">
      <c r="D607" s="12"/>
    </row>
    <row r="608" ht="14.25" customHeight="1">
      <c r="D608" s="12"/>
    </row>
    <row r="609" ht="14.25" customHeight="1">
      <c r="D609" s="12"/>
    </row>
    <row r="610" ht="14.25" customHeight="1">
      <c r="D610" s="12"/>
    </row>
    <row r="611" ht="14.25" customHeight="1">
      <c r="D611" s="12"/>
    </row>
    <row r="612" ht="14.25" customHeight="1">
      <c r="D612" s="12"/>
    </row>
    <row r="613" ht="14.25" customHeight="1">
      <c r="D613" s="12"/>
    </row>
    <row r="614" ht="14.25" customHeight="1">
      <c r="D614" s="12"/>
    </row>
    <row r="615" ht="14.25" customHeight="1">
      <c r="D615" s="12"/>
    </row>
    <row r="616" ht="14.25" customHeight="1">
      <c r="D616" s="12"/>
    </row>
    <row r="617" ht="14.25" customHeight="1">
      <c r="D617" s="12"/>
    </row>
    <row r="618" ht="14.25" customHeight="1">
      <c r="D618" s="12"/>
    </row>
    <row r="619" ht="14.25" customHeight="1">
      <c r="D619" s="12"/>
    </row>
    <row r="620" ht="14.25" customHeight="1">
      <c r="D620" s="12"/>
    </row>
    <row r="621" ht="14.25" customHeight="1">
      <c r="D621" s="12"/>
    </row>
    <row r="622" ht="14.25" customHeight="1">
      <c r="D622" s="12"/>
    </row>
    <row r="623" ht="14.25" customHeight="1">
      <c r="D623" s="12"/>
    </row>
    <row r="624" ht="14.25" customHeight="1">
      <c r="D624" s="12"/>
    </row>
    <row r="625" ht="14.25" customHeight="1">
      <c r="D625" s="12"/>
    </row>
    <row r="626" ht="14.25" customHeight="1">
      <c r="D626" s="12"/>
    </row>
    <row r="627" ht="14.25" customHeight="1">
      <c r="D627" s="12"/>
    </row>
    <row r="628" ht="14.25" customHeight="1">
      <c r="D628" s="12"/>
    </row>
    <row r="629" ht="14.25" customHeight="1">
      <c r="D629" s="12"/>
    </row>
    <row r="630" ht="14.25" customHeight="1">
      <c r="D630" s="12"/>
    </row>
    <row r="631" ht="14.25" customHeight="1">
      <c r="D631" s="12"/>
    </row>
    <row r="632" ht="14.25" customHeight="1">
      <c r="D632" s="12"/>
    </row>
    <row r="633" ht="14.25" customHeight="1">
      <c r="D633" s="12"/>
    </row>
    <row r="634" ht="14.25" customHeight="1">
      <c r="D634" s="12"/>
    </row>
    <row r="635" ht="14.25" customHeight="1">
      <c r="D635" s="12"/>
    </row>
    <row r="636" ht="14.25" customHeight="1">
      <c r="D636" s="12"/>
    </row>
    <row r="637" ht="14.25" customHeight="1">
      <c r="D637" s="12"/>
    </row>
    <row r="638" ht="14.25" customHeight="1">
      <c r="D638" s="12"/>
    </row>
    <row r="639" ht="14.25" customHeight="1">
      <c r="D639" s="12"/>
    </row>
    <row r="640" ht="14.25" customHeight="1">
      <c r="D640" s="12"/>
    </row>
    <row r="641" ht="14.25" customHeight="1">
      <c r="D641" s="12"/>
    </row>
    <row r="642" ht="14.25" customHeight="1">
      <c r="D642" s="12"/>
    </row>
    <row r="643" ht="14.25" customHeight="1">
      <c r="D643" s="12"/>
    </row>
    <row r="644" ht="14.25" customHeight="1">
      <c r="D644" s="12"/>
    </row>
    <row r="645" ht="14.25" customHeight="1">
      <c r="D645" s="12"/>
    </row>
    <row r="646" ht="14.25" customHeight="1">
      <c r="D646" s="12"/>
    </row>
    <row r="647" ht="14.25" customHeight="1">
      <c r="D647" s="12"/>
    </row>
    <row r="648" ht="14.25" customHeight="1">
      <c r="D648" s="12"/>
    </row>
    <row r="649" ht="14.25" customHeight="1">
      <c r="D649" s="12"/>
    </row>
    <row r="650" ht="14.25" customHeight="1">
      <c r="D650" s="12"/>
    </row>
    <row r="651" ht="14.25" customHeight="1">
      <c r="D651" s="12"/>
    </row>
    <row r="652" ht="14.25" customHeight="1">
      <c r="D652" s="12"/>
    </row>
    <row r="653" ht="14.25" customHeight="1">
      <c r="D653" s="12"/>
    </row>
    <row r="654" ht="14.25" customHeight="1">
      <c r="D654" s="12"/>
    </row>
    <row r="655" ht="14.25" customHeight="1">
      <c r="D655" s="12"/>
    </row>
    <row r="656" ht="14.25" customHeight="1">
      <c r="D656" s="12"/>
    </row>
    <row r="657" ht="14.25" customHeight="1">
      <c r="D657" s="12"/>
    </row>
    <row r="658" ht="14.25" customHeight="1">
      <c r="D658" s="12"/>
    </row>
    <row r="659" ht="14.25" customHeight="1">
      <c r="D659" s="12"/>
    </row>
    <row r="660" ht="14.25" customHeight="1">
      <c r="D660" s="12"/>
    </row>
    <row r="661" ht="14.25" customHeight="1">
      <c r="D661" s="12"/>
    </row>
    <row r="662" ht="14.25" customHeight="1">
      <c r="D662" s="12"/>
    </row>
    <row r="663" ht="14.25" customHeight="1">
      <c r="D663" s="12"/>
    </row>
    <row r="664" ht="14.25" customHeight="1">
      <c r="D664" s="12"/>
    </row>
    <row r="665" ht="14.25" customHeight="1">
      <c r="D665" s="12"/>
    </row>
    <row r="666" ht="14.25" customHeight="1">
      <c r="D666" s="12"/>
    </row>
    <row r="667" ht="14.25" customHeight="1">
      <c r="D667" s="12"/>
    </row>
    <row r="668" ht="14.25" customHeight="1">
      <c r="D668" s="12"/>
    </row>
    <row r="669" ht="14.25" customHeight="1">
      <c r="D669" s="12"/>
    </row>
    <row r="670" ht="14.25" customHeight="1">
      <c r="D670" s="12"/>
    </row>
    <row r="671" ht="14.25" customHeight="1">
      <c r="D671" s="12"/>
    </row>
    <row r="672" ht="14.25" customHeight="1">
      <c r="D672" s="12"/>
    </row>
    <row r="673" ht="14.25" customHeight="1">
      <c r="D673" s="12"/>
    </row>
    <row r="674" ht="14.25" customHeight="1">
      <c r="D674" s="12"/>
    </row>
    <row r="675" ht="14.25" customHeight="1">
      <c r="D675" s="12"/>
    </row>
    <row r="676" ht="14.25" customHeight="1">
      <c r="D676" s="12"/>
    </row>
    <row r="677" ht="14.25" customHeight="1">
      <c r="D677" s="12"/>
    </row>
    <row r="678" ht="14.25" customHeight="1">
      <c r="D678" s="12"/>
    </row>
    <row r="679" ht="14.25" customHeight="1">
      <c r="D679" s="12"/>
    </row>
    <row r="680" ht="14.25" customHeight="1">
      <c r="D680" s="12"/>
    </row>
    <row r="681" ht="14.25" customHeight="1">
      <c r="D681" s="12"/>
    </row>
    <row r="682" ht="14.25" customHeight="1">
      <c r="D682" s="12"/>
    </row>
    <row r="683" ht="14.25" customHeight="1">
      <c r="D683" s="12"/>
    </row>
    <row r="684" ht="14.25" customHeight="1">
      <c r="D684" s="12"/>
    </row>
    <row r="685" ht="14.25" customHeight="1">
      <c r="D685" s="12"/>
    </row>
    <row r="686" ht="14.25" customHeight="1">
      <c r="D686" s="12"/>
    </row>
    <row r="687" ht="14.25" customHeight="1">
      <c r="D687" s="12"/>
    </row>
    <row r="688" ht="14.25" customHeight="1">
      <c r="D688" s="12"/>
    </row>
    <row r="689" ht="14.25" customHeight="1">
      <c r="D689" s="12"/>
    </row>
    <row r="690" ht="14.25" customHeight="1">
      <c r="D690" s="12"/>
    </row>
    <row r="691" ht="14.25" customHeight="1">
      <c r="D691" s="12"/>
    </row>
    <row r="692" ht="14.25" customHeight="1">
      <c r="D692" s="12"/>
    </row>
    <row r="693" ht="14.25" customHeight="1">
      <c r="D693" s="12"/>
    </row>
    <row r="694" ht="14.25" customHeight="1">
      <c r="D694" s="12"/>
    </row>
    <row r="695" ht="14.25" customHeight="1">
      <c r="D695" s="12"/>
    </row>
    <row r="696" ht="14.25" customHeight="1">
      <c r="D696" s="12"/>
    </row>
    <row r="697" ht="14.25" customHeight="1">
      <c r="D697" s="12"/>
    </row>
    <row r="698" ht="14.25" customHeight="1">
      <c r="D698" s="12"/>
    </row>
    <row r="699" ht="14.25" customHeight="1">
      <c r="D699" s="12"/>
    </row>
    <row r="700" ht="14.25" customHeight="1">
      <c r="D700" s="12"/>
    </row>
    <row r="701" ht="14.25" customHeight="1">
      <c r="D701" s="12"/>
    </row>
    <row r="702" ht="14.25" customHeight="1">
      <c r="D702" s="12"/>
    </row>
    <row r="703" ht="14.25" customHeight="1">
      <c r="D703" s="12"/>
    </row>
    <row r="704" ht="14.25" customHeight="1">
      <c r="D704" s="12"/>
    </row>
    <row r="705" ht="14.25" customHeight="1">
      <c r="D705" s="12"/>
    </row>
    <row r="706" ht="14.25" customHeight="1">
      <c r="D706" s="12"/>
    </row>
    <row r="707" ht="14.25" customHeight="1">
      <c r="D707" s="12"/>
    </row>
    <row r="708" ht="14.25" customHeight="1">
      <c r="D708" s="12"/>
    </row>
    <row r="709" ht="14.25" customHeight="1">
      <c r="D709" s="12"/>
    </row>
    <row r="710" ht="14.25" customHeight="1">
      <c r="D710" s="12"/>
    </row>
    <row r="711" ht="14.25" customHeight="1">
      <c r="D711" s="12"/>
    </row>
    <row r="712" ht="14.25" customHeight="1">
      <c r="D712" s="12"/>
    </row>
    <row r="713" ht="14.25" customHeight="1">
      <c r="D713" s="12"/>
    </row>
    <row r="714" ht="14.25" customHeight="1">
      <c r="D714" s="12"/>
    </row>
    <row r="715" ht="14.25" customHeight="1">
      <c r="D715" s="12"/>
    </row>
    <row r="716" ht="14.25" customHeight="1">
      <c r="D716" s="12"/>
    </row>
    <row r="717" ht="14.25" customHeight="1">
      <c r="D717" s="12"/>
    </row>
    <row r="718" ht="14.25" customHeight="1">
      <c r="D718" s="12"/>
    </row>
    <row r="719" ht="14.25" customHeight="1">
      <c r="D719" s="12"/>
    </row>
    <row r="720" ht="14.25" customHeight="1">
      <c r="D720" s="12"/>
    </row>
    <row r="721" ht="14.25" customHeight="1">
      <c r="D721" s="12"/>
    </row>
    <row r="722" ht="14.25" customHeight="1">
      <c r="D722" s="12"/>
    </row>
    <row r="723" ht="14.25" customHeight="1">
      <c r="D723" s="12"/>
    </row>
    <row r="724" ht="14.25" customHeight="1">
      <c r="D724" s="12"/>
    </row>
    <row r="725" ht="14.25" customHeight="1">
      <c r="D725" s="12"/>
    </row>
    <row r="726" ht="14.25" customHeight="1">
      <c r="D726" s="12"/>
    </row>
    <row r="727" ht="14.25" customHeight="1">
      <c r="D727" s="12"/>
    </row>
    <row r="728" ht="14.25" customHeight="1">
      <c r="D728" s="12"/>
    </row>
    <row r="729" ht="14.25" customHeight="1">
      <c r="D729" s="12"/>
    </row>
    <row r="730" ht="14.25" customHeight="1">
      <c r="D730" s="12"/>
    </row>
    <row r="731" ht="14.25" customHeight="1">
      <c r="D731" s="12"/>
    </row>
    <row r="732" ht="14.25" customHeight="1">
      <c r="D732" s="12"/>
    </row>
    <row r="733" ht="14.25" customHeight="1">
      <c r="D733" s="12"/>
    </row>
    <row r="734" ht="14.25" customHeight="1">
      <c r="D734" s="12"/>
    </row>
    <row r="735" ht="14.25" customHeight="1">
      <c r="D735" s="12"/>
    </row>
    <row r="736" ht="14.25" customHeight="1">
      <c r="D736" s="12"/>
    </row>
    <row r="737" ht="14.25" customHeight="1">
      <c r="D737" s="12"/>
    </row>
    <row r="738" ht="14.25" customHeight="1">
      <c r="D738" s="12"/>
    </row>
    <row r="739" ht="14.25" customHeight="1">
      <c r="D739" s="12"/>
    </row>
    <row r="740" ht="14.25" customHeight="1">
      <c r="D740" s="12"/>
    </row>
    <row r="741" ht="14.25" customHeight="1">
      <c r="D741" s="12"/>
    </row>
    <row r="742" ht="14.25" customHeight="1">
      <c r="D742" s="12"/>
    </row>
    <row r="743" ht="14.25" customHeight="1">
      <c r="D743" s="12"/>
    </row>
    <row r="744" ht="14.25" customHeight="1">
      <c r="D744" s="12"/>
    </row>
    <row r="745" ht="14.25" customHeight="1">
      <c r="D745" s="12"/>
    </row>
    <row r="746" ht="14.25" customHeight="1">
      <c r="D746" s="12"/>
    </row>
    <row r="747" ht="14.25" customHeight="1">
      <c r="D747" s="12"/>
    </row>
    <row r="748" ht="14.25" customHeight="1">
      <c r="D748" s="12"/>
    </row>
    <row r="749" ht="14.25" customHeight="1">
      <c r="D749" s="12"/>
    </row>
    <row r="750" ht="14.25" customHeight="1">
      <c r="D750" s="12"/>
    </row>
    <row r="751" ht="14.25" customHeight="1">
      <c r="D751" s="12"/>
    </row>
    <row r="752" ht="14.25" customHeight="1">
      <c r="D752" s="12"/>
    </row>
    <row r="753" ht="14.25" customHeight="1">
      <c r="D753" s="12"/>
    </row>
    <row r="754" ht="14.25" customHeight="1">
      <c r="D754" s="12"/>
    </row>
    <row r="755" ht="14.25" customHeight="1">
      <c r="D755" s="12"/>
    </row>
    <row r="756" ht="14.25" customHeight="1">
      <c r="D756" s="12"/>
    </row>
    <row r="757" ht="14.25" customHeight="1">
      <c r="D757" s="12"/>
    </row>
    <row r="758" ht="14.25" customHeight="1">
      <c r="D758" s="12"/>
    </row>
    <row r="759" ht="14.25" customHeight="1">
      <c r="D759" s="12"/>
    </row>
    <row r="760" ht="14.25" customHeight="1">
      <c r="D760" s="12"/>
    </row>
    <row r="761" ht="14.25" customHeight="1">
      <c r="D761" s="12"/>
    </row>
    <row r="762" ht="14.25" customHeight="1">
      <c r="D762" s="12"/>
    </row>
    <row r="763" ht="14.25" customHeight="1">
      <c r="D763" s="12"/>
    </row>
    <row r="764" ht="14.25" customHeight="1">
      <c r="D764" s="12"/>
    </row>
    <row r="765" ht="14.25" customHeight="1">
      <c r="D765" s="12"/>
    </row>
    <row r="766" ht="14.25" customHeight="1">
      <c r="D766" s="12"/>
    </row>
    <row r="767" ht="14.25" customHeight="1">
      <c r="D767" s="12"/>
    </row>
    <row r="768" ht="14.25" customHeight="1">
      <c r="D768" s="12"/>
    </row>
    <row r="769" ht="14.25" customHeight="1">
      <c r="D769" s="12"/>
    </row>
    <row r="770" ht="14.25" customHeight="1">
      <c r="D770" s="12"/>
    </row>
    <row r="771" ht="14.25" customHeight="1">
      <c r="D771" s="12"/>
    </row>
    <row r="772" ht="14.25" customHeight="1">
      <c r="D772" s="12"/>
    </row>
    <row r="773" ht="14.25" customHeight="1">
      <c r="D773" s="12"/>
    </row>
    <row r="774" ht="14.25" customHeight="1">
      <c r="D774" s="12"/>
    </row>
    <row r="775" ht="14.25" customHeight="1">
      <c r="D775" s="12"/>
    </row>
    <row r="776" ht="14.25" customHeight="1">
      <c r="D776" s="12"/>
    </row>
    <row r="777" ht="14.25" customHeight="1">
      <c r="D777" s="12"/>
    </row>
    <row r="778" ht="14.25" customHeight="1">
      <c r="D778" s="12"/>
    </row>
    <row r="779" ht="14.25" customHeight="1">
      <c r="D779" s="12"/>
    </row>
    <row r="780" ht="14.25" customHeight="1">
      <c r="D780" s="12"/>
    </row>
    <row r="781" ht="14.25" customHeight="1">
      <c r="D781" s="12"/>
    </row>
    <row r="782" ht="14.25" customHeight="1">
      <c r="D782" s="12"/>
    </row>
    <row r="783" ht="14.25" customHeight="1">
      <c r="D783" s="12"/>
    </row>
    <row r="784" ht="14.25" customHeight="1">
      <c r="D784" s="12"/>
    </row>
    <row r="785" ht="14.25" customHeight="1">
      <c r="D785" s="12"/>
    </row>
    <row r="786" ht="14.25" customHeight="1">
      <c r="D786" s="12"/>
    </row>
    <row r="787" ht="14.25" customHeight="1">
      <c r="D787" s="12"/>
    </row>
    <row r="788" ht="14.25" customHeight="1">
      <c r="D788" s="12"/>
    </row>
    <row r="789" ht="14.25" customHeight="1">
      <c r="D789" s="12"/>
    </row>
    <row r="790" ht="14.25" customHeight="1">
      <c r="D790" s="12"/>
    </row>
    <row r="791" ht="14.25" customHeight="1">
      <c r="D791" s="12"/>
    </row>
    <row r="792" ht="14.25" customHeight="1">
      <c r="D792" s="12"/>
    </row>
    <row r="793" ht="14.25" customHeight="1">
      <c r="D793" s="12"/>
    </row>
    <row r="794" ht="14.25" customHeight="1">
      <c r="D794" s="12"/>
    </row>
    <row r="795" ht="14.25" customHeight="1">
      <c r="D795" s="12"/>
    </row>
    <row r="796" ht="14.25" customHeight="1">
      <c r="D796" s="12"/>
    </row>
    <row r="797" ht="14.25" customHeight="1">
      <c r="D797" s="12"/>
    </row>
    <row r="798" ht="14.25" customHeight="1">
      <c r="D798" s="12"/>
    </row>
    <row r="799" ht="14.25" customHeight="1">
      <c r="D799" s="12"/>
    </row>
    <row r="800" ht="14.25" customHeight="1">
      <c r="D800" s="12"/>
    </row>
    <row r="801" ht="14.25" customHeight="1">
      <c r="D801" s="12"/>
    </row>
    <row r="802" ht="14.25" customHeight="1">
      <c r="D802" s="12"/>
    </row>
    <row r="803" ht="14.25" customHeight="1">
      <c r="D803" s="12"/>
    </row>
    <row r="804" ht="14.25" customHeight="1">
      <c r="D804" s="12"/>
    </row>
    <row r="805" ht="14.25" customHeight="1">
      <c r="D805" s="12"/>
    </row>
    <row r="806" ht="14.25" customHeight="1">
      <c r="D806" s="12"/>
    </row>
    <row r="807" ht="14.25" customHeight="1">
      <c r="D807" s="12"/>
    </row>
    <row r="808" ht="14.25" customHeight="1">
      <c r="D808" s="12"/>
    </row>
    <row r="809" ht="14.25" customHeight="1">
      <c r="D809" s="12"/>
    </row>
    <row r="810" ht="14.25" customHeight="1">
      <c r="D810" s="12"/>
    </row>
    <row r="811" ht="14.25" customHeight="1">
      <c r="D811" s="12"/>
    </row>
    <row r="812" ht="14.25" customHeight="1">
      <c r="D812" s="12"/>
    </row>
    <row r="813" ht="14.25" customHeight="1">
      <c r="D813" s="12"/>
    </row>
    <row r="814" ht="14.25" customHeight="1">
      <c r="D814" s="12"/>
    </row>
    <row r="815" ht="14.25" customHeight="1">
      <c r="D815" s="12"/>
    </row>
    <row r="816" ht="14.25" customHeight="1">
      <c r="D816" s="12"/>
    </row>
    <row r="817" ht="14.25" customHeight="1">
      <c r="D817" s="12"/>
    </row>
    <row r="818" ht="14.25" customHeight="1">
      <c r="D818" s="12"/>
    </row>
    <row r="819" ht="14.25" customHeight="1">
      <c r="D819" s="12"/>
    </row>
    <row r="820" ht="14.25" customHeight="1">
      <c r="D820" s="12"/>
    </row>
    <row r="821" ht="14.25" customHeight="1">
      <c r="D821" s="12"/>
    </row>
    <row r="822" ht="14.25" customHeight="1">
      <c r="D822" s="12"/>
    </row>
    <row r="823" ht="14.25" customHeight="1">
      <c r="D823" s="12"/>
    </row>
    <row r="824" ht="14.25" customHeight="1">
      <c r="D824" s="12"/>
    </row>
    <row r="825" ht="14.25" customHeight="1">
      <c r="D825" s="12"/>
    </row>
    <row r="826" ht="14.25" customHeight="1">
      <c r="D826" s="12"/>
    </row>
    <row r="827" ht="14.25" customHeight="1">
      <c r="D827" s="12"/>
    </row>
    <row r="828" ht="14.25" customHeight="1">
      <c r="D828" s="12"/>
    </row>
    <row r="829" ht="14.25" customHeight="1">
      <c r="D829" s="12"/>
    </row>
    <row r="830" ht="14.25" customHeight="1">
      <c r="D830" s="12"/>
    </row>
    <row r="831" ht="14.25" customHeight="1">
      <c r="D831" s="12"/>
    </row>
    <row r="832" ht="14.25" customHeight="1">
      <c r="D832" s="12"/>
    </row>
    <row r="833" ht="14.25" customHeight="1">
      <c r="D833" s="12"/>
    </row>
    <row r="834" ht="14.25" customHeight="1">
      <c r="D834" s="12"/>
    </row>
    <row r="835" ht="14.25" customHeight="1">
      <c r="D835" s="12"/>
    </row>
    <row r="836" ht="14.25" customHeight="1">
      <c r="D836" s="12"/>
    </row>
    <row r="837" ht="14.25" customHeight="1">
      <c r="D837" s="12"/>
    </row>
    <row r="838" ht="14.25" customHeight="1">
      <c r="D838" s="12"/>
    </row>
    <row r="839" ht="14.25" customHeight="1">
      <c r="D839" s="12"/>
    </row>
    <row r="840" ht="14.25" customHeight="1">
      <c r="D840" s="12"/>
    </row>
    <row r="841" ht="14.25" customHeight="1">
      <c r="D841" s="12"/>
    </row>
    <row r="842" ht="14.25" customHeight="1">
      <c r="D842" s="12"/>
    </row>
    <row r="843" ht="14.25" customHeight="1">
      <c r="D843" s="12"/>
    </row>
    <row r="844" ht="14.25" customHeight="1">
      <c r="D844" s="12"/>
    </row>
    <row r="845" ht="14.25" customHeight="1">
      <c r="D845" s="12"/>
    </row>
    <row r="846" ht="14.25" customHeight="1">
      <c r="D846" s="12"/>
    </row>
    <row r="847" ht="14.25" customHeight="1">
      <c r="D847" s="12"/>
    </row>
    <row r="848" ht="14.25" customHeight="1">
      <c r="D848" s="12"/>
    </row>
    <row r="849" ht="14.25" customHeight="1">
      <c r="D849" s="12"/>
    </row>
    <row r="850" ht="14.25" customHeight="1">
      <c r="D850" s="12"/>
    </row>
    <row r="851" ht="14.25" customHeight="1">
      <c r="D851" s="12"/>
    </row>
    <row r="852" ht="14.25" customHeight="1">
      <c r="D852" s="12"/>
    </row>
    <row r="853" ht="14.25" customHeight="1">
      <c r="D853" s="12"/>
    </row>
    <row r="854" ht="14.25" customHeight="1">
      <c r="D854" s="12"/>
    </row>
    <row r="855" ht="14.25" customHeight="1">
      <c r="D855" s="12"/>
    </row>
    <row r="856" ht="14.25" customHeight="1">
      <c r="D856" s="12"/>
    </row>
    <row r="857" ht="14.25" customHeight="1">
      <c r="D857" s="12"/>
    </row>
    <row r="858" ht="14.25" customHeight="1">
      <c r="D858" s="12"/>
    </row>
    <row r="859" ht="14.25" customHeight="1">
      <c r="D859" s="12"/>
    </row>
    <row r="860" ht="14.25" customHeight="1">
      <c r="D860" s="12"/>
    </row>
    <row r="861" ht="14.25" customHeight="1"/>
  </sheetData>
  <mergeCells count="9">
    <mergeCell ref="A21:D21"/>
    <mergeCell ref="A25:D25"/>
    <mergeCell ref="A1:C1"/>
    <mergeCell ref="A3:D3"/>
    <mergeCell ref="A6:D6"/>
    <mergeCell ref="A9:D9"/>
    <mergeCell ref="A12:D12"/>
    <mergeCell ref="A15:D15"/>
    <mergeCell ref="A18:D18"/>
  </mergeCells>
  <printOptions/>
  <pageMargins bottom="0.29086849218474564" footer="0.0" header="0.0" left="0.5118110236220472" right="0.5118110236220472" top="0.4799330121048303"/>
  <pageSetup paperSize="9" scale="8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76.71"/>
    <col customWidth="1" min="2" max="2" width="12.43"/>
    <col customWidth="1" min="3" max="3" width="20.0"/>
    <col customWidth="1" min="4" max="4" width="17.71"/>
    <col customWidth="1" min="5" max="5" width="16.71"/>
    <col customWidth="1" min="6" max="6" width="15.43"/>
    <col customWidth="1" min="7" max="7" width="19.71"/>
    <col customWidth="1" min="8" max="8" width="17.86"/>
    <col customWidth="1" min="9" max="9" width="12.29"/>
    <col customWidth="1" min="10" max="21" width="8.71"/>
  </cols>
  <sheetData>
    <row r="1" ht="14.25" customHeight="1">
      <c r="A1" s="30"/>
      <c r="B1" s="31"/>
      <c r="C1" s="31"/>
      <c r="D1" s="32"/>
    </row>
    <row r="2" ht="14.25" customHeight="1">
      <c r="A2" s="33" t="s">
        <v>77</v>
      </c>
      <c r="B2" s="33" t="s">
        <v>78</v>
      </c>
      <c r="C2" s="33" t="s">
        <v>79</v>
      </c>
      <c r="D2" s="33" t="s">
        <v>80</v>
      </c>
    </row>
    <row r="3" ht="12.75" customHeight="1">
      <c r="A3" s="34" t="s">
        <v>81</v>
      </c>
      <c r="B3" s="35"/>
      <c r="C3" s="35"/>
      <c r="D3" s="36"/>
    </row>
    <row r="4" ht="12.75" customHeight="1">
      <c r="A4" s="1" t="s">
        <v>82</v>
      </c>
      <c r="B4" s="37">
        <v>5.0</v>
      </c>
      <c r="C4" s="69">
        <v>1074.65</v>
      </c>
      <c r="D4" s="12" t="s">
        <v>83</v>
      </c>
    </row>
    <row r="5" ht="12.75" customHeight="1">
      <c r="A5" s="40"/>
      <c r="B5" s="41"/>
      <c r="C5" s="42"/>
      <c r="D5" s="12"/>
    </row>
    <row r="6" ht="14.25" customHeight="1">
      <c r="A6" s="34" t="s">
        <v>84</v>
      </c>
      <c r="B6" s="35"/>
      <c r="C6" s="35"/>
      <c r="D6" s="36"/>
    </row>
    <row r="7" ht="12.75" customHeight="1">
      <c r="A7" s="40" t="s">
        <v>127</v>
      </c>
      <c r="B7" s="41">
        <v>5.0</v>
      </c>
      <c r="C7" s="69">
        <v>617.98</v>
      </c>
      <c r="D7" s="12" t="s">
        <v>86</v>
      </c>
      <c r="E7" s="1" t="s">
        <v>128</v>
      </c>
      <c r="F7" s="1">
        <v>433.37</v>
      </c>
    </row>
    <row r="8" ht="14.25" customHeight="1">
      <c r="D8" s="12"/>
      <c r="F8" s="1" t="s">
        <v>86</v>
      </c>
      <c r="G8" s="43">
        <f>C7</f>
        <v>617.98</v>
      </c>
    </row>
    <row r="9" ht="14.25" customHeight="1">
      <c r="A9" s="34" t="s">
        <v>87</v>
      </c>
      <c r="B9" s="35"/>
      <c r="C9" s="35"/>
      <c r="D9" s="36"/>
      <c r="F9" s="1" t="s">
        <v>83</v>
      </c>
      <c r="G9" s="43">
        <f>C4+C16+C19+C22+C25+C28+C29+C30+C31+C32+C33+C34+C35+C36+C38+C39</f>
        <v>11609.35</v>
      </c>
      <c r="I9" s="44"/>
    </row>
    <row r="10" ht="14.25" customHeight="1">
      <c r="A10" s="1" t="s">
        <v>88</v>
      </c>
      <c r="B10" s="41">
        <v>5.0</v>
      </c>
      <c r="C10" s="70">
        <v>964.12</v>
      </c>
      <c r="D10" s="12" t="s">
        <v>20</v>
      </c>
      <c r="F10" s="1" t="s">
        <v>17</v>
      </c>
      <c r="G10" s="43">
        <v>0.0</v>
      </c>
    </row>
    <row r="11" ht="14.25" customHeight="1">
      <c r="D11" s="12"/>
      <c r="F11" s="1" t="s">
        <v>91</v>
      </c>
      <c r="G11" s="43">
        <f>C13</f>
        <v>1092.86</v>
      </c>
    </row>
    <row r="12" ht="14.25" customHeight="1">
      <c r="A12" s="34" t="s">
        <v>89</v>
      </c>
      <c r="B12" s="35"/>
      <c r="C12" s="35"/>
      <c r="D12" s="36"/>
      <c r="F12" s="1" t="s">
        <v>20</v>
      </c>
      <c r="G12" s="43">
        <f>C10</f>
        <v>964.12</v>
      </c>
    </row>
    <row r="13" ht="14.25" customHeight="1">
      <c r="A13" s="40" t="s">
        <v>90</v>
      </c>
      <c r="B13" s="41">
        <v>5.0</v>
      </c>
      <c r="C13" s="70">
        <v>1092.86</v>
      </c>
      <c r="D13" s="12" t="s">
        <v>91</v>
      </c>
      <c r="F13" s="1" t="s">
        <v>14</v>
      </c>
      <c r="G13" s="43">
        <f>C37</f>
        <v>68.76</v>
      </c>
    </row>
    <row r="14" ht="12.75" customHeight="1">
      <c r="D14" s="12"/>
      <c r="G14" s="46">
        <f>SUM(G8:G13)</f>
        <v>14353.07</v>
      </c>
    </row>
    <row r="15" ht="14.25" customHeight="1">
      <c r="A15" s="34" t="s">
        <v>92</v>
      </c>
      <c r="B15" s="35"/>
      <c r="C15" s="35"/>
      <c r="D15" s="36"/>
      <c r="G15" s="12"/>
      <c r="H15" s="48"/>
    </row>
    <row r="16" ht="14.25" customHeight="1">
      <c r="A16" s="40" t="s">
        <v>100</v>
      </c>
      <c r="B16" s="41">
        <v>5.0</v>
      </c>
      <c r="C16" s="70">
        <v>220.46</v>
      </c>
      <c r="D16" s="12" t="s">
        <v>83</v>
      </c>
      <c r="G16" s="12"/>
    </row>
    <row r="17" ht="12.75" customHeight="1">
      <c r="B17" s="41"/>
      <c r="C17" s="42"/>
      <c r="D17" s="12"/>
      <c r="G17" s="50"/>
      <c r="H17" s="44"/>
    </row>
    <row r="18" ht="12.75" customHeight="1">
      <c r="A18" s="34" t="s">
        <v>94</v>
      </c>
      <c r="B18" s="35"/>
      <c r="C18" s="35"/>
      <c r="D18" s="36"/>
      <c r="G18" s="50"/>
      <c r="H18" s="44"/>
    </row>
    <row r="19" ht="14.25" customHeight="1">
      <c r="A19" s="40" t="s">
        <v>129</v>
      </c>
      <c r="B19" s="41">
        <v>5.0</v>
      </c>
      <c r="C19" s="70">
        <v>66.7</v>
      </c>
      <c r="D19" s="12" t="s">
        <v>83</v>
      </c>
      <c r="F19" s="40"/>
      <c r="G19" s="50"/>
    </row>
    <row r="20" ht="14.25" customHeight="1">
      <c r="C20" s="42"/>
      <c r="D20" s="12"/>
      <c r="G20" s="50"/>
      <c r="H20" s="48"/>
    </row>
    <row r="21" ht="12.75" customHeight="1">
      <c r="A21" s="54" t="s">
        <v>99</v>
      </c>
      <c r="B21" s="35"/>
      <c r="C21" s="35"/>
      <c r="D21" s="36"/>
      <c r="G21" s="50"/>
    </row>
    <row r="22" ht="15.0" customHeight="1">
      <c r="A22" s="1" t="s">
        <v>101</v>
      </c>
      <c r="B22" s="12">
        <v>5.0</v>
      </c>
      <c r="C22" s="70">
        <v>697.74</v>
      </c>
      <c r="D22" s="12" t="s">
        <v>83</v>
      </c>
      <c r="F22" s="40"/>
      <c r="G22" s="55"/>
      <c r="H22" s="1">
        <v>1732.95</v>
      </c>
    </row>
    <row r="23" ht="15.0" customHeight="1">
      <c r="C23" s="42"/>
      <c r="D23" s="12"/>
      <c r="F23" s="40"/>
      <c r="G23" s="71"/>
      <c r="H23" s="1">
        <v>1100.0</v>
      </c>
    </row>
    <row r="24" ht="12.75" customHeight="1">
      <c r="A24" s="34" t="s">
        <v>130</v>
      </c>
      <c r="B24" s="35"/>
      <c r="C24" s="35"/>
      <c r="D24" s="36"/>
      <c r="G24" s="3"/>
      <c r="H24" s="1" t="str">
        <f>H22-#REF!-H23</f>
        <v>#REF!</v>
      </c>
    </row>
    <row r="25" ht="12.75" customHeight="1">
      <c r="A25" s="40" t="s">
        <v>93</v>
      </c>
      <c r="B25" s="41">
        <v>5.0</v>
      </c>
      <c r="C25" s="70">
        <v>1061.8</v>
      </c>
      <c r="D25" s="12" t="s">
        <v>83</v>
      </c>
    </row>
    <row r="26" ht="12.75" customHeight="1">
      <c r="A26" s="41"/>
      <c r="B26" s="41"/>
      <c r="C26" s="41"/>
      <c r="D26" s="12"/>
      <c r="F26" s="1" t="s">
        <v>131</v>
      </c>
      <c r="G26" s="56">
        <v>9066.0</v>
      </c>
    </row>
    <row r="27" ht="14.25" customHeight="1">
      <c r="A27" s="34" t="s">
        <v>102</v>
      </c>
      <c r="B27" s="35"/>
      <c r="C27" s="35"/>
      <c r="D27" s="36"/>
      <c r="G27" s="50">
        <f>G26-G24</f>
        <v>9066</v>
      </c>
    </row>
    <row r="28" ht="14.25" customHeight="1">
      <c r="A28" s="40" t="s">
        <v>103</v>
      </c>
      <c r="B28" s="41">
        <v>5.0</v>
      </c>
      <c r="C28" s="70">
        <v>1166.14</v>
      </c>
      <c r="D28" s="12" t="s">
        <v>83</v>
      </c>
    </row>
    <row r="29" ht="14.25" customHeight="1">
      <c r="A29" s="40" t="s">
        <v>104</v>
      </c>
      <c r="B29" s="41">
        <v>5.0</v>
      </c>
      <c r="C29" s="70">
        <v>1331.95</v>
      </c>
      <c r="D29" s="12" t="s">
        <v>83</v>
      </c>
    </row>
    <row r="30" ht="14.25" customHeight="1">
      <c r="A30" s="40" t="s">
        <v>112</v>
      </c>
      <c r="B30" s="41">
        <v>5.0</v>
      </c>
      <c r="C30" s="70">
        <v>75.0</v>
      </c>
      <c r="D30" s="12" t="s">
        <v>83</v>
      </c>
      <c r="H30" s="1">
        <v>104.47</v>
      </c>
    </row>
    <row r="31" ht="14.25" customHeight="1">
      <c r="A31" s="40" t="s">
        <v>105</v>
      </c>
      <c r="B31" s="41">
        <v>5.0</v>
      </c>
      <c r="C31" s="70">
        <v>1168.01</v>
      </c>
      <c r="D31" s="12" t="s">
        <v>83</v>
      </c>
    </row>
    <row r="32" ht="14.25" customHeight="1">
      <c r="A32" s="40" t="s">
        <v>106</v>
      </c>
      <c r="B32" s="41">
        <v>5.0</v>
      </c>
      <c r="C32" s="70">
        <v>1173.34</v>
      </c>
      <c r="D32" s="12" t="s">
        <v>83</v>
      </c>
      <c r="G32" s="1">
        <v>21583.62</v>
      </c>
    </row>
    <row r="33" ht="14.25" customHeight="1">
      <c r="A33" s="40" t="s">
        <v>107</v>
      </c>
      <c r="B33" s="41">
        <v>5.0</v>
      </c>
      <c r="C33" s="70">
        <v>1293.14</v>
      </c>
      <c r="D33" s="12" t="s">
        <v>83</v>
      </c>
    </row>
    <row r="34" ht="14.25" customHeight="1">
      <c r="A34" s="1" t="s">
        <v>108</v>
      </c>
      <c r="B34" s="41">
        <v>5.0</v>
      </c>
      <c r="C34" s="70">
        <v>1016.81</v>
      </c>
      <c r="D34" s="12" t="s">
        <v>83</v>
      </c>
    </row>
    <row r="35" ht="14.25" customHeight="1">
      <c r="A35" s="40" t="s">
        <v>109</v>
      </c>
      <c r="B35" s="41">
        <v>5.0</v>
      </c>
      <c r="C35" s="70">
        <v>858.0</v>
      </c>
      <c r="D35" s="12" t="s">
        <v>83</v>
      </c>
    </row>
    <row r="36" ht="18.0" customHeight="1">
      <c r="A36" s="40" t="s">
        <v>122</v>
      </c>
      <c r="B36" s="41">
        <v>5.0</v>
      </c>
      <c r="C36" s="70">
        <v>261.18</v>
      </c>
      <c r="D36" s="12" t="s">
        <v>83</v>
      </c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</row>
    <row r="37" ht="18.0" customHeight="1">
      <c r="A37" s="40" t="s">
        <v>132</v>
      </c>
      <c r="B37" s="41"/>
      <c r="C37" s="70">
        <v>68.76</v>
      </c>
      <c r="D37" s="12" t="s">
        <v>73</v>
      </c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</row>
    <row r="38" ht="18.0" customHeight="1">
      <c r="A38" s="40" t="s">
        <v>133</v>
      </c>
      <c r="B38" s="41"/>
      <c r="C38" s="72">
        <v>77.73</v>
      </c>
      <c r="D38" s="73" t="s">
        <v>83</v>
      </c>
      <c r="E38" s="74"/>
      <c r="F38" s="40"/>
      <c r="G38" s="40"/>
      <c r="H38" s="59"/>
      <c r="I38" s="40">
        <v>1055.0</v>
      </c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</row>
    <row r="39" ht="18.0" customHeight="1">
      <c r="A39" s="40" t="s">
        <v>134</v>
      </c>
      <c r="B39" s="41"/>
      <c r="C39" s="72">
        <v>66.7</v>
      </c>
      <c r="D39" s="73" t="s">
        <v>83</v>
      </c>
      <c r="E39" s="75"/>
      <c r="F39" s="64"/>
      <c r="G39" s="64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</row>
    <row r="40" ht="18.0" customHeight="1">
      <c r="A40" s="40"/>
      <c r="B40" s="41"/>
      <c r="C40" s="67"/>
      <c r="D40" s="41"/>
      <c r="E40" s="64"/>
      <c r="F40" s="64"/>
      <c r="G40" s="64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</row>
    <row r="41" ht="18.0" customHeight="1">
      <c r="A41" s="40"/>
      <c r="B41" s="41"/>
      <c r="C41" s="67">
        <f>SUM(C3:C39)</f>
        <v>14353.07</v>
      </c>
      <c r="D41" s="41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</row>
    <row r="42" ht="18.0" customHeight="1">
      <c r="A42" s="40"/>
      <c r="B42" s="40"/>
      <c r="C42" s="40"/>
      <c r="D42" s="41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</row>
    <row r="43" ht="14.25" customHeight="1">
      <c r="D43" s="12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</row>
    <row r="44" ht="23.25" customHeight="1">
      <c r="D44" s="12"/>
    </row>
    <row r="45" ht="21.0" customHeight="1">
      <c r="D45" s="12"/>
    </row>
    <row r="46" ht="14.25" customHeight="1">
      <c r="D46" s="12"/>
    </row>
    <row r="47" ht="14.25" customHeight="1">
      <c r="D47" s="12"/>
    </row>
    <row r="48" ht="14.25" customHeight="1">
      <c r="D48" s="12"/>
    </row>
    <row r="49" ht="14.25" customHeight="1">
      <c r="D49" s="12"/>
    </row>
    <row r="50" ht="14.25" customHeight="1">
      <c r="D50" s="12"/>
    </row>
    <row r="51" ht="14.25" customHeight="1">
      <c r="D51" s="12"/>
    </row>
    <row r="52" ht="14.25" customHeight="1">
      <c r="D52" s="12"/>
    </row>
    <row r="53" ht="14.25" customHeight="1">
      <c r="D53" s="12"/>
    </row>
    <row r="54" ht="14.25" customHeight="1">
      <c r="D54" s="12"/>
    </row>
    <row r="55" ht="14.25" customHeight="1">
      <c r="D55" s="12"/>
    </row>
    <row r="56" ht="14.25" customHeight="1">
      <c r="D56" s="12"/>
    </row>
    <row r="57" ht="14.25" customHeight="1">
      <c r="D57" s="12"/>
    </row>
    <row r="58" ht="14.25" customHeight="1">
      <c r="D58" s="12"/>
    </row>
    <row r="59" ht="14.25" customHeight="1">
      <c r="D59" s="12"/>
    </row>
    <row r="60" ht="14.25" customHeight="1">
      <c r="D60" s="12"/>
    </row>
    <row r="61" ht="14.25" customHeight="1">
      <c r="D61" s="12"/>
    </row>
    <row r="62" ht="14.25" customHeight="1">
      <c r="D62" s="12"/>
    </row>
    <row r="63" ht="14.25" customHeight="1">
      <c r="D63" s="12"/>
    </row>
    <row r="64" ht="14.25" customHeight="1">
      <c r="D64" s="12"/>
    </row>
    <row r="65" ht="14.25" customHeight="1">
      <c r="D65" s="12"/>
    </row>
    <row r="66" ht="14.25" customHeight="1">
      <c r="D66" s="12"/>
    </row>
    <row r="67" ht="14.25" customHeight="1">
      <c r="D67" s="12"/>
    </row>
    <row r="68" ht="14.25" customHeight="1">
      <c r="D68" s="12"/>
    </row>
    <row r="69" ht="14.25" customHeight="1">
      <c r="D69" s="12"/>
    </row>
    <row r="70" ht="14.25" customHeight="1">
      <c r="D70" s="12"/>
    </row>
    <row r="71" ht="14.25" customHeight="1">
      <c r="D71" s="12"/>
    </row>
    <row r="72" ht="14.25" customHeight="1">
      <c r="D72" s="12"/>
    </row>
    <row r="73" ht="14.25" customHeight="1">
      <c r="D73" s="12"/>
    </row>
    <row r="74" ht="14.25" customHeight="1">
      <c r="D74" s="12"/>
    </row>
    <row r="75" ht="14.25" customHeight="1">
      <c r="D75" s="12"/>
    </row>
    <row r="76" ht="14.25" customHeight="1">
      <c r="D76" s="12"/>
    </row>
    <row r="77" ht="14.25" customHeight="1">
      <c r="D77" s="12"/>
    </row>
    <row r="78" ht="14.25" customHeight="1">
      <c r="D78" s="12"/>
    </row>
    <row r="79" ht="14.25" customHeight="1">
      <c r="D79" s="12"/>
    </row>
    <row r="80" ht="14.25" customHeight="1">
      <c r="D80" s="12"/>
    </row>
    <row r="81" ht="14.25" customHeight="1">
      <c r="D81" s="12"/>
    </row>
    <row r="82" ht="14.25" customHeight="1">
      <c r="D82" s="12"/>
    </row>
    <row r="83" ht="14.25" customHeight="1">
      <c r="D83" s="12"/>
    </row>
    <row r="84" ht="14.25" customHeight="1">
      <c r="D84" s="12"/>
    </row>
    <row r="85" ht="14.25" customHeight="1">
      <c r="D85" s="12"/>
    </row>
    <row r="86" ht="14.25" customHeight="1">
      <c r="D86" s="12"/>
    </row>
    <row r="87" ht="14.25" customHeight="1">
      <c r="D87" s="12"/>
    </row>
    <row r="88" ht="14.25" customHeight="1">
      <c r="D88" s="12"/>
    </row>
    <row r="89" ht="14.25" customHeight="1">
      <c r="D89" s="12"/>
    </row>
    <row r="90" ht="14.25" customHeight="1">
      <c r="D90" s="12"/>
    </row>
    <row r="91" ht="14.25" customHeight="1">
      <c r="D91" s="12"/>
    </row>
    <row r="92" ht="14.25" customHeight="1">
      <c r="D92" s="12"/>
    </row>
    <row r="93" ht="14.25" customHeight="1">
      <c r="D93" s="12"/>
    </row>
    <row r="94" ht="14.25" customHeight="1">
      <c r="D94" s="12"/>
    </row>
    <row r="95" ht="14.25" customHeight="1">
      <c r="D95" s="12"/>
    </row>
    <row r="96" ht="14.25" customHeight="1">
      <c r="D96" s="12"/>
    </row>
    <row r="97" ht="14.25" customHeight="1">
      <c r="D97" s="12"/>
    </row>
    <row r="98" ht="14.25" customHeight="1">
      <c r="D98" s="12"/>
    </row>
    <row r="99" ht="14.25" customHeight="1">
      <c r="D99" s="12"/>
    </row>
    <row r="100" ht="14.25" customHeight="1">
      <c r="D100" s="12"/>
    </row>
    <row r="101" ht="14.25" customHeight="1">
      <c r="D101" s="12"/>
    </row>
    <row r="102" ht="14.25" customHeight="1">
      <c r="D102" s="12"/>
    </row>
    <row r="103" ht="14.25" customHeight="1">
      <c r="D103" s="12"/>
    </row>
    <row r="104" ht="14.25" customHeight="1">
      <c r="D104" s="12"/>
    </row>
    <row r="105" ht="14.25" customHeight="1">
      <c r="D105" s="12"/>
    </row>
    <row r="106" ht="14.25" customHeight="1">
      <c r="D106" s="12"/>
    </row>
    <row r="107" ht="14.25" customHeight="1">
      <c r="D107" s="12"/>
    </row>
    <row r="108" ht="14.25" customHeight="1">
      <c r="D108" s="12"/>
    </row>
    <row r="109" ht="14.25" customHeight="1">
      <c r="D109" s="12"/>
    </row>
    <row r="110" ht="14.25" customHeight="1">
      <c r="D110" s="12"/>
    </row>
    <row r="111" ht="14.25" customHeight="1">
      <c r="D111" s="12"/>
    </row>
    <row r="112" ht="14.25" customHeight="1">
      <c r="D112" s="12"/>
    </row>
    <row r="113" ht="14.25" customHeight="1">
      <c r="D113" s="12"/>
    </row>
    <row r="114" ht="14.25" customHeight="1">
      <c r="D114" s="12"/>
    </row>
    <row r="115" ht="14.25" customHeight="1">
      <c r="D115" s="12"/>
    </row>
    <row r="116" ht="14.25" customHeight="1">
      <c r="D116" s="12"/>
    </row>
    <row r="117" ht="14.25" customHeight="1">
      <c r="D117" s="12"/>
    </row>
    <row r="118" ht="14.25" customHeight="1">
      <c r="D118" s="12"/>
    </row>
    <row r="119" ht="14.25" customHeight="1">
      <c r="D119" s="12"/>
    </row>
    <row r="120" ht="14.25" customHeight="1">
      <c r="D120" s="12"/>
    </row>
    <row r="121" ht="14.25" customHeight="1">
      <c r="D121" s="12"/>
    </row>
    <row r="122" ht="14.25" customHeight="1">
      <c r="D122" s="12"/>
    </row>
    <row r="123" ht="14.25" customHeight="1">
      <c r="D123" s="12"/>
    </row>
    <row r="124" ht="14.25" customHeight="1">
      <c r="D124" s="12"/>
    </row>
    <row r="125" ht="14.25" customHeight="1">
      <c r="D125" s="12"/>
    </row>
    <row r="126" ht="14.25" customHeight="1">
      <c r="D126" s="12"/>
    </row>
    <row r="127" ht="14.25" customHeight="1">
      <c r="D127" s="12"/>
    </row>
    <row r="128" ht="14.25" customHeight="1">
      <c r="D128" s="12"/>
    </row>
    <row r="129" ht="14.25" customHeight="1">
      <c r="D129" s="12"/>
    </row>
    <row r="130" ht="14.25" customHeight="1">
      <c r="D130" s="12"/>
    </row>
    <row r="131" ht="14.25" customHeight="1">
      <c r="D131" s="12"/>
    </row>
    <row r="132" ht="14.25" customHeight="1">
      <c r="D132" s="12"/>
    </row>
    <row r="133" ht="14.25" customHeight="1">
      <c r="D133" s="12"/>
    </row>
    <row r="134" ht="14.25" customHeight="1">
      <c r="D134" s="12"/>
    </row>
    <row r="135" ht="14.25" customHeight="1">
      <c r="D135" s="12"/>
    </row>
    <row r="136" ht="14.25" customHeight="1">
      <c r="D136" s="12"/>
    </row>
    <row r="137" ht="14.25" customHeight="1">
      <c r="D137" s="12"/>
    </row>
    <row r="138" ht="14.25" customHeight="1">
      <c r="D138" s="12"/>
    </row>
    <row r="139" ht="14.25" customHeight="1">
      <c r="D139" s="12"/>
    </row>
    <row r="140" ht="14.25" customHeight="1">
      <c r="D140" s="12"/>
    </row>
    <row r="141" ht="14.25" customHeight="1">
      <c r="D141" s="12"/>
    </row>
    <row r="142" ht="14.25" customHeight="1">
      <c r="D142" s="12"/>
    </row>
    <row r="143" ht="14.25" customHeight="1">
      <c r="D143" s="12"/>
    </row>
    <row r="144" ht="14.25" customHeight="1">
      <c r="D144" s="12"/>
    </row>
    <row r="145" ht="14.25" customHeight="1">
      <c r="D145" s="12"/>
    </row>
    <row r="146" ht="14.25" customHeight="1">
      <c r="D146" s="12"/>
    </row>
    <row r="147" ht="14.25" customHeight="1">
      <c r="D147" s="12"/>
    </row>
    <row r="148" ht="14.25" customHeight="1">
      <c r="D148" s="12"/>
    </row>
    <row r="149" ht="14.25" customHeight="1">
      <c r="D149" s="12"/>
    </row>
    <row r="150" ht="14.25" customHeight="1">
      <c r="D150" s="12"/>
    </row>
    <row r="151" ht="14.25" customHeight="1">
      <c r="D151" s="12"/>
    </row>
    <row r="152" ht="14.25" customHeight="1">
      <c r="D152" s="12"/>
    </row>
    <row r="153" ht="14.25" customHeight="1">
      <c r="D153" s="12"/>
    </row>
    <row r="154" ht="14.25" customHeight="1">
      <c r="D154" s="12"/>
    </row>
    <row r="155" ht="14.25" customHeight="1">
      <c r="D155" s="12"/>
    </row>
    <row r="156" ht="14.25" customHeight="1">
      <c r="D156" s="12"/>
    </row>
    <row r="157" ht="14.25" customHeight="1">
      <c r="D157" s="12"/>
    </row>
    <row r="158" ht="14.25" customHeight="1">
      <c r="D158" s="12"/>
    </row>
    <row r="159" ht="14.25" customHeight="1">
      <c r="D159" s="12"/>
    </row>
    <row r="160" ht="14.25" customHeight="1">
      <c r="D160" s="12"/>
    </row>
    <row r="161" ht="14.25" customHeight="1">
      <c r="D161" s="12"/>
    </row>
    <row r="162" ht="14.25" customHeight="1">
      <c r="D162" s="12"/>
    </row>
    <row r="163" ht="14.25" customHeight="1">
      <c r="D163" s="12"/>
    </row>
    <row r="164" ht="14.25" customHeight="1">
      <c r="D164" s="12"/>
    </row>
    <row r="165" ht="14.25" customHeight="1">
      <c r="D165" s="12"/>
    </row>
    <row r="166" ht="14.25" customHeight="1">
      <c r="D166" s="12"/>
    </row>
    <row r="167" ht="14.25" customHeight="1">
      <c r="D167" s="12"/>
    </row>
    <row r="168" ht="14.25" customHeight="1">
      <c r="D168" s="12"/>
    </row>
    <row r="169" ht="14.25" customHeight="1">
      <c r="D169" s="12"/>
    </row>
    <row r="170" ht="14.25" customHeight="1">
      <c r="D170" s="12"/>
    </row>
    <row r="171" ht="14.25" customHeight="1">
      <c r="D171" s="12"/>
    </row>
    <row r="172" ht="14.25" customHeight="1">
      <c r="D172" s="12"/>
    </row>
    <row r="173" ht="14.25" customHeight="1">
      <c r="D173" s="12"/>
    </row>
    <row r="174" ht="14.25" customHeight="1">
      <c r="D174" s="12"/>
    </row>
    <row r="175" ht="14.25" customHeight="1">
      <c r="D175" s="12"/>
    </row>
    <row r="176" ht="14.25" customHeight="1">
      <c r="D176" s="12"/>
    </row>
    <row r="177" ht="14.25" customHeight="1">
      <c r="D177" s="12"/>
    </row>
    <row r="178" ht="14.25" customHeight="1">
      <c r="D178" s="12"/>
    </row>
    <row r="179" ht="14.25" customHeight="1">
      <c r="D179" s="12"/>
    </row>
    <row r="180" ht="14.25" customHeight="1">
      <c r="D180" s="12"/>
    </row>
    <row r="181" ht="14.25" customHeight="1">
      <c r="D181" s="12"/>
    </row>
    <row r="182" ht="14.25" customHeight="1">
      <c r="D182" s="12"/>
    </row>
    <row r="183" ht="14.25" customHeight="1">
      <c r="D183" s="12"/>
    </row>
    <row r="184" ht="14.25" customHeight="1">
      <c r="D184" s="12"/>
    </row>
    <row r="185" ht="14.25" customHeight="1">
      <c r="D185" s="12"/>
    </row>
    <row r="186" ht="14.25" customHeight="1">
      <c r="D186" s="12"/>
    </row>
    <row r="187" ht="14.25" customHeight="1">
      <c r="D187" s="12"/>
    </row>
    <row r="188" ht="14.25" customHeight="1">
      <c r="D188" s="12"/>
    </row>
    <row r="189" ht="14.25" customHeight="1">
      <c r="D189" s="12"/>
    </row>
    <row r="190" ht="14.25" customHeight="1">
      <c r="D190" s="12"/>
    </row>
    <row r="191" ht="14.25" customHeight="1">
      <c r="D191" s="12"/>
    </row>
    <row r="192" ht="14.25" customHeight="1">
      <c r="D192" s="12"/>
    </row>
    <row r="193" ht="14.25" customHeight="1">
      <c r="D193" s="12"/>
    </row>
    <row r="194" ht="14.25" customHeight="1">
      <c r="D194" s="12"/>
    </row>
    <row r="195" ht="14.25" customHeight="1">
      <c r="D195" s="12"/>
    </row>
    <row r="196" ht="14.25" customHeight="1">
      <c r="D196" s="12"/>
    </row>
    <row r="197" ht="14.25" customHeight="1">
      <c r="D197" s="12"/>
    </row>
    <row r="198" ht="14.25" customHeight="1">
      <c r="D198" s="12"/>
    </row>
    <row r="199" ht="14.25" customHeight="1">
      <c r="D199" s="12"/>
    </row>
    <row r="200" ht="14.25" customHeight="1">
      <c r="D200" s="12"/>
    </row>
    <row r="201" ht="14.25" customHeight="1">
      <c r="D201" s="12"/>
    </row>
    <row r="202" ht="14.25" customHeight="1">
      <c r="D202" s="12"/>
    </row>
    <row r="203" ht="14.25" customHeight="1">
      <c r="D203" s="12"/>
    </row>
    <row r="204" ht="14.25" customHeight="1">
      <c r="D204" s="12"/>
    </row>
    <row r="205" ht="14.25" customHeight="1">
      <c r="D205" s="12"/>
    </row>
    <row r="206" ht="14.25" customHeight="1">
      <c r="D206" s="12"/>
    </row>
    <row r="207" ht="14.25" customHeight="1">
      <c r="D207" s="12"/>
    </row>
    <row r="208" ht="14.25" customHeight="1">
      <c r="D208" s="12"/>
    </row>
    <row r="209" ht="14.25" customHeight="1">
      <c r="D209" s="12"/>
    </row>
    <row r="210" ht="14.25" customHeight="1">
      <c r="D210" s="12"/>
    </row>
    <row r="211" ht="14.25" customHeight="1">
      <c r="D211" s="12"/>
    </row>
    <row r="212" ht="14.25" customHeight="1">
      <c r="D212" s="12"/>
    </row>
    <row r="213" ht="14.25" customHeight="1">
      <c r="D213" s="12"/>
    </row>
    <row r="214" ht="14.25" customHeight="1">
      <c r="D214" s="12"/>
    </row>
    <row r="215" ht="14.25" customHeight="1">
      <c r="D215" s="12"/>
    </row>
    <row r="216" ht="14.25" customHeight="1">
      <c r="D216" s="12"/>
    </row>
    <row r="217" ht="14.25" customHeight="1">
      <c r="D217" s="12"/>
    </row>
    <row r="218" ht="14.25" customHeight="1">
      <c r="D218" s="12"/>
    </row>
    <row r="219" ht="14.25" customHeight="1">
      <c r="D219" s="12"/>
    </row>
    <row r="220" ht="14.25" customHeight="1">
      <c r="D220" s="12"/>
    </row>
    <row r="221" ht="14.25" customHeight="1">
      <c r="D221" s="12"/>
    </row>
    <row r="222" ht="14.25" customHeight="1">
      <c r="D222" s="12"/>
    </row>
    <row r="223" ht="14.25" customHeight="1">
      <c r="D223" s="12"/>
    </row>
    <row r="224" ht="14.25" customHeight="1">
      <c r="D224" s="12"/>
    </row>
    <row r="225" ht="14.25" customHeight="1">
      <c r="D225" s="12"/>
    </row>
    <row r="226" ht="14.25" customHeight="1">
      <c r="D226" s="12"/>
    </row>
    <row r="227" ht="14.25" customHeight="1">
      <c r="D227" s="12"/>
    </row>
    <row r="228" ht="14.25" customHeight="1">
      <c r="D228" s="12"/>
    </row>
    <row r="229" ht="14.25" customHeight="1">
      <c r="D229" s="12"/>
    </row>
    <row r="230" ht="14.25" customHeight="1">
      <c r="D230" s="12"/>
    </row>
    <row r="231" ht="14.25" customHeight="1">
      <c r="D231" s="12"/>
    </row>
    <row r="232" ht="14.25" customHeight="1">
      <c r="D232" s="12"/>
    </row>
    <row r="233" ht="14.25" customHeight="1">
      <c r="D233" s="12"/>
    </row>
    <row r="234" ht="14.25" customHeight="1">
      <c r="D234" s="12"/>
    </row>
    <row r="235" ht="14.25" customHeight="1">
      <c r="D235" s="12"/>
    </row>
    <row r="236" ht="14.25" customHeight="1">
      <c r="D236" s="12"/>
    </row>
    <row r="237" ht="14.25" customHeight="1">
      <c r="D237" s="12"/>
    </row>
    <row r="238" ht="14.25" customHeight="1">
      <c r="D238" s="12"/>
    </row>
    <row r="239" ht="14.25" customHeight="1">
      <c r="D239" s="12"/>
    </row>
    <row r="240" ht="14.25" customHeight="1">
      <c r="D240" s="12"/>
    </row>
    <row r="241" ht="14.25" customHeight="1">
      <c r="D241" s="12"/>
    </row>
    <row r="242" ht="14.25" customHeight="1">
      <c r="D242" s="12"/>
    </row>
    <row r="243" ht="14.25" customHeight="1">
      <c r="D243" s="12"/>
    </row>
    <row r="244" ht="14.25" customHeight="1">
      <c r="D244" s="12"/>
    </row>
    <row r="245" ht="14.25" customHeight="1">
      <c r="D245" s="12"/>
    </row>
    <row r="246" ht="14.25" customHeight="1">
      <c r="D246" s="12"/>
    </row>
    <row r="247" ht="14.25" customHeight="1">
      <c r="D247" s="12"/>
    </row>
    <row r="248" ht="14.25" customHeight="1">
      <c r="D248" s="12"/>
    </row>
    <row r="249" ht="14.25" customHeight="1">
      <c r="D249" s="12"/>
    </row>
    <row r="250" ht="14.25" customHeight="1">
      <c r="D250" s="12"/>
    </row>
    <row r="251" ht="14.25" customHeight="1">
      <c r="D251" s="12"/>
    </row>
    <row r="252" ht="14.25" customHeight="1">
      <c r="D252" s="12"/>
    </row>
    <row r="253" ht="14.25" customHeight="1">
      <c r="D253" s="12"/>
    </row>
    <row r="254" ht="14.25" customHeight="1">
      <c r="D254" s="12"/>
    </row>
    <row r="255" ht="14.25" customHeight="1">
      <c r="D255" s="12"/>
    </row>
    <row r="256" ht="14.25" customHeight="1">
      <c r="D256" s="12"/>
    </row>
    <row r="257" ht="14.25" customHeight="1">
      <c r="D257" s="12"/>
    </row>
    <row r="258" ht="14.25" customHeight="1">
      <c r="D258" s="12"/>
    </row>
    <row r="259" ht="14.25" customHeight="1">
      <c r="D259" s="12"/>
    </row>
    <row r="260" ht="14.25" customHeight="1">
      <c r="D260" s="12"/>
    </row>
    <row r="261" ht="14.25" customHeight="1">
      <c r="D261" s="12"/>
    </row>
    <row r="262" ht="14.25" customHeight="1">
      <c r="D262" s="12"/>
    </row>
    <row r="263" ht="14.25" customHeight="1">
      <c r="D263" s="12"/>
    </row>
    <row r="264" ht="14.25" customHeight="1">
      <c r="D264" s="12"/>
    </row>
    <row r="265" ht="14.25" customHeight="1">
      <c r="D265" s="12"/>
    </row>
    <row r="266" ht="14.25" customHeight="1">
      <c r="D266" s="12"/>
    </row>
    <row r="267" ht="14.25" customHeight="1">
      <c r="D267" s="12"/>
    </row>
    <row r="268" ht="14.25" customHeight="1">
      <c r="D268" s="12"/>
    </row>
    <row r="269" ht="14.25" customHeight="1">
      <c r="D269" s="12"/>
    </row>
    <row r="270" ht="14.25" customHeight="1">
      <c r="D270" s="12"/>
    </row>
    <row r="271" ht="14.25" customHeight="1">
      <c r="D271" s="12"/>
    </row>
    <row r="272" ht="14.25" customHeight="1">
      <c r="D272" s="12"/>
    </row>
    <row r="273" ht="14.25" customHeight="1">
      <c r="D273" s="12"/>
    </row>
    <row r="274" ht="14.25" customHeight="1">
      <c r="D274" s="12"/>
    </row>
    <row r="275" ht="14.25" customHeight="1">
      <c r="D275" s="12"/>
    </row>
    <row r="276" ht="14.25" customHeight="1">
      <c r="D276" s="12"/>
    </row>
    <row r="277" ht="14.25" customHeight="1">
      <c r="D277" s="12"/>
    </row>
    <row r="278" ht="14.25" customHeight="1">
      <c r="D278" s="12"/>
    </row>
    <row r="279" ht="14.25" customHeight="1">
      <c r="D279" s="12"/>
    </row>
    <row r="280" ht="14.25" customHeight="1">
      <c r="D280" s="12"/>
    </row>
    <row r="281" ht="14.25" customHeight="1">
      <c r="D281" s="12"/>
    </row>
    <row r="282" ht="14.25" customHeight="1">
      <c r="D282" s="12"/>
    </row>
    <row r="283" ht="14.25" customHeight="1">
      <c r="D283" s="12"/>
    </row>
    <row r="284" ht="14.25" customHeight="1">
      <c r="D284" s="12"/>
    </row>
    <row r="285" ht="14.25" customHeight="1">
      <c r="D285" s="12"/>
    </row>
    <row r="286" ht="14.25" customHeight="1">
      <c r="D286" s="12"/>
    </row>
    <row r="287" ht="14.25" customHeight="1">
      <c r="D287" s="12"/>
    </row>
    <row r="288" ht="14.25" customHeight="1">
      <c r="D288" s="12"/>
    </row>
    <row r="289" ht="14.25" customHeight="1">
      <c r="D289" s="12"/>
    </row>
    <row r="290" ht="14.25" customHeight="1">
      <c r="D290" s="12"/>
    </row>
    <row r="291" ht="14.25" customHeight="1">
      <c r="D291" s="12"/>
    </row>
    <row r="292" ht="14.25" customHeight="1">
      <c r="D292" s="12"/>
    </row>
    <row r="293" ht="14.25" customHeight="1">
      <c r="D293" s="12"/>
    </row>
    <row r="294" ht="14.25" customHeight="1">
      <c r="D294" s="12"/>
    </row>
    <row r="295" ht="14.25" customHeight="1">
      <c r="D295" s="12"/>
    </row>
    <row r="296" ht="14.25" customHeight="1">
      <c r="D296" s="12"/>
    </row>
    <row r="297" ht="14.25" customHeight="1">
      <c r="D297" s="12"/>
    </row>
    <row r="298" ht="14.25" customHeight="1">
      <c r="D298" s="12"/>
    </row>
    <row r="299" ht="14.25" customHeight="1">
      <c r="D299" s="12"/>
    </row>
    <row r="300" ht="14.25" customHeight="1">
      <c r="D300" s="12"/>
    </row>
    <row r="301" ht="14.25" customHeight="1">
      <c r="D301" s="12"/>
    </row>
    <row r="302" ht="14.25" customHeight="1">
      <c r="D302" s="12"/>
    </row>
    <row r="303" ht="14.25" customHeight="1">
      <c r="D303" s="12"/>
    </row>
    <row r="304" ht="14.25" customHeight="1">
      <c r="D304" s="12"/>
    </row>
    <row r="305" ht="14.25" customHeight="1">
      <c r="D305" s="12"/>
    </row>
    <row r="306" ht="14.25" customHeight="1">
      <c r="D306" s="12"/>
    </row>
    <row r="307" ht="14.25" customHeight="1">
      <c r="D307" s="12"/>
    </row>
    <row r="308" ht="14.25" customHeight="1">
      <c r="D308" s="12"/>
    </row>
    <row r="309" ht="14.25" customHeight="1">
      <c r="D309" s="12"/>
    </row>
    <row r="310" ht="14.25" customHeight="1">
      <c r="D310" s="12"/>
    </row>
    <row r="311" ht="14.25" customHeight="1">
      <c r="D311" s="12"/>
    </row>
    <row r="312" ht="14.25" customHeight="1">
      <c r="D312" s="12"/>
    </row>
    <row r="313" ht="14.25" customHeight="1">
      <c r="D313" s="12"/>
    </row>
    <row r="314" ht="14.25" customHeight="1">
      <c r="D314" s="12"/>
    </row>
    <row r="315" ht="14.25" customHeight="1">
      <c r="D315" s="12"/>
    </row>
    <row r="316" ht="14.25" customHeight="1">
      <c r="D316" s="12"/>
    </row>
    <row r="317" ht="14.25" customHeight="1">
      <c r="D317" s="12"/>
    </row>
    <row r="318" ht="14.25" customHeight="1">
      <c r="D318" s="12"/>
    </row>
    <row r="319" ht="14.25" customHeight="1">
      <c r="D319" s="12"/>
    </row>
    <row r="320" ht="14.25" customHeight="1">
      <c r="D320" s="12"/>
    </row>
    <row r="321" ht="14.25" customHeight="1">
      <c r="D321" s="12"/>
    </row>
    <row r="322" ht="14.25" customHeight="1">
      <c r="D322" s="12"/>
    </row>
    <row r="323" ht="14.25" customHeight="1">
      <c r="D323" s="12"/>
    </row>
    <row r="324" ht="14.25" customHeight="1">
      <c r="D324" s="12"/>
    </row>
    <row r="325" ht="14.25" customHeight="1">
      <c r="D325" s="12"/>
    </row>
    <row r="326" ht="14.25" customHeight="1">
      <c r="D326" s="12"/>
    </row>
    <row r="327" ht="14.25" customHeight="1">
      <c r="D327" s="12"/>
    </row>
    <row r="328" ht="14.25" customHeight="1">
      <c r="D328" s="12"/>
    </row>
    <row r="329" ht="14.25" customHeight="1">
      <c r="D329" s="12"/>
    </row>
    <row r="330" ht="14.25" customHeight="1">
      <c r="D330" s="12"/>
    </row>
    <row r="331" ht="14.25" customHeight="1">
      <c r="D331" s="12"/>
    </row>
    <row r="332" ht="14.25" customHeight="1">
      <c r="D332" s="12"/>
    </row>
    <row r="333" ht="14.25" customHeight="1">
      <c r="D333" s="12"/>
    </row>
    <row r="334" ht="14.25" customHeight="1">
      <c r="D334" s="12"/>
    </row>
    <row r="335" ht="14.25" customHeight="1">
      <c r="D335" s="12"/>
    </row>
    <row r="336" ht="14.25" customHeight="1">
      <c r="D336" s="12"/>
    </row>
    <row r="337" ht="14.25" customHeight="1">
      <c r="D337" s="12"/>
    </row>
    <row r="338" ht="14.25" customHeight="1">
      <c r="D338" s="12"/>
    </row>
    <row r="339" ht="14.25" customHeight="1">
      <c r="D339" s="12"/>
    </row>
    <row r="340" ht="14.25" customHeight="1">
      <c r="D340" s="12"/>
    </row>
    <row r="341" ht="14.25" customHeight="1">
      <c r="D341" s="12"/>
    </row>
    <row r="342" ht="14.25" customHeight="1">
      <c r="D342" s="12"/>
    </row>
    <row r="343" ht="14.25" customHeight="1">
      <c r="D343" s="12"/>
    </row>
    <row r="344" ht="14.25" customHeight="1">
      <c r="D344" s="12"/>
    </row>
    <row r="345" ht="14.25" customHeight="1">
      <c r="D345" s="12"/>
    </row>
    <row r="346" ht="14.25" customHeight="1">
      <c r="D346" s="12"/>
    </row>
    <row r="347" ht="14.25" customHeight="1">
      <c r="D347" s="12"/>
    </row>
    <row r="348" ht="14.25" customHeight="1">
      <c r="D348" s="12"/>
    </row>
    <row r="349" ht="14.25" customHeight="1">
      <c r="D349" s="12"/>
    </row>
    <row r="350" ht="14.25" customHeight="1">
      <c r="D350" s="12"/>
    </row>
    <row r="351" ht="14.25" customHeight="1">
      <c r="D351" s="12"/>
    </row>
    <row r="352" ht="14.25" customHeight="1">
      <c r="D352" s="12"/>
    </row>
    <row r="353" ht="14.25" customHeight="1">
      <c r="D353" s="12"/>
    </row>
    <row r="354" ht="14.25" customHeight="1">
      <c r="D354" s="12"/>
    </row>
    <row r="355" ht="14.25" customHeight="1">
      <c r="D355" s="12"/>
    </row>
    <row r="356" ht="14.25" customHeight="1">
      <c r="D356" s="12"/>
    </row>
    <row r="357" ht="14.25" customHeight="1">
      <c r="D357" s="12"/>
    </row>
    <row r="358" ht="14.25" customHeight="1">
      <c r="D358" s="12"/>
    </row>
    <row r="359" ht="14.25" customHeight="1">
      <c r="D359" s="12"/>
    </row>
    <row r="360" ht="14.25" customHeight="1">
      <c r="D360" s="12"/>
    </row>
    <row r="361" ht="14.25" customHeight="1">
      <c r="D361" s="12"/>
    </row>
    <row r="362" ht="14.25" customHeight="1">
      <c r="D362" s="12"/>
    </row>
    <row r="363" ht="14.25" customHeight="1">
      <c r="D363" s="12"/>
    </row>
    <row r="364" ht="14.25" customHeight="1">
      <c r="D364" s="12"/>
    </row>
    <row r="365" ht="14.25" customHeight="1">
      <c r="D365" s="12"/>
    </row>
    <row r="366" ht="14.25" customHeight="1">
      <c r="D366" s="12"/>
    </row>
    <row r="367" ht="14.25" customHeight="1">
      <c r="D367" s="12"/>
    </row>
    <row r="368" ht="14.25" customHeight="1">
      <c r="D368" s="12"/>
    </row>
    <row r="369" ht="14.25" customHeight="1">
      <c r="D369" s="12"/>
    </row>
    <row r="370" ht="14.25" customHeight="1">
      <c r="D370" s="12"/>
    </row>
    <row r="371" ht="14.25" customHeight="1">
      <c r="D371" s="12"/>
    </row>
    <row r="372" ht="14.25" customHeight="1">
      <c r="D372" s="12"/>
    </row>
    <row r="373" ht="14.25" customHeight="1">
      <c r="D373" s="12"/>
    </row>
    <row r="374" ht="14.25" customHeight="1">
      <c r="D374" s="12"/>
    </row>
    <row r="375" ht="14.25" customHeight="1">
      <c r="D375" s="12"/>
    </row>
    <row r="376" ht="14.25" customHeight="1">
      <c r="D376" s="12"/>
    </row>
    <row r="377" ht="14.25" customHeight="1">
      <c r="D377" s="12"/>
    </row>
    <row r="378" ht="14.25" customHeight="1">
      <c r="D378" s="12"/>
    </row>
    <row r="379" ht="14.25" customHeight="1">
      <c r="D379" s="12"/>
    </row>
    <row r="380" ht="14.25" customHeight="1">
      <c r="D380" s="12"/>
    </row>
    <row r="381" ht="14.25" customHeight="1">
      <c r="D381" s="12"/>
    </row>
    <row r="382" ht="14.25" customHeight="1">
      <c r="D382" s="12"/>
    </row>
    <row r="383" ht="14.25" customHeight="1">
      <c r="D383" s="12"/>
    </row>
    <row r="384" ht="14.25" customHeight="1">
      <c r="D384" s="12"/>
    </row>
    <row r="385" ht="14.25" customHeight="1">
      <c r="D385" s="12"/>
    </row>
    <row r="386" ht="14.25" customHeight="1">
      <c r="D386" s="12"/>
    </row>
    <row r="387" ht="14.25" customHeight="1">
      <c r="D387" s="12"/>
    </row>
    <row r="388" ht="14.25" customHeight="1">
      <c r="D388" s="12"/>
    </row>
    <row r="389" ht="14.25" customHeight="1">
      <c r="D389" s="12"/>
    </row>
    <row r="390" ht="14.25" customHeight="1">
      <c r="D390" s="12"/>
    </row>
    <row r="391" ht="14.25" customHeight="1">
      <c r="D391" s="12"/>
    </row>
    <row r="392" ht="14.25" customHeight="1">
      <c r="D392" s="12"/>
    </row>
    <row r="393" ht="14.25" customHeight="1">
      <c r="D393" s="12"/>
    </row>
    <row r="394" ht="14.25" customHeight="1">
      <c r="D394" s="12"/>
    </row>
    <row r="395" ht="14.25" customHeight="1">
      <c r="D395" s="12"/>
    </row>
    <row r="396" ht="14.25" customHeight="1">
      <c r="D396" s="12"/>
    </row>
    <row r="397" ht="14.25" customHeight="1">
      <c r="D397" s="12"/>
    </row>
    <row r="398" ht="14.25" customHeight="1">
      <c r="D398" s="12"/>
    </row>
    <row r="399" ht="14.25" customHeight="1">
      <c r="D399" s="12"/>
    </row>
    <row r="400" ht="14.25" customHeight="1">
      <c r="D400" s="12"/>
    </row>
    <row r="401" ht="14.25" customHeight="1">
      <c r="D401" s="12"/>
    </row>
    <row r="402" ht="14.25" customHeight="1">
      <c r="D402" s="12"/>
    </row>
    <row r="403" ht="14.25" customHeight="1">
      <c r="D403" s="12"/>
    </row>
    <row r="404" ht="14.25" customHeight="1">
      <c r="D404" s="12"/>
    </row>
    <row r="405" ht="14.25" customHeight="1">
      <c r="D405" s="12"/>
    </row>
    <row r="406" ht="14.25" customHeight="1">
      <c r="D406" s="12"/>
    </row>
    <row r="407" ht="14.25" customHeight="1">
      <c r="D407" s="12"/>
    </row>
    <row r="408" ht="14.25" customHeight="1">
      <c r="D408" s="12"/>
    </row>
    <row r="409" ht="14.25" customHeight="1">
      <c r="D409" s="12"/>
    </row>
    <row r="410" ht="14.25" customHeight="1">
      <c r="D410" s="12"/>
    </row>
    <row r="411" ht="14.25" customHeight="1">
      <c r="D411" s="12"/>
    </row>
    <row r="412" ht="14.25" customHeight="1">
      <c r="D412" s="12"/>
    </row>
    <row r="413" ht="14.25" customHeight="1">
      <c r="D413" s="12"/>
    </row>
    <row r="414" ht="14.25" customHeight="1">
      <c r="D414" s="12"/>
    </row>
    <row r="415" ht="14.25" customHeight="1">
      <c r="D415" s="12"/>
    </row>
    <row r="416" ht="14.25" customHeight="1">
      <c r="D416" s="12"/>
    </row>
    <row r="417" ht="14.25" customHeight="1">
      <c r="D417" s="12"/>
    </row>
    <row r="418" ht="14.25" customHeight="1">
      <c r="D418" s="12"/>
    </row>
    <row r="419" ht="14.25" customHeight="1">
      <c r="D419" s="12"/>
    </row>
    <row r="420" ht="14.25" customHeight="1">
      <c r="D420" s="12"/>
    </row>
    <row r="421" ht="14.25" customHeight="1">
      <c r="D421" s="12"/>
    </row>
    <row r="422" ht="14.25" customHeight="1">
      <c r="D422" s="12"/>
    </row>
    <row r="423" ht="14.25" customHeight="1">
      <c r="D423" s="12"/>
    </row>
    <row r="424" ht="14.25" customHeight="1">
      <c r="D424" s="12"/>
    </row>
    <row r="425" ht="14.25" customHeight="1">
      <c r="D425" s="12"/>
    </row>
    <row r="426" ht="14.25" customHeight="1">
      <c r="D426" s="12"/>
    </row>
    <row r="427" ht="14.25" customHeight="1">
      <c r="D427" s="12"/>
    </row>
    <row r="428" ht="14.25" customHeight="1">
      <c r="D428" s="12"/>
    </row>
    <row r="429" ht="14.25" customHeight="1">
      <c r="D429" s="12"/>
    </row>
    <row r="430" ht="14.25" customHeight="1">
      <c r="D430" s="12"/>
    </row>
    <row r="431" ht="14.25" customHeight="1">
      <c r="D431" s="12"/>
    </row>
    <row r="432" ht="14.25" customHeight="1">
      <c r="D432" s="12"/>
    </row>
    <row r="433" ht="14.25" customHeight="1">
      <c r="D433" s="12"/>
    </row>
    <row r="434" ht="14.25" customHeight="1">
      <c r="D434" s="12"/>
    </row>
    <row r="435" ht="14.25" customHeight="1">
      <c r="D435" s="12"/>
    </row>
    <row r="436" ht="14.25" customHeight="1">
      <c r="D436" s="12"/>
    </row>
    <row r="437" ht="14.25" customHeight="1">
      <c r="D437" s="12"/>
    </row>
    <row r="438" ht="14.25" customHeight="1">
      <c r="D438" s="12"/>
    </row>
    <row r="439" ht="14.25" customHeight="1">
      <c r="D439" s="12"/>
    </row>
    <row r="440" ht="14.25" customHeight="1">
      <c r="D440" s="12"/>
    </row>
    <row r="441" ht="14.25" customHeight="1">
      <c r="D441" s="12"/>
    </row>
    <row r="442" ht="14.25" customHeight="1">
      <c r="D442" s="12"/>
    </row>
    <row r="443" ht="14.25" customHeight="1">
      <c r="D443" s="12"/>
    </row>
    <row r="444" ht="14.25" customHeight="1">
      <c r="D444" s="12"/>
    </row>
    <row r="445" ht="14.25" customHeight="1">
      <c r="D445" s="12"/>
    </row>
    <row r="446" ht="14.25" customHeight="1">
      <c r="D446" s="12"/>
    </row>
    <row r="447" ht="14.25" customHeight="1">
      <c r="D447" s="12"/>
    </row>
    <row r="448" ht="14.25" customHeight="1">
      <c r="D448" s="12"/>
    </row>
    <row r="449" ht="14.25" customHeight="1">
      <c r="D449" s="12"/>
    </row>
    <row r="450" ht="14.25" customHeight="1">
      <c r="D450" s="12"/>
    </row>
    <row r="451" ht="14.25" customHeight="1">
      <c r="D451" s="12"/>
    </row>
    <row r="452" ht="14.25" customHeight="1">
      <c r="D452" s="12"/>
    </row>
    <row r="453" ht="14.25" customHeight="1">
      <c r="D453" s="12"/>
    </row>
    <row r="454" ht="14.25" customHeight="1">
      <c r="D454" s="12"/>
    </row>
    <row r="455" ht="14.25" customHeight="1">
      <c r="D455" s="12"/>
    </row>
    <row r="456" ht="14.25" customHeight="1">
      <c r="D456" s="12"/>
    </row>
    <row r="457" ht="14.25" customHeight="1">
      <c r="D457" s="12"/>
    </row>
    <row r="458" ht="14.25" customHeight="1">
      <c r="D458" s="12"/>
    </row>
    <row r="459" ht="14.25" customHeight="1">
      <c r="D459" s="12"/>
    </row>
    <row r="460" ht="14.25" customHeight="1">
      <c r="D460" s="12"/>
    </row>
    <row r="461" ht="14.25" customHeight="1">
      <c r="D461" s="12"/>
    </row>
    <row r="462" ht="14.25" customHeight="1">
      <c r="D462" s="12"/>
    </row>
    <row r="463" ht="14.25" customHeight="1">
      <c r="D463" s="12"/>
    </row>
    <row r="464" ht="14.25" customHeight="1">
      <c r="D464" s="12"/>
    </row>
    <row r="465" ht="14.25" customHeight="1">
      <c r="D465" s="12"/>
    </row>
    <row r="466" ht="14.25" customHeight="1">
      <c r="D466" s="12"/>
    </row>
    <row r="467" ht="14.25" customHeight="1">
      <c r="D467" s="12"/>
    </row>
    <row r="468" ht="14.25" customHeight="1">
      <c r="D468" s="12"/>
    </row>
    <row r="469" ht="14.25" customHeight="1">
      <c r="D469" s="12"/>
    </row>
    <row r="470" ht="14.25" customHeight="1">
      <c r="D470" s="12"/>
    </row>
    <row r="471" ht="14.25" customHeight="1">
      <c r="D471" s="12"/>
    </row>
    <row r="472" ht="14.25" customHeight="1">
      <c r="D472" s="12"/>
    </row>
    <row r="473" ht="14.25" customHeight="1">
      <c r="D473" s="12"/>
    </row>
    <row r="474" ht="14.25" customHeight="1">
      <c r="D474" s="12"/>
    </row>
    <row r="475" ht="14.25" customHeight="1">
      <c r="D475" s="12"/>
    </row>
    <row r="476" ht="14.25" customHeight="1">
      <c r="D476" s="12"/>
    </row>
    <row r="477" ht="14.25" customHeight="1">
      <c r="D477" s="12"/>
    </row>
    <row r="478" ht="14.25" customHeight="1">
      <c r="D478" s="12"/>
    </row>
    <row r="479" ht="14.25" customHeight="1">
      <c r="D479" s="12"/>
    </row>
    <row r="480" ht="14.25" customHeight="1">
      <c r="D480" s="12"/>
    </row>
    <row r="481" ht="14.25" customHeight="1">
      <c r="D481" s="12"/>
    </row>
    <row r="482" ht="14.25" customHeight="1">
      <c r="D482" s="12"/>
    </row>
    <row r="483" ht="14.25" customHeight="1">
      <c r="D483" s="12"/>
    </row>
    <row r="484" ht="14.25" customHeight="1">
      <c r="D484" s="12"/>
    </row>
    <row r="485" ht="14.25" customHeight="1">
      <c r="D485" s="12"/>
    </row>
    <row r="486" ht="14.25" customHeight="1">
      <c r="D486" s="12"/>
    </row>
    <row r="487" ht="14.25" customHeight="1">
      <c r="D487" s="12"/>
    </row>
    <row r="488" ht="14.25" customHeight="1">
      <c r="D488" s="12"/>
    </row>
    <row r="489" ht="14.25" customHeight="1">
      <c r="D489" s="12"/>
    </row>
    <row r="490" ht="14.25" customHeight="1">
      <c r="D490" s="12"/>
    </row>
    <row r="491" ht="14.25" customHeight="1">
      <c r="D491" s="12"/>
    </row>
    <row r="492" ht="14.25" customHeight="1">
      <c r="D492" s="12"/>
    </row>
    <row r="493" ht="14.25" customHeight="1">
      <c r="D493" s="12"/>
    </row>
    <row r="494" ht="14.25" customHeight="1">
      <c r="D494" s="12"/>
    </row>
    <row r="495" ht="14.25" customHeight="1">
      <c r="D495" s="12"/>
    </row>
    <row r="496" ht="14.25" customHeight="1">
      <c r="D496" s="12"/>
    </row>
    <row r="497" ht="14.25" customHeight="1">
      <c r="D497" s="12"/>
    </row>
    <row r="498" ht="14.25" customHeight="1">
      <c r="D498" s="12"/>
    </row>
    <row r="499" ht="14.25" customHeight="1">
      <c r="D499" s="12"/>
    </row>
    <row r="500" ht="14.25" customHeight="1">
      <c r="D500" s="12"/>
    </row>
    <row r="501" ht="14.25" customHeight="1">
      <c r="D501" s="12"/>
    </row>
    <row r="502" ht="14.25" customHeight="1">
      <c r="D502" s="12"/>
    </row>
    <row r="503" ht="14.25" customHeight="1">
      <c r="D503" s="12"/>
    </row>
    <row r="504" ht="14.25" customHeight="1">
      <c r="D504" s="12"/>
    </row>
    <row r="505" ht="14.25" customHeight="1">
      <c r="D505" s="12"/>
    </row>
    <row r="506" ht="14.25" customHeight="1">
      <c r="D506" s="12"/>
    </row>
    <row r="507" ht="14.25" customHeight="1">
      <c r="D507" s="12"/>
    </row>
    <row r="508" ht="14.25" customHeight="1">
      <c r="D508" s="12"/>
    </row>
    <row r="509" ht="14.25" customHeight="1">
      <c r="D509" s="12"/>
    </row>
    <row r="510" ht="14.25" customHeight="1">
      <c r="D510" s="12"/>
    </row>
    <row r="511" ht="14.25" customHeight="1">
      <c r="D511" s="12"/>
    </row>
    <row r="512" ht="14.25" customHeight="1">
      <c r="D512" s="12"/>
    </row>
    <row r="513" ht="14.25" customHeight="1">
      <c r="D513" s="12"/>
    </row>
    <row r="514" ht="14.25" customHeight="1">
      <c r="D514" s="12"/>
    </row>
    <row r="515" ht="14.25" customHeight="1">
      <c r="D515" s="12"/>
    </row>
    <row r="516" ht="14.25" customHeight="1">
      <c r="D516" s="12"/>
    </row>
    <row r="517" ht="14.25" customHeight="1">
      <c r="D517" s="12"/>
    </row>
    <row r="518" ht="14.25" customHeight="1">
      <c r="D518" s="12"/>
    </row>
    <row r="519" ht="14.25" customHeight="1">
      <c r="D519" s="12"/>
    </row>
    <row r="520" ht="14.25" customHeight="1">
      <c r="D520" s="12"/>
    </row>
    <row r="521" ht="14.25" customHeight="1">
      <c r="D521" s="12"/>
    </row>
    <row r="522" ht="14.25" customHeight="1">
      <c r="D522" s="12"/>
    </row>
    <row r="523" ht="14.25" customHeight="1">
      <c r="D523" s="12"/>
    </row>
    <row r="524" ht="14.25" customHeight="1">
      <c r="D524" s="12"/>
    </row>
    <row r="525" ht="14.25" customHeight="1">
      <c r="D525" s="12"/>
    </row>
    <row r="526" ht="14.25" customHeight="1">
      <c r="D526" s="12"/>
    </row>
    <row r="527" ht="14.25" customHeight="1">
      <c r="D527" s="12"/>
    </row>
    <row r="528" ht="14.25" customHeight="1">
      <c r="D528" s="12"/>
    </row>
    <row r="529" ht="14.25" customHeight="1">
      <c r="D529" s="12"/>
    </row>
    <row r="530" ht="14.25" customHeight="1">
      <c r="D530" s="12"/>
    </row>
    <row r="531" ht="14.25" customHeight="1">
      <c r="D531" s="12"/>
    </row>
    <row r="532" ht="14.25" customHeight="1">
      <c r="D532" s="12"/>
    </row>
    <row r="533" ht="14.25" customHeight="1">
      <c r="D533" s="12"/>
    </row>
    <row r="534" ht="14.25" customHeight="1">
      <c r="D534" s="12"/>
    </row>
    <row r="535" ht="14.25" customHeight="1">
      <c r="D535" s="12"/>
    </row>
    <row r="536" ht="14.25" customHeight="1">
      <c r="D536" s="12"/>
    </row>
    <row r="537" ht="14.25" customHeight="1">
      <c r="D537" s="12"/>
    </row>
    <row r="538" ht="14.25" customHeight="1">
      <c r="D538" s="12"/>
    </row>
    <row r="539" ht="14.25" customHeight="1">
      <c r="D539" s="12"/>
    </row>
    <row r="540" ht="14.25" customHeight="1">
      <c r="D540" s="12"/>
    </row>
    <row r="541" ht="14.25" customHeight="1">
      <c r="D541" s="12"/>
    </row>
    <row r="542" ht="14.25" customHeight="1">
      <c r="D542" s="12"/>
    </row>
    <row r="543" ht="14.25" customHeight="1">
      <c r="D543" s="12"/>
    </row>
    <row r="544" ht="14.25" customHeight="1">
      <c r="D544" s="12"/>
    </row>
    <row r="545" ht="14.25" customHeight="1">
      <c r="D545" s="12"/>
    </row>
    <row r="546" ht="14.25" customHeight="1">
      <c r="D546" s="12"/>
    </row>
    <row r="547" ht="14.25" customHeight="1">
      <c r="D547" s="12"/>
    </row>
    <row r="548" ht="14.25" customHeight="1">
      <c r="D548" s="12"/>
    </row>
    <row r="549" ht="14.25" customHeight="1">
      <c r="D549" s="12"/>
    </row>
    <row r="550" ht="14.25" customHeight="1">
      <c r="D550" s="12"/>
    </row>
    <row r="551" ht="14.25" customHeight="1">
      <c r="D551" s="12"/>
    </row>
    <row r="552" ht="14.25" customHeight="1">
      <c r="D552" s="12"/>
    </row>
    <row r="553" ht="14.25" customHeight="1">
      <c r="D553" s="12"/>
    </row>
    <row r="554" ht="14.25" customHeight="1">
      <c r="D554" s="12"/>
    </row>
    <row r="555" ht="14.25" customHeight="1">
      <c r="D555" s="12"/>
    </row>
    <row r="556" ht="14.25" customHeight="1">
      <c r="D556" s="12"/>
    </row>
    <row r="557" ht="14.25" customHeight="1">
      <c r="D557" s="12"/>
    </row>
    <row r="558" ht="14.25" customHeight="1">
      <c r="D558" s="12"/>
    </row>
    <row r="559" ht="14.25" customHeight="1">
      <c r="D559" s="12"/>
    </row>
    <row r="560" ht="14.25" customHeight="1">
      <c r="D560" s="12"/>
    </row>
    <row r="561" ht="14.25" customHeight="1">
      <c r="D561" s="12"/>
    </row>
    <row r="562" ht="14.25" customHeight="1">
      <c r="D562" s="12"/>
    </row>
    <row r="563" ht="14.25" customHeight="1">
      <c r="D563" s="12"/>
    </row>
    <row r="564" ht="14.25" customHeight="1">
      <c r="D564" s="12"/>
    </row>
    <row r="565" ht="14.25" customHeight="1">
      <c r="D565" s="12"/>
    </row>
    <row r="566" ht="14.25" customHeight="1">
      <c r="D566" s="12"/>
    </row>
    <row r="567" ht="14.25" customHeight="1">
      <c r="D567" s="12"/>
    </row>
    <row r="568" ht="14.25" customHeight="1">
      <c r="D568" s="12"/>
    </row>
    <row r="569" ht="14.25" customHeight="1">
      <c r="D569" s="12"/>
    </row>
    <row r="570" ht="14.25" customHeight="1">
      <c r="D570" s="12"/>
    </row>
    <row r="571" ht="14.25" customHeight="1">
      <c r="D571" s="12"/>
    </row>
    <row r="572" ht="14.25" customHeight="1">
      <c r="D572" s="12"/>
    </row>
    <row r="573" ht="14.25" customHeight="1">
      <c r="D573" s="12"/>
    </row>
    <row r="574" ht="14.25" customHeight="1">
      <c r="D574" s="12"/>
    </row>
    <row r="575" ht="14.25" customHeight="1">
      <c r="D575" s="12"/>
    </row>
    <row r="576" ht="14.25" customHeight="1">
      <c r="D576" s="12"/>
    </row>
    <row r="577" ht="14.25" customHeight="1">
      <c r="D577" s="12"/>
    </row>
    <row r="578" ht="14.25" customHeight="1">
      <c r="D578" s="12"/>
    </row>
    <row r="579" ht="14.25" customHeight="1">
      <c r="D579" s="12"/>
    </row>
    <row r="580" ht="14.25" customHeight="1">
      <c r="D580" s="12"/>
    </row>
    <row r="581" ht="14.25" customHeight="1">
      <c r="D581" s="12"/>
    </row>
    <row r="582" ht="14.25" customHeight="1">
      <c r="D582" s="12"/>
    </row>
    <row r="583" ht="14.25" customHeight="1">
      <c r="D583" s="12"/>
    </row>
    <row r="584" ht="14.25" customHeight="1">
      <c r="D584" s="12"/>
    </row>
    <row r="585" ht="14.25" customHeight="1">
      <c r="D585" s="12"/>
    </row>
    <row r="586" ht="14.25" customHeight="1">
      <c r="D586" s="12"/>
    </row>
    <row r="587" ht="14.25" customHeight="1">
      <c r="D587" s="12"/>
    </row>
    <row r="588" ht="14.25" customHeight="1">
      <c r="D588" s="12"/>
    </row>
    <row r="589" ht="14.25" customHeight="1">
      <c r="D589" s="12"/>
    </row>
    <row r="590" ht="14.25" customHeight="1">
      <c r="D590" s="12"/>
    </row>
    <row r="591" ht="14.25" customHeight="1">
      <c r="D591" s="12"/>
    </row>
    <row r="592" ht="14.25" customHeight="1">
      <c r="D592" s="12"/>
    </row>
    <row r="593" ht="14.25" customHeight="1">
      <c r="D593" s="12"/>
    </row>
    <row r="594" ht="14.25" customHeight="1">
      <c r="D594" s="12"/>
    </row>
    <row r="595" ht="14.25" customHeight="1">
      <c r="D595" s="12"/>
    </row>
    <row r="596" ht="14.25" customHeight="1">
      <c r="D596" s="12"/>
    </row>
    <row r="597" ht="14.25" customHeight="1">
      <c r="D597" s="12"/>
    </row>
    <row r="598" ht="14.25" customHeight="1">
      <c r="D598" s="12"/>
    </row>
    <row r="599" ht="14.25" customHeight="1">
      <c r="D599" s="12"/>
    </row>
    <row r="600" ht="14.25" customHeight="1">
      <c r="D600" s="12"/>
    </row>
    <row r="601" ht="14.25" customHeight="1">
      <c r="D601" s="12"/>
    </row>
    <row r="602" ht="14.25" customHeight="1">
      <c r="D602" s="12"/>
    </row>
    <row r="603" ht="14.25" customHeight="1">
      <c r="D603" s="12"/>
    </row>
    <row r="604" ht="14.25" customHeight="1">
      <c r="D604" s="12"/>
    </row>
    <row r="605" ht="14.25" customHeight="1">
      <c r="D605" s="12"/>
    </row>
    <row r="606" ht="14.25" customHeight="1">
      <c r="D606" s="12"/>
    </row>
    <row r="607" ht="14.25" customHeight="1">
      <c r="D607" s="12"/>
    </row>
    <row r="608" ht="14.25" customHeight="1">
      <c r="D608" s="12"/>
    </row>
    <row r="609" ht="14.25" customHeight="1">
      <c r="D609" s="12"/>
    </row>
    <row r="610" ht="14.25" customHeight="1">
      <c r="D610" s="12"/>
    </row>
    <row r="611" ht="14.25" customHeight="1">
      <c r="D611" s="12"/>
    </row>
    <row r="612" ht="14.25" customHeight="1">
      <c r="D612" s="12"/>
    </row>
    <row r="613" ht="14.25" customHeight="1">
      <c r="D613" s="12"/>
    </row>
    <row r="614" ht="14.25" customHeight="1">
      <c r="D614" s="12"/>
    </row>
    <row r="615" ht="14.25" customHeight="1">
      <c r="D615" s="12"/>
    </row>
    <row r="616" ht="14.25" customHeight="1">
      <c r="D616" s="12"/>
    </row>
    <row r="617" ht="14.25" customHeight="1">
      <c r="D617" s="12"/>
    </row>
    <row r="618" ht="14.25" customHeight="1">
      <c r="D618" s="12"/>
    </row>
    <row r="619" ht="14.25" customHeight="1">
      <c r="D619" s="12"/>
    </row>
    <row r="620" ht="14.25" customHeight="1">
      <c r="D620" s="12"/>
    </row>
    <row r="621" ht="14.25" customHeight="1">
      <c r="D621" s="12"/>
    </row>
    <row r="622" ht="14.25" customHeight="1">
      <c r="D622" s="12"/>
    </row>
    <row r="623" ht="14.25" customHeight="1">
      <c r="D623" s="12"/>
    </row>
    <row r="624" ht="14.25" customHeight="1">
      <c r="D624" s="12"/>
    </row>
    <row r="625" ht="14.25" customHeight="1">
      <c r="D625" s="12"/>
    </row>
    <row r="626" ht="14.25" customHeight="1">
      <c r="D626" s="12"/>
    </row>
    <row r="627" ht="14.25" customHeight="1">
      <c r="D627" s="12"/>
    </row>
    <row r="628" ht="14.25" customHeight="1">
      <c r="D628" s="12"/>
    </row>
    <row r="629" ht="14.25" customHeight="1">
      <c r="D629" s="12"/>
    </row>
    <row r="630" ht="14.25" customHeight="1">
      <c r="D630" s="12"/>
    </row>
    <row r="631" ht="14.25" customHeight="1">
      <c r="D631" s="12"/>
    </row>
    <row r="632" ht="14.25" customHeight="1">
      <c r="D632" s="12"/>
    </row>
    <row r="633" ht="14.25" customHeight="1">
      <c r="D633" s="12"/>
    </row>
    <row r="634" ht="14.25" customHeight="1">
      <c r="D634" s="12"/>
    </row>
    <row r="635" ht="14.25" customHeight="1">
      <c r="D635" s="12"/>
    </row>
    <row r="636" ht="14.25" customHeight="1">
      <c r="D636" s="12"/>
    </row>
    <row r="637" ht="14.25" customHeight="1">
      <c r="D637" s="12"/>
    </row>
    <row r="638" ht="14.25" customHeight="1">
      <c r="D638" s="12"/>
    </row>
    <row r="639" ht="14.25" customHeight="1">
      <c r="D639" s="12"/>
    </row>
    <row r="640" ht="14.25" customHeight="1">
      <c r="D640" s="12"/>
    </row>
    <row r="641" ht="14.25" customHeight="1">
      <c r="D641" s="12"/>
    </row>
    <row r="642" ht="14.25" customHeight="1">
      <c r="D642" s="12"/>
    </row>
    <row r="643" ht="14.25" customHeight="1">
      <c r="D643" s="12"/>
    </row>
    <row r="644" ht="14.25" customHeight="1">
      <c r="D644" s="12"/>
    </row>
    <row r="645" ht="14.25" customHeight="1">
      <c r="D645" s="12"/>
    </row>
    <row r="646" ht="14.25" customHeight="1">
      <c r="D646" s="12"/>
    </row>
    <row r="647" ht="14.25" customHeight="1">
      <c r="D647" s="12"/>
    </row>
    <row r="648" ht="14.25" customHeight="1">
      <c r="D648" s="12"/>
    </row>
    <row r="649" ht="14.25" customHeight="1">
      <c r="D649" s="12"/>
    </row>
    <row r="650" ht="14.25" customHeight="1">
      <c r="D650" s="12"/>
    </row>
    <row r="651" ht="14.25" customHeight="1">
      <c r="D651" s="12"/>
    </row>
    <row r="652" ht="14.25" customHeight="1">
      <c r="D652" s="12"/>
    </row>
    <row r="653" ht="14.25" customHeight="1">
      <c r="D653" s="12"/>
    </row>
    <row r="654" ht="14.25" customHeight="1">
      <c r="D654" s="12"/>
    </row>
    <row r="655" ht="14.25" customHeight="1">
      <c r="D655" s="12"/>
    </row>
    <row r="656" ht="14.25" customHeight="1">
      <c r="D656" s="12"/>
    </row>
    <row r="657" ht="14.25" customHeight="1">
      <c r="D657" s="12"/>
    </row>
    <row r="658" ht="14.25" customHeight="1">
      <c r="D658" s="12"/>
    </row>
    <row r="659" ht="14.25" customHeight="1">
      <c r="D659" s="12"/>
    </row>
    <row r="660" ht="14.25" customHeight="1">
      <c r="D660" s="12"/>
    </row>
    <row r="661" ht="14.25" customHeight="1">
      <c r="D661" s="12"/>
    </row>
    <row r="662" ht="14.25" customHeight="1">
      <c r="D662" s="12"/>
    </row>
    <row r="663" ht="14.25" customHeight="1">
      <c r="D663" s="12"/>
    </row>
    <row r="664" ht="14.25" customHeight="1">
      <c r="D664" s="12"/>
    </row>
    <row r="665" ht="14.25" customHeight="1">
      <c r="D665" s="12"/>
    </row>
    <row r="666" ht="14.25" customHeight="1">
      <c r="D666" s="12"/>
    </row>
    <row r="667" ht="14.25" customHeight="1">
      <c r="D667" s="12"/>
    </row>
    <row r="668" ht="14.25" customHeight="1">
      <c r="D668" s="12"/>
    </row>
    <row r="669" ht="14.25" customHeight="1">
      <c r="D669" s="12"/>
    </row>
    <row r="670" ht="14.25" customHeight="1">
      <c r="D670" s="12"/>
    </row>
    <row r="671" ht="14.25" customHeight="1">
      <c r="D671" s="12"/>
    </row>
    <row r="672" ht="14.25" customHeight="1">
      <c r="D672" s="12"/>
    </row>
    <row r="673" ht="14.25" customHeight="1">
      <c r="D673" s="12"/>
    </row>
    <row r="674" ht="14.25" customHeight="1">
      <c r="D674" s="12"/>
    </row>
    <row r="675" ht="14.25" customHeight="1">
      <c r="D675" s="12"/>
    </row>
    <row r="676" ht="14.25" customHeight="1">
      <c r="D676" s="12"/>
    </row>
    <row r="677" ht="14.25" customHeight="1">
      <c r="D677" s="12"/>
    </row>
    <row r="678" ht="14.25" customHeight="1">
      <c r="D678" s="12"/>
    </row>
    <row r="679" ht="14.25" customHeight="1">
      <c r="D679" s="12"/>
    </row>
    <row r="680" ht="14.25" customHeight="1">
      <c r="D680" s="12"/>
    </row>
    <row r="681" ht="14.25" customHeight="1">
      <c r="D681" s="12"/>
    </row>
    <row r="682" ht="14.25" customHeight="1">
      <c r="D682" s="12"/>
    </row>
    <row r="683" ht="14.25" customHeight="1">
      <c r="D683" s="12"/>
    </row>
    <row r="684" ht="14.25" customHeight="1">
      <c r="D684" s="12"/>
    </row>
    <row r="685" ht="14.25" customHeight="1">
      <c r="D685" s="12"/>
    </row>
    <row r="686" ht="14.25" customHeight="1">
      <c r="D686" s="12"/>
    </row>
    <row r="687" ht="14.25" customHeight="1">
      <c r="D687" s="12"/>
    </row>
    <row r="688" ht="14.25" customHeight="1">
      <c r="D688" s="12"/>
    </row>
    <row r="689" ht="14.25" customHeight="1">
      <c r="D689" s="12"/>
    </row>
    <row r="690" ht="14.25" customHeight="1">
      <c r="D690" s="12"/>
    </row>
    <row r="691" ht="14.25" customHeight="1">
      <c r="D691" s="12"/>
    </row>
    <row r="692" ht="14.25" customHeight="1">
      <c r="D692" s="12"/>
    </row>
    <row r="693" ht="14.25" customHeight="1">
      <c r="D693" s="12"/>
    </row>
    <row r="694" ht="14.25" customHeight="1">
      <c r="D694" s="12"/>
    </row>
    <row r="695" ht="14.25" customHeight="1">
      <c r="D695" s="12"/>
    </row>
    <row r="696" ht="14.25" customHeight="1">
      <c r="D696" s="12"/>
    </row>
    <row r="697" ht="14.25" customHeight="1">
      <c r="D697" s="12"/>
    </row>
    <row r="698" ht="14.25" customHeight="1">
      <c r="D698" s="12"/>
    </row>
    <row r="699" ht="14.25" customHeight="1">
      <c r="D699" s="12"/>
    </row>
    <row r="700" ht="14.25" customHeight="1">
      <c r="D700" s="12"/>
    </row>
    <row r="701" ht="14.25" customHeight="1">
      <c r="D701" s="12"/>
    </row>
    <row r="702" ht="14.25" customHeight="1">
      <c r="D702" s="12"/>
    </row>
    <row r="703" ht="14.25" customHeight="1">
      <c r="D703" s="12"/>
    </row>
    <row r="704" ht="14.25" customHeight="1">
      <c r="D704" s="12"/>
    </row>
    <row r="705" ht="14.25" customHeight="1">
      <c r="D705" s="12"/>
    </row>
    <row r="706" ht="14.25" customHeight="1">
      <c r="D706" s="12"/>
    </row>
    <row r="707" ht="14.25" customHeight="1">
      <c r="D707" s="12"/>
    </row>
    <row r="708" ht="14.25" customHeight="1">
      <c r="D708" s="12"/>
    </row>
    <row r="709" ht="14.25" customHeight="1">
      <c r="D709" s="12"/>
    </row>
    <row r="710" ht="14.25" customHeight="1">
      <c r="D710" s="12"/>
    </row>
    <row r="711" ht="14.25" customHeight="1">
      <c r="D711" s="12"/>
    </row>
    <row r="712" ht="14.25" customHeight="1">
      <c r="D712" s="12"/>
    </row>
    <row r="713" ht="14.25" customHeight="1">
      <c r="D713" s="12"/>
    </row>
    <row r="714" ht="14.25" customHeight="1">
      <c r="D714" s="12"/>
    </row>
    <row r="715" ht="14.25" customHeight="1">
      <c r="D715" s="12"/>
    </row>
    <row r="716" ht="14.25" customHeight="1">
      <c r="D716" s="12"/>
    </row>
    <row r="717" ht="14.25" customHeight="1">
      <c r="D717" s="12"/>
    </row>
    <row r="718" ht="14.25" customHeight="1">
      <c r="D718" s="12"/>
    </row>
    <row r="719" ht="14.25" customHeight="1">
      <c r="D719" s="12"/>
    </row>
    <row r="720" ht="14.25" customHeight="1">
      <c r="D720" s="12"/>
    </row>
    <row r="721" ht="14.25" customHeight="1">
      <c r="D721" s="12"/>
    </row>
    <row r="722" ht="14.25" customHeight="1">
      <c r="D722" s="12"/>
    </row>
    <row r="723" ht="14.25" customHeight="1">
      <c r="D723" s="12"/>
    </row>
    <row r="724" ht="14.25" customHeight="1">
      <c r="D724" s="12"/>
    </row>
    <row r="725" ht="14.25" customHeight="1">
      <c r="D725" s="12"/>
    </row>
    <row r="726" ht="14.25" customHeight="1">
      <c r="D726" s="12"/>
    </row>
    <row r="727" ht="14.25" customHeight="1">
      <c r="D727" s="12"/>
    </row>
    <row r="728" ht="14.25" customHeight="1">
      <c r="D728" s="12"/>
    </row>
    <row r="729" ht="14.25" customHeight="1">
      <c r="D729" s="12"/>
    </row>
    <row r="730" ht="14.25" customHeight="1">
      <c r="D730" s="12"/>
    </row>
    <row r="731" ht="14.25" customHeight="1">
      <c r="D731" s="12"/>
    </row>
    <row r="732" ht="14.25" customHeight="1">
      <c r="D732" s="12"/>
    </row>
    <row r="733" ht="14.25" customHeight="1">
      <c r="D733" s="12"/>
    </row>
    <row r="734" ht="14.25" customHeight="1">
      <c r="D734" s="12"/>
    </row>
    <row r="735" ht="14.25" customHeight="1">
      <c r="D735" s="12"/>
    </row>
    <row r="736" ht="14.25" customHeight="1">
      <c r="D736" s="12"/>
    </row>
    <row r="737" ht="14.25" customHeight="1">
      <c r="D737" s="12"/>
    </row>
    <row r="738" ht="14.25" customHeight="1">
      <c r="D738" s="12"/>
    </row>
    <row r="739" ht="14.25" customHeight="1">
      <c r="D739" s="12"/>
    </row>
    <row r="740" ht="14.25" customHeight="1">
      <c r="D740" s="12"/>
    </row>
    <row r="741" ht="14.25" customHeight="1">
      <c r="D741" s="12"/>
    </row>
    <row r="742" ht="14.25" customHeight="1">
      <c r="D742" s="12"/>
    </row>
    <row r="743" ht="14.25" customHeight="1">
      <c r="D743" s="12"/>
    </row>
    <row r="744" ht="14.25" customHeight="1">
      <c r="D744" s="12"/>
    </row>
    <row r="745" ht="14.25" customHeight="1">
      <c r="D745" s="12"/>
    </row>
    <row r="746" ht="14.25" customHeight="1">
      <c r="D746" s="12"/>
    </row>
    <row r="747" ht="14.25" customHeight="1">
      <c r="D747" s="12"/>
    </row>
    <row r="748" ht="14.25" customHeight="1">
      <c r="D748" s="12"/>
    </row>
    <row r="749" ht="14.25" customHeight="1">
      <c r="D749" s="12"/>
    </row>
    <row r="750" ht="14.25" customHeight="1">
      <c r="D750" s="12"/>
    </row>
    <row r="751" ht="14.25" customHeight="1">
      <c r="D751" s="12"/>
    </row>
    <row r="752" ht="14.25" customHeight="1">
      <c r="D752" s="12"/>
    </row>
    <row r="753" ht="14.25" customHeight="1">
      <c r="D753" s="12"/>
    </row>
    <row r="754" ht="14.25" customHeight="1">
      <c r="D754" s="12"/>
    </row>
    <row r="755" ht="14.25" customHeight="1">
      <c r="D755" s="12"/>
    </row>
    <row r="756" ht="14.25" customHeight="1">
      <c r="D756" s="12"/>
    </row>
    <row r="757" ht="14.25" customHeight="1">
      <c r="D757" s="12"/>
    </row>
    <row r="758" ht="14.25" customHeight="1">
      <c r="D758" s="12"/>
    </row>
    <row r="759" ht="14.25" customHeight="1">
      <c r="D759" s="12"/>
    </row>
    <row r="760" ht="14.25" customHeight="1">
      <c r="D760" s="12"/>
    </row>
    <row r="761" ht="14.25" customHeight="1">
      <c r="D761" s="12"/>
    </row>
    <row r="762" ht="14.25" customHeight="1">
      <c r="D762" s="12"/>
    </row>
    <row r="763" ht="14.25" customHeight="1">
      <c r="D763" s="12"/>
    </row>
    <row r="764" ht="14.25" customHeight="1">
      <c r="D764" s="12"/>
    </row>
    <row r="765" ht="14.25" customHeight="1">
      <c r="D765" s="12"/>
    </row>
    <row r="766" ht="14.25" customHeight="1">
      <c r="D766" s="12"/>
    </row>
    <row r="767" ht="14.25" customHeight="1">
      <c r="D767" s="12"/>
    </row>
    <row r="768" ht="14.25" customHeight="1">
      <c r="D768" s="12"/>
    </row>
    <row r="769" ht="14.25" customHeight="1">
      <c r="D769" s="12"/>
    </row>
    <row r="770" ht="14.25" customHeight="1">
      <c r="D770" s="12"/>
    </row>
    <row r="771" ht="14.25" customHeight="1">
      <c r="D771" s="12"/>
    </row>
    <row r="772" ht="14.25" customHeight="1">
      <c r="D772" s="12"/>
    </row>
    <row r="773" ht="14.25" customHeight="1">
      <c r="D773" s="12"/>
    </row>
    <row r="774" ht="14.25" customHeight="1">
      <c r="D774" s="12"/>
    </row>
    <row r="775" ht="14.25" customHeight="1">
      <c r="D775" s="12"/>
    </row>
    <row r="776" ht="14.25" customHeight="1">
      <c r="D776" s="12"/>
    </row>
    <row r="777" ht="14.25" customHeight="1">
      <c r="D777" s="12"/>
    </row>
    <row r="778" ht="14.25" customHeight="1">
      <c r="D778" s="12"/>
    </row>
    <row r="779" ht="14.25" customHeight="1">
      <c r="D779" s="12"/>
    </row>
    <row r="780" ht="14.25" customHeight="1">
      <c r="D780" s="12"/>
    </row>
    <row r="781" ht="14.25" customHeight="1">
      <c r="D781" s="12"/>
    </row>
    <row r="782" ht="14.25" customHeight="1">
      <c r="D782" s="12"/>
    </row>
    <row r="783" ht="14.25" customHeight="1">
      <c r="D783" s="12"/>
    </row>
    <row r="784" ht="14.25" customHeight="1">
      <c r="D784" s="12"/>
    </row>
    <row r="785" ht="14.25" customHeight="1">
      <c r="D785" s="12"/>
    </row>
    <row r="786" ht="14.25" customHeight="1">
      <c r="D786" s="12"/>
    </row>
    <row r="787" ht="14.25" customHeight="1">
      <c r="D787" s="12"/>
    </row>
    <row r="788" ht="14.25" customHeight="1">
      <c r="D788" s="12"/>
    </row>
    <row r="789" ht="14.25" customHeight="1">
      <c r="D789" s="12"/>
    </row>
    <row r="790" ht="14.25" customHeight="1">
      <c r="D790" s="12"/>
    </row>
    <row r="791" ht="14.25" customHeight="1">
      <c r="D791" s="12"/>
    </row>
    <row r="792" ht="14.25" customHeight="1">
      <c r="D792" s="12"/>
    </row>
    <row r="793" ht="14.25" customHeight="1">
      <c r="D793" s="12"/>
    </row>
    <row r="794" ht="14.25" customHeight="1">
      <c r="D794" s="12"/>
    </row>
    <row r="795" ht="14.25" customHeight="1">
      <c r="D795" s="12"/>
    </row>
    <row r="796" ht="14.25" customHeight="1">
      <c r="D796" s="12"/>
    </row>
    <row r="797" ht="14.25" customHeight="1">
      <c r="D797" s="12"/>
    </row>
    <row r="798" ht="14.25" customHeight="1">
      <c r="D798" s="12"/>
    </row>
    <row r="799" ht="14.25" customHeight="1">
      <c r="D799" s="12"/>
    </row>
    <row r="800" ht="14.25" customHeight="1">
      <c r="D800" s="12"/>
    </row>
    <row r="801" ht="14.25" customHeight="1">
      <c r="D801" s="12"/>
    </row>
    <row r="802" ht="14.25" customHeight="1">
      <c r="D802" s="12"/>
    </row>
    <row r="803" ht="14.25" customHeight="1">
      <c r="D803" s="12"/>
    </row>
    <row r="804" ht="14.25" customHeight="1">
      <c r="D804" s="12"/>
    </row>
    <row r="805" ht="14.25" customHeight="1">
      <c r="D805" s="12"/>
    </row>
    <row r="806" ht="14.25" customHeight="1">
      <c r="D806" s="12"/>
    </row>
    <row r="807" ht="14.25" customHeight="1">
      <c r="D807" s="12"/>
    </row>
    <row r="808" ht="14.25" customHeight="1">
      <c r="D808" s="12"/>
    </row>
    <row r="809" ht="14.25" customHeight="1">
      <c r="D809" s="12"/>
    </row>
    <row r="810" ht="14.25" customHeight="1">
      <c r="D810" s="12"/>
    </row>
    <row r="811" ht="14.25" customHeight="1">
      <c r="D811" s="12"/>
    </row>
    <row r="812" ht="14.25" customHeight="1">
      <c r="D812" s="12"/>
    </row>
    <row r="813" ht="14.25" customHeight="1">
      <c r="D813" s="12"/>
    </row>
    <row r="814" ht="14.25" customHeight="1">
      <c r="D814" s="12"/>
    </row>
    <row r="815" ht="14.25" customHeight="1">
      <c r="D815" s="12"/>
    </row>
    <row r="816" ht="14.25" customHeight="1">
      <c r="D816" s="12"/>
    </row>
    <row r="817" ht="14.25" customHeight="1">
      <c r="D817" s="12"/>
    </row>
    <row r="818" ht="14.25" customHeight="1">
      <c r="D818" s="12"/>
    </row>
    <row r="819" ht="14.25" customHeight="1">
      <c r="D819" s="12"/>
    </row>
    <row r="820" ht="14.25" customHeight="1">
      <c r="D820" s="12"/>
    </row>
    <row r="821" ht="14.25" customHeight="1">
      <c r="D821" s="12"/>
    </row>
    <row r="822" ht="14.25" customHeight="1">
      <c r="D822" s="12"/>
    </row>
    <row r="823" ht="14.25" customHeight="1">
      <c r="D823" s="12"/>
    </row>
    <row r="824" ht="14.25" customHeight="1">
      <c r="D824" s="12"/>
    </row>
    <row r="825" ht="14.25" customHeight="1">
      <c r="D825" s="12"/>
    </row>
    <row r="826" ht="14.25" customHeight="1">
      <c r="D826" s="12"/>
    </row>
    <row r="827" ht="14.25" customHeight="1">
      <c r="D827" s="12"/>
    </row>
    <row r="828" ht="14.25" customHeight="1">
      <c r="D828" s="12"/>
    </row>
    <row r="829" ht="14.25" customHeight="1">
      <c r="D829" s="12"/>
    </row>
    <row r="830" ht="14.25" customHeight="1">
      <c r="D830" s="12"/>
    </row>
    <row r="831" ht="14.25" customHeight="1">
      <c r="D831" s="12"/>
    </row>
    <row r="832" ht="14.25" customHeight="1">
      <c r="D832" s="12"/>
    </row>
    <row r="833" ht="14.25" customHeight="1">
      <c r="D833" s="12"/>
    </row>
    <row r="834" ht="14.25" customHeight="1">
      <c r="D834" s="12"/>
    </row>
    <row r="835" ht="14.25" customHeight="1">
      <c r="D835" s="12"/>
    </row>
    <row r="836" ht="14.25" customHeight="1">
      <c r="D836" s="12"/>
    </row>
    <row r="837" ht="14.25" customHeight="1">
      <c r="D837" s="12"/>
    </row>
    <row r="838" ht="14.25" customHeight="1">
      <c r="D838" s="12"/>
    </row>
    <row r="839" ht="14.25" customHeight="1">
      <c r="D839" s="12"/>
    </row>
    <row r="840" ht="14.25" customHeight="1">
      <c r="D840" s="12"/>
    </row>
    <row r="841" ht="14.25" customHeight="1">
      <c r="D841" s="12"/>
    </row>
    <row r="842" ht="14.25" customHeight="1">
      <c r="D842" s="12"/>
    </row>
    <row r="843" ht="14.25" customHeight="1">
      <c r="D843" s="12"/>
    </row>
    <row r="844" ht="14.25" customHeight="1">
      <c r="D844" s="12"/>
    </row>
    <row r="845" ht="14.25" customHeight="1">
      <c r="D845" s="12"/>
    </row>
    <row r="846" ht="14.25" customHeight="1">
      <c r="D846" s="12"/>
    </row>
    <row r="847" ht="14.25" customHeight="1">
      <c r="D847" s="12"/>
    </row>
    <row r="848" ht="14.25" customHeight="1">
      <c r="D848" s="12"/>
    </row>
    <row r="849" ht="14.25" customHeight="1">
      <c r="D849" s="12"/>
    </row>
    <row r="850" ht="14.25" customHeight="1">
      <c r="D850" s="12"/>
    </row>
    <row r="851" ht="14.25" customHeight="1">
      <c r="D851" s="12"/>
    </row>
    <row r="852" ht="14.25" customHeight="1">
      <c r="D852" s="12"/>
    </row>
    <row r="853" ht="14.25" customHeight="1">
      <c r="D853" s="12"/>
    </row>
    <row r="854" ht="14.25" customHeight="1"/>
  </sheetData>
  <mergeCells count="10">
    <mergeCell ref="A21:D21"/>
    <mergeCell ref="A24:D24"/>
    <mergeCell ref="A27:D27"/>
    <mergeCell ref="A1:C1"/>
    <mergeCell ref="A3:D3"/>
    <mergeCell ref="A6:D6"/>
    <mergeCell ref="A9:D9"/>
    <mergeCell ref="A12:D12"/>
    <mergeCell ref="A15:D15"/>
    <mergeCell ref="A18:D18"/>
  </mergeCells>
  <printOptions/>
  <pageMargins bottom="0.29086849218474564" footer="0.0" header="0.0" left="0.5118110236220472" right="0.5118110236220472" top="0.4799330121048303"/>
  <pageSetup paperSize="9" scale="8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76.71"/>
    <col customWidth="1" min="2" max="2" width="12.43"/>
    <col customWidth="1" min="3" max="3" width="14.71"/>
    <col customWidth="1" min="4" max="4" width="26.29"/>
    <col customWidth="1" min="5" max="5" width="21.43"/>
    <col customWidth="1" min="6" max="6" width="23.29"/>
    <col customWidth="1" min="7" max="7" width="19.86"/>
    <col customWidth="1" min="8" max="8" width="22.86"/>
    <col customWidth="1" min="9" max="9" width="66.43"/>
    <col customWidth="1" min="10" max="28" width="8.71"/>
  </cols>
  <sheetData>
    <row r="1" ht="14.25" customHeight="1">
      <c r="A1" s="30" t="s">
        <v>135</v>
      </c>
      <c r="B1" s="31"/>
      <c r="C1" s="31"/>
      <c r="D1" s="31"/>
      <c r="E1" s="31"/>
      <c r="F1" s="31"/>
      <c r="G1" s="31"/>
      <c r="H1" s="31"/>
      <c r="I1" s="31"/>
    </row>
    <row r="2" ht="14.25" customHeight="1">
      <c r="A2" s="33" t="s">
        <v>77</v>
      </c>
      <c r="B2" s="33" t="s">
        <v>78</v>
      </c>
      <c r="C2" s="33" t="s">
        <v>79</v>
      </c>
      <c r="D2" s="33" t="s">
        <v>136</v>
      </c>
      <c r="E2" s="33" t="s">
        <v>137</v>
      </c>
      <c r="F2" s="33" t="s">
        <v>138</v>
      </c>
      <c r="G2" s="33" t="s">
        <v>139</v>
      </c>
      <c r="H2" s="33" t="s">
        <v>140</v>
      </c>
      <c r="I2" s="41"/>
    </row>
    <row r="3" ht="12.75" customHeight="1">
      <c r="A3" s="34" t="s">
        <v>81</v>
      </c>
      <c r="B3" s="35"/>
      <c r="C3" s="35"/>
      <c r="D3" s="35"/>
      <c r="E3" s="35"/>
      <c r="F3" s="35"/>
      <c r="G3" s="35"/>
      <c r="H3" s="35"/>
      <c r="I3" s="36"/>
    </row>
    <row r="4" ht="12.75" customHeight="1">
      <c r="A4" s="76" t="s">
        <v>141</v>
      </c>
      <c r="B4" s="77">
        <v>2.0</v>
      </c>
      <c r="C4" s="78">
        <v>140.13</v>
      </c>
      <c r="D4" s="79">
        <v>0.0</v>
      </c>
      <c r="E4" s="79">
        <f t="shared" ref="E4:E22" si="1">C4-D4</f>
        <v>140.13</v>
      </c>
      <c r="F4" s="80">
        <f>SUM(E4:E22)</f>
        <v>12433.36</v>
      </c>
      <c r="G4" s="80">
        <f>E5+E7+E8+E9+E10+E11+E13+E14+E15+E16+E18</f>
        <v>10625.46</v>
      </c>
      <c r="H4" s="80">
        <f>G4-F4</f>
        <v>-1807.9</v>
      </c>
      <c r="I4" s="76" t="s">
        <v>142</v>
      </c>
    </row>
    <row r="5" ht="12.75" customHeight="1">
      <c r="A5" s="76" t="s">
        <v>143</v>
      </c>
      <c r="B5" s="77">
        <v>5.0</v>
      </c>
      <c r="C5" s="78">
        <v>1181.65</v>
      </c>
      <c r="D5" s="79">
        <v>0.0</v>
      </c>
      <c r="E5" s="79">
        <f t="shared" si="1"/>
        <v>1181.65</v>
      </c>
      <c r="I5" s="76" t="s">
        <v>144</v>
      </c>
    </row>
    <row r="6" ht="12.75" customHeight="1">
      <c r="A6" s="40" t="s">
        <v>145</v>
      </c>
      <c r="B6" s="41"/>
      <c r="C6" s="42">
        <f>17</f>
        <v>17</v>
      </c>
      <c r="D6" s="42">
        <v>0.0</v>
      </c>
      <c r="E6" s="42">
        <f t="shared" si="1"/>
        <v>17</v>
      </c>
      <c r="I6" s="40"/>
    </row>
    <row r="7" ht="12.75" customHeight="1">
      <c r="A7" s="76" t="s">
        <v>146</v>
      </c>
      <c r="B7" s="77">
        <v>5.0</v>
      </c>
      <c r="C7" s="81">
        <v>878.75</v>
      </c>
      <c r="D7" s="78">
        <v>0.0</v>
      </c>
      <c r="E7" s="79">
        <f t="shared" si="1"/>
        <v>878.75</v>
      </c>
      <c r="I7" s="76" t="s">
        <v>147</v>
      </c>
    </row>
    <row r="8" ht="12.75" customHeight="1">
      <c r="A8" s="76" t="s">
        <v>148</v>
      </c>
      <c r="B8" s="82">
        <v>5.0</v>
      </c>
      <c r="C8" s="81">
        <v>171.22</v>
      </c>
      <c r="D8" s="79">
        <v>0.0</v>
      </c>
      <c r="E8" s="79">
        <f t="shared" si="1"/>
        <v>171.22</v>
      </c>
      <c r="I8" s="76" t="s">
        <v>147</v>
      </c>
    </row>
    <row r="9" ht="12.75" customHeight="1">
      <c r="A9" s="83" t="s">
        <v>149</v>
      </c>
      <c r="B9" s="77">
        <v>5.0</v>
      </c>
      <c r="C9" s="78">
        <v>770.2</v>
      </c>
      <c r="D9" s="78">
        <v>154.04</v>
      </c>
      <c r="E9" s="79">
        <f t="shared" si="1"/>
        <v>616.16</v>
      </c>
      <c r="I9" s="76" t="s">
        <v>144</v>
      </c>
    </row>
    <row r="10" ht="12.75" customHeight="1">
      <c r="A10" s="83" t="s">
        <v>150</v>
      </c>
      <c r="B10" s="82">
        <v>5.0</v>
      </c>
      <c r="C10" s="78">
        <v>150.0</v>
      </c>
      <c r="D10" s="79">
        <v>0.0</v>
      </c>
      <c r="E10" s="79">
        <f t="shared" si="1"/>
        <v>150</v>
      </c>
      <c r="I10" s="76" t="s">
        <v>144</v>
      </c>
    </row>
    <row r="11" ht="12.75" customHeight="1">
      <c r="A11" s="83" t="s">
        <v>82</v>
      </c>
      <c r="B11" s="82">
        <v>5.0</v>
      </c>
      <c r="C11" s="78">
        <v>1667.6</v>
      </c>
      <c r="D11" s="79">
        <v>0.0</v>
      </c>
      <c r="E11" s="79">
        <f t="shared" si="1"/>
        <v>1667.6</v>
      </c>
      <c r="I11" s="76" t="s">
        <v>151</v>
      </c>
    </row>
    <row r="12" ht="12.75" customHeight="1">
      <c r="A12" s="40" t="s">
        <v>152</v>
      </c>
      <c r="B12" s="41" t="s">
        <v>16</v>
      </c>
      <c r="C12" s="42">
        <f>256.8+256.8+256.8</f>
        <v>770.4</v>
      </c>
      <c r="D12" s="42">
        <v>0.0</v>
      </c>
      <c r="E12" s="42">
        <f t="shared" si="1"/>
        <v>770.4</v>
      </c>
      <c r="I12" s="40"/>
      <c r="J12" s="40"/>
    </row>
    <row r="13" ht="12.75" customHeight="1">
      <c r="A13" s="76" t="s">
        <v>153</v>
      </c>
      <c r="B13" s="77">
        <v>6.0</v>
      </c>
      <c r="C13" s="78">
        <v>75.74</v>
      </c>
      <c r="D13" s="79">
        <v>0.0</v>
      </c>
      <c r="E13" s="79">
        <f t="shared" si="1"/>
        <v>75.74</v>
      </c>
      <c r="I13" s="76" t="s">
        <v>147</v>
      </c>
      <c r="J13" s="40"/>
    </row>
    <row r="14" ht="12.75" customHeight="1">
      <c r="A14" s="83" t="s">
        <v>154</v>
      </c>
      <c r="B14" s="77">
        <v>11.0</v>
      </c>
      <c r="C14" s="79">
        <f>4730-150</f>
        <v>4580</v>
      </c>
      <c r="D14" s="79">
        <v>0.0</v>
      </c>
      <c r="E14" s="79">
        <f t="shared" si="1"/>
        <v>4580</v>
      </c>
      <c r="I14" s="76" t="s">
        <v>155</v>
      </c>
      <c r="J14" s="40"/>
    </row>
    <row r="15" ht="12.75" customHeight="1">
      <c r="A15" s="84" t="s">
        <v>156</v>
      </c>
      <c r="B15" s="85">
        <v>10.0</v>
      </c>
      <c r="C15" s="86">
        <v>93.67</v>
      </c>
      <c r="D15" s="86">
        <v>0.0</v>
      </c>
      <c r="E15" s="86">
        <f t="shared" si="1"/>
        <v>93.67</v>
      </c>
      <c r="I15" s="76" t="s">
        <v>157</v>
      </c>
    </row>
    <row r="16" ht="12.75" customHeight="1">
      <c r="A16" s="84" t="s">
        <v>158</v>
      </c>
      <c r="B16" s="85">
        <v>15.0</v>
      </c>
      <c r="C16" s="86">
        <v>277.84</v>
      </c>
      <c r="D16" s="86">
        <v>0.0</v>
      </c>
      <c r="E16" s="86">
        <f t="shared" si="1"/>
        <v>277.84</v>
      </c>
      <c r="I16" s="76" t="s">
        <v>159</v>
      </c>
    </row>
    <row r="17" ht="12.75" customHeight="1">
      <c r="A17" s="76" t="s">
        <v>160</v>
      </c>
      <c r="B17" s="77">
        <v>18.0</v>
      </c>
      <c r="C17" s="78">
        <v>325.9</v>
      </c>
      <c r="D17" s="79"/>
      <c r="E17" s="79">
        <f t="shared" si="1"/>
        <v>325.9</v>
      </c>
      <c r="I17" s="76" t="s">
        <v>142</v>
      </c>
    </row>
    <row r="18" ht="12.75" customHeight="1">
      <c r="A18" s="76" t="s">
        <v>161</v>
      </c>
      <c r="B18" s="77">
        <v>20.0</v>
      </c>
      <c r="C18" s="78">
        <v>932.83</v>
      </c>
      <c r="D18" s="79">
        <v>0.0</v>
      </c>
      <c r="E18" s="79">
        <f t="shared" si="1"/>
        <v>932.83</v>
      </c>
      <c r="I18" s="76" t="s">
        <v>162</v>
      </c>
    </row>
    <row r="19" ht="12.75" customHeight="1">
      <c r="A19" s="51" t="s">
        <v>163</v>
      </c>
      <c r="B19" s="41">
        <v>28.0</v>
      </c>
      <c r="C19" s="42">
        <v>400.0</v>
      </c>
      <c r="D19" s="42">
        <v>0.0</v>
      </c>
      <c r="E19" s="42">
        <f t="shared" si="1"/>
        <v>400</v>
      </c>
      <c r="I19" s="40"/>
    </row>
    <row r="20" ht="12.75" customHeight="1">
      <c r="A20" s="76" t="s">
        <v>164</v>
      </c>
      <c r="B20" s="77">
        <v>25.0</v>
      </c>
      <c r="C20" s="87">
        <v>76.2</v>
      </c>
      <c r="D20" s="79">
        <v>0.0</v>
      </c>
      <c r="E20" s="79">
        <f t="shared" si="1"/>
        <v>76.2</v>
      </c>
      <c r="I20" s="76" t="s">
        <v>142</v>
      </c>
    </row>
    <row r="21" ht="12.75" customHeight="1">
      <c r="A21" s="51" t="s">
        <v>165</v>
      </c>
      <c r="B21" s="41">
        <v>25.0</v>
      </c>
      <c r="C21" s="88">
        <v>78.27</v>
      </c>
      <c r="D21" s="42">
        <v>0.0</v>
      </c>
      <c r="E21" s="42">
        <f t="shared" si="1"/>
        <v>78.27</v>
      </c>
      <c r="I21" s="40"/>
    </row>
    <row r="22" ht="12.75" customHeight="1">
      <c r="A22" s="40" t="s">
        <v>166</v>
      </c>
      <c r="B22" s="41">
        <v>18.0</v>
      </c>
      <c r="C22" s="42">
        <v>0.0</v>
      </c>
      <c r="D22" s="42">
        <v>0.0</v>
      </c>
      <c r="E22" s="42">
        <f t="shared" si="1"/>
        <v>0</v>
      </c>
      <c r="I22" s="40"/>
    </row>
    <row r="23" ht="12.75" customHeight="1">
      <c r="A23" s="40"/>
      <c r="B23" s="41"/>
      <c r="C23" s="42"/>
      <c r="D23" s="42"/>
      <c r="E23" s="42"/>
      <c r="I23" s="40"/>
    </row>
    <row r="24" ht="12.75" customHeight="1">
      <c r="A24" s="40"/>
      <c r="B24" s="41"/>
      <c r="C24" s="42"/>
      <c r="D24" s="42"/>
      <c r="E24" s="42"/>
      <c r="F24" s="89"/>
      <c r="G24" s="89"/>
      <c r="H24" s="89"/>
      <c r="I24" s="40"/>
    </row>
    <row r="25" ht="14.25" customHeight="1">
      <c r="A25" s="34" t="s">
        <v>84</v>
      </c>
      <c r="B25" s="35"/>
      <c r="C25" s="35"/>
      <c r="D25" s="35"/>
      <c r="E25" s="35"/>
      <c r="F25" s="35"/>
      <c r="G25" s="35"/>
      <c r="H25" s="35"/>
      <c r="I25" s="36"/>
    </row>
    <row r="26" ht="12.75" customHeight="1">
      <c r="A26" s="40" t="s">
        <v>167</v>
      </c>
      <c r="B26" s="41">
        <v>2.0</v>
      </c>
      <c r="C26" s="42">
        <v>0.0</v>
      </c>
      <c r="D26" s="42">
        <v>0.0</v>
      </c>
      <c r="E26" s="42">
        <f t="shared" ref="E26:E39" si="2">C26-D26</f>
        <v>0</v>
      </c>
      <c r="F26" s="80">
        <f>SUM(E26:E39)</f>
        <v>2337.68</v>
      </c>
      <c r="G26" s="80">
        <f>E27+E30+E31+E32</f>
        <v>1894.09</v>
      </c>
      <c r="H26" s="80">
        <f>G26-F26</f>
        <v>-443.59</v>
      </c>
      <c r="I26" s="40"/>
    </row>
    <row r="27" ht="12.75" customHeight="1">
      <c r="A27" s="76" t="s">
        <v>143</v>
      </c>
      <c r="B27" s="77">
        <v>5.0</v>
      </c>
      <c r="C27" s="78">
        <v>1181.65</v>
      </c>
      <c r="D27" s="79">
        <v>0.0</v>
      </c>
      <c r="E27" s="79">
        <f t="shared" si="2"/>
        <v>1181.65</v>
      </c>
      <c r="I27" s="76" t="s">
        <v>168</v>
      </c>
    </row>
    <row r="28" ht="12.75" customHeight="1">
      <c r="A28" s="40" t="s">
        <v>85</v>
      </c>
      <c r="B28" s="41">
        <v>5.0</v>
      </c>
      <c r="C28" s="42">
        <v>0.0</v>
      </c>
      <c r="D28" s="42">
        <v>0.0</v>
      </c>
      <c r="E28" s="42">
        <f t="shared" si="2"/>
        <v>0</v>
      </c>
      <c r="I28" s="40"/>
    </row>
    <row r="29" ht="12.75" customHeight="1">
      <c r="A29" s="40" t="s">
        <v>169</v>
      </c>
      <c r="B29" s="12" t="s">
        <v>16</v>
      </c>
      <c r="C29" s="42"/>
      <c r="D29" s="42">
        <v>0.0</v>
      </c>
      <c r="E29" s="42">
        <f t="shared" si="2"/>
        <v>0</v>
      </c>
      <c r="I29" s="40"/>
    </row>
    <row r="30" ht="12.75" customHeight="1">
      <c r="A30" s="84" t="s">
        <v>156</v>
      </c>
      <c r="B30" s="85">
        <v>10.0</v>
      </c>
      <c r="C30" s="90">
        <f>124.55+0.35</f>
        <v>124.9</v>
      </c>
      <c r="D30" s="86">
        <v>0.0</v>
      </c>
      <c r="E30" s="86">
        <f t="shared" si="2"/>
        <v>124.9</v>
      </c>
      <c r="I30" s="76" t="s">
        <v>170</v>
      </c>
    </row>
    <row r="31" ht="12.75" customHeight="1">
      <c r="A31" s="84" t="s">
        <v>158</v>
      </c>
      <c r="B31" s="85">
        <v>15.0</v>
      </c>
      <c r="C31" s="86">
        <v>277.84</v>
      </c>
      <c r="D31" s="86">
        <v>0.0</v>
      </c>
      <c r="E31" s="86">
        <f t="shared" si="2"/>
        <v>277.84</v>
      </c>
      <c r="I31" s="76" t="s">
        <v>171</v>
      </c>
    </row>
    <row r="32">
      <c r="A32" s="76" t="s">
        <v>172</v>
      </c>
      <c r="B32" s="77"/>
      <c r="C32" s="87">
        <v>309.7</v>
      </c>
      <c r="D32" s="78">
        <v>0.0</v>
      </c>
      <c r="E32" s="79">
        <f t="shared" si="2"/>
        <v>309.7</v>
      </c>
      <c r="I32" s="76" t="s">
        <v>151</v>
      </c>
    </row>
    <row r="33">
      <c r="A33" s="40" t="s">
        <v>173</v>
      </c>
      <c r="B33" s="41">
        <v>17.0</v>
      </c>
      <c r="C33" s="91">
        <v>43.59</v>
      </c>
      <c r="D33" s="42">
        <v>0.0</v>
      </c>
      <c r="E33" s="42">
        <f t="shared" si="2"/>
        <v>43.59</v>
      </c>
      <c r="I33" s="40"/>
    </row>
    <row r="34" ht="12.75" customHeight="1">
      <c r="A34" s="40" t="s">
        <v>174</v>
      </c>
      <c r="B34" s="41">
        <v>20.0</v>
      </c>
      <c r="C34" s="42">
        <v>0.0</v>
      </c>
      <c r="D34" s="42">
        <v>0.0</v>
      </c>
      <c r="E34" s="42">
        <f t="shared" si="2"/>
        <v>0</v>
      </c>
      <c r="I34" s="40"/>
    </row>
    <row r="35" ht="12.75" customHeight="1">
      <c r="A35" s="40" t="s">
        <v>175</v>
      </c>
      <c r="B35" s="41">
        <v>20.0</v>
      </c>
      <c r="C35" s="45">
        <v>0.0</v>
      </c>
      <c r="D35" s="42">
        <v>0.0</v>
      </c>
      <c r="E35" s="42">
        <f t="shared" si="2"/>
        <v>0</v>
      </c>
      <c r="I35" s="40"/>
    </row>
    <row r="36" ht="12.75" customHeight="1">
      <c r="A36" s="40" t="s">
        <v>176</v>
      </c>
      <c r="B36" s="41">
        <v>20.0</v>
      </c>
      <c r="C36" s="45">
        <v>0.0</v>
      </c>
      <c r="D36" s="42">
        <v>0.0</v>
      </c>
      <c r="E36" s="42">
        <f t="shared" si="2"/>
        <v>0</v>
      </c>
      <c r="I36" s="40"/>
    </row>
    <row r="37" ht="12.75" customHeight="1">
      <c r="A37" s="40" t="s">
        <v>177</v>
      </c>
      <c r="B37" s="41">
        <v>20.0</v>
      </c>
      <c r="C37" s="42">
        <v>0.0</v>
      </c>
      <c r="D37" s="42">
        <v>0.0</v>
      </c>
      <c r="E37" s="42">
        <f t="shared" si="2"/>
        <v>0</v>
      </c>
      <c r="I37" s="40"/>
    </row>
    <row r="38" ht="12.75" customHeight="1">
      <c r="A38" s="51" t="s">
        <v>163</v>
      </c>
      <c r="B38" s="41">
        <v>28.0</v>
      </c>
      <c r="C38" s="42">
        <v>400.0</v>
      </c>
      <c r="D38" s="42">
        <v>0.0</v>
      </c>
      <c r="E38" s="42">
        <f t="shared" si="2"/>
        <v>400</v>
      </c>
      <c r="I38" s="40"/>
    </row>
    <row r="39" ht="12.75" customHeight="1">
      <c r="A39" s="40" t="s">
        <v>178</v>
      </c>
      <c r="B39" s="41" t="s">
        <v>16</v>
      </c>
      <c r="C39" s="91">
        <v>0.0</v>
      </c>
      <c r="D39" s="42">
        <v>0.0</v>
      </c>
      <c r="E39" s="42">
        <f t="shared" si="2"/>
        <v>0</v>
      </c>
      <c r="I39" s="40"/>
    </row>
    <row r="40" ht="14.25" customHeight="1">
      <c r="F40" s="89"/>
      <c r="G40" s="89"/>
      <c r="H40" s="89"/>
    </row>
    <row r="41" ht="14.25" customHeight="1">
      <c r="A41" s="34" t="s">
        <v>87</v>
      </c>
      <c r="B41" s="35"/>
      <c r="C41" s="35"/>
      <c r="D41" s="35"/>
      <c r="E41" s="35"/>
      <c r="F41" s="35"/>
      <c r="G41" s="35"/>
      <c r="H41" s="35"/>
      <c r="I41" s="36"/>
    </row>
    <row r="42" ht="12.75" customHeight="1">
      <c r="A42" s="76" t="s">
        <v>179</v>
      </c>
      <c r="B42" s="77">
        <v>2.0</v>
      </c>
      <c r="C42" s="78">
        <v>245.19</v>
      </c>
      <c r="D42" s="79">
        <v>0.0</v>
      </c>
      <c r="E42" s="79">
        <f t="shared" ref="E42:E46" si="3">C42-D42</f>
        <v>245.19</v>
      </c>
      <c r="F42" s="80">
        <f>SUM(E42:E69)</f>
        <v>26046.61</v>
      </c>
      <c r="G42" s="80">
        <f>E42+E43+E44+E46+E49+E50+E51+E52+E53+E55+E56+E57+E58+E59+E60+E61+E62+E64+E65+E66+E67</f>
        <v>24702.76</v>
      </c>
      <c r="H42" s="80">
        <f>G42-F42</f>
        <v>-1343.85</v>
      </c>
      <c r="I42" s="76" t="s">
        <v>180</v>
      </c>
    </row>
    <row r="43" ht="14.25" customHeight="1">
      <c r="A43" s="83" t="s">
        <v>181</v>
      </c>
      <c r="B43" s="77">
        <v>2.0</v>
      </c>
      <c r="C43" s="79">
        <v>3300.0</v>
      </c>
      <c r="D43" s="79">
        <v>0.0</v>
      </c>
      <c r="E43" s="79">
        <f t="shared" si="3"/>
        <v>3300</v>
      </c>
      <c r="I43" s="76" t="s">
        <v>155</v>
      </c>
    </row>
    <row r="44" ht="12.75" customHeight="1">
      <c r="A44" s="76" t="s">
        <v>160</v>
      </c>
      <c r="B44" s="77">
        <v>3.0</v>
      </c>
      <c r="C44" s="78">
        <v>195.78</v>
      </c>
      <c r="D44" s="79">
        <v>0.0</v>
      </c>
      <c r="E44" s="79">
        <f t="shared" si="3"/>
        <v>195.78</v>
      </c>
      <c r="I44" s="76" t="s">
        <v>180</v>
      </c>
    </row>
    <row r="45" ht="12.75" customHeight="1">
      <c r="A45" s="40" t="s">
        <v>182</v>
      </c>
      <c r="B45" s="41">
        <v>4.0</v>
      </c>
      <c r="C45" s="42">
        <v>0.0</v>
      </c>
      <c r="D45" s="42">
        <v>0.0</v>
      </c>
      <c r="E45" s="42">
        <f t="shared" si="3"/>
        <v>0</v>
      </c>
      <c r="I45" s="40"/>
    </row>
    <row r="46" ht="12.75" customHeight="1">
      <c r="A46" s="83" t="s">
        <v>183</v>
      </c>
      <c r="B46" s="77">
        <v>5.0</v>
      </c>
      <c r="C46" s="92">
        <v>230.63</v>
      </c>
      <c r="D46" s="79">
        <v>0.0</v>
      </c>
      <c r="E46" s="79">
        <f t="shared" si="3"/>
        <v>230.63</v>
      </c>
      <c r="I46" s="76" t="s">
        <v>184</v>
      </c>
    </row>
    <row r="47" ht="12.75" customHeight="1">
      <c r="A47" s="93" t="s">
        <v>185</v>
      </c>
      <c r="B47" s="41"/>
      <c r="C47" s="47">
        <v>3474.71</v>
      </c>
      <c r="D47" s="42">
        <v>0.0</v>
      </c>
      <c r="E47" s="42">
        <v>0.0</v>
      </c>
      <c r="I47" s="40"/>
    </row>
    <row r="48" ht="12.75" customHeight="1">
      <c r="A48" s="93" t="s">
        <v>186</v>
      </c>
      <c r="B48" s="41">
        <v>4.0</v>
      </c>
      <c r="C48" s="47">
        <v>344.62</v>
      </c>
      <c r="D48" s="42">
        <v>0.0</v>
      </c>
      <c r="E48" s="45">
        <v>0.0</v>
      </c>
      <c r="I48" s="40"/>
    </row>
    <row r="49" ht="12.75" customHeight="1">
      <c r="A49" s="83" t="s">
        <v>187</v>
      </c>
      <c r="B49" s="77">
        <v>5.0</v>
      </c>
      <c r="C49" s="78">
        <v>210.68</v>
      </c>
      <c r="D49" s="79">
        <v>0.0</v>
      </c>
      <c r="E49" s="79">
        <f t="shared" ref="E49:E69" si="4">C49-D49</f>
        <v>210.68</v>
      </c>
      <c r="I49" s="76" t="s">
        <v>184</v>
      </c>
    </row>
    <row r="50" ht="12.75" customHeight="1">
      <c r="A50" s="83" t="s">
        <v>188</v>
      </c>
      <c r="B50" s="77">
        <v>5.0</v>
      </c>
      <c r="C50" s="78">
        <v>210.68</v>
      </c>
      <c r="D50" s="79">
        <v>0.0</v>
      </c>
      <c r="E50" s="79">
        <f t="shared" si="4"/>
        <v>210.68</v>
      </c>
      <c r="I50" s="76" t="s">
        <v>184</v>
      </c>
    </row>
    <row r="51" ht="12.75" customHeight="1">
      <c r="A51" s="76" t="s">
        <v>189</v>
      </c>
      <c r="B51" s="77">
        <v>5.0</v>
      </c>
      <c r="C51" s="78">
        <v>1500.0</v>
      </c>
      <c r="D51" s="79">
        <v>0.0</v>
      </c>
      <c r="E51" s="79">
        <f t="shared" si="4"/>
        <v>1500</v>
      </c>
      <c r="I51" s="76" t="s">
        <v>190</v>
      </c>
    </row>
    <row r="52" ht="12.75" customHeight="1">
      <c r="A52" s="76" t="s">
        <v>191</v>
      </c>
      <c r="B52" s="77">
        <v>5.0</v>
      </c>
      <c r="C52" s="78">
        <v>1500.0</v>
      </c>
      <c r="D52" s="79">
        <v>0.0</v>
      </c>
      <c r="E52" s="79">
        <f t="shared" si="4"/>
        <v>1500</v>
      </c>
      <c r="I52" s="76" t="s">
        <v>192</v>
      </c>
    </row>
    <row r="53" ht="12.75" customHeight="1">
      <c r="A53" s="76" t="s">
        <v>193</v>
      </c>
      <c r="B53" s="77">
        <v>5.0</v>
      </c>
      <c r="C53" s="78">
        <v>1857.06</v>
      </c>
      <c r="D53" s="79">
        <v>0.0</v>
      </c>
      <c r="E53" s="79">
        <f t="shared" si="4"/>
        <v>1857.06</v>
      </c>
      <c r="I53" s="76" t="s">
        <v>194</v>
      </c>
    </row>
    <row r="54" ht="12.75" customHeight="1">
      <c r="A54" s="51" t="s">
        <v>195</v>
      </c>
      <c r="B54" s="41" t="s">
        <v>16</v>
      </c>
      <c r="C54" s="45">
        <v>800.0</v>
      </c>
      <c r="D54" s="42">
        <v>0.0</v>
      </c>
      <c r="E54" s="42">
        <f t="shared" si="4"/>
        <v>800</v>
      </c>
      <c r="I54" s="40"/>
    </row>
    <row r="55" ht="12.75" customHeight="1">
      <c r="A55" s="83" t="s">
        <v>196</v>
      </c>
      <c r="B55" s="77">
        <v>5.0</v>
      </c>
      <c r="C55" s="79">
        <v>230.63</v>
      </c>
      <c r="D55" s="79">
        <v>0.0</v>
      </c>
      <c r="E55" s="79">
        <f t="shared" si="4"/>
        <v>230.63</v>
      </c>
      <c r="I55" s="76" t="s">
        <v>184</v>
      </c>
    </row>
    <row r="56" ht="12.75" customHeight="1">
      <c r="A56" s="83" t="s">
        <v>156</v>
      </c>
      <c r="B56" s="77">
        <v>10.0</v>
      </c>
      <c r="C56" s="79">
        <v>62.45</v>
      </c>
      <c r="D56" s="79">
        <v>0.0</v>
      </c>
      <c r="E56" s="79">
        <f t="shared" si="4"/>
        <v>62.45</v>
      </c>
      <c r="I56" s="76" t="s">
        <v>155</v>
      </c>
    </row>
    <row r="57" ht="12.75" customHeight="1">
      <c r="A57" s="76" t="s">
        <v>197</v>
      </c>
      <c r="B57" s="94">
        <v>12.0</v>
      </c>
      <c r="C57" s="78">
        <v>370.03</v>
      </c>
      <c r="D57" s="78">
        <v>0.0</v>
      </c>
      <c r="E57" s="79">
        <f t="shared" si="4"/>
        <v>370.03</v>
      </c>
      <c r="I57" s="76" t="s">
        <v>155</v>
      </c>
    </row>
    <row r="58" ht="12.75" customHeight="1">
      <c r="A58" s="83" t="s">
        <v>158</v>
      </c>
      <c r="B58" s="77">
        <v>15.0</v>
      </c>
      <c r="C58" s="79">
        <v>277.84</v>
      </c>
      <c r="D58" s="79">
        <v>0.0</v>
      </c>
      <c r="E58" s="79">
        <f t="shared" si="4"/>
        <v>277.84</v>
      </c>
      <c r="I58" s="76" t="s">
        <v>198</v>
      </c>
    </row>
    <row r="59" ht="14.25" customHeight="1">
      <c r="A59" s="76" t="s">
        <v>199</v>
      </c>
      <c r="B59" s="94">
        <v>15.0</v>
      </c>
      <c r="C59" s="78">
        <v>235.06</v>
      </c>
      <c r="D59" s="79">
        <v>0.0</v>
      </c>
      <c r="E59" s="79">
        <f t="shared" si="4"/>
        <v>235.06</v>
      </c>
      <c r="I59" s="76" t="s">
        <v>198</v>
      </c>
    </row>
    <row r="60" ht="14.25" customHeight="1">
      <c r="A60" s="83" t="s">
        <v>200</v>
      </c>
      <c r="B60" s="77">
        <v>20.0</v>
      </c>
      <c r="C60" s="78">
        <v>3620.0</v>
      </c>
      <c r="D60" s="79">
        <v>0.0</v>
      </c>
      <c r="E60" s="79">
        <f t="shared" si="4"/>
        <v>3620</v>
      </c>
      <c r="I60" s="76" t="s">
        <v>201</v>
      </c>
    </row>
    <row r="61" ht="14.25" customHeight="1">
      <c r="A61" s="83" t="s">
        <v>202</v>
      </c>
      <c r="B61" s="77">
        <v>20.0</v>
      </c>
      <c r="C61" s="78">
        <v>3003.22</v>
      </c>
      <c r="D61" s="79">
        <v>0.0</v>
      </c>
      <c r="E61" s="79">
        <f t="shared" si="4"/>
        <v>3003.22</v>
      </c>
      <c r="I61" s="76" t="s">
        <v>201</v>
      </c>
    </row>
    <row r="62" ht="12.75" customHeight="1">
      <c r="A62" s="76" t="s">
        <v>203</v>
      </c>
      <c r="B62" s="77">
        <v>20.0</v>
      </c>
      <c r="C62" s="78">
        <v>4113.7</v>
      </c>
      <c r="D62" s="79">
        <v>0.0</v>
      </c>
      <c r="E62" s="79">
        <f t="shared" si="4"/>
        <v>4113.7</v>
      </c>
      <c r="I62" s="76" t="s">
        <v>201</v>
      </c>
    </row>
    <row r="63" ht="14.25" customHeight="1">
      <c r="A63" s="51" t="s">
        <v>163</v>
      </c>
      <c r="B63" s="41">
        <v>28.0</v>
      </c>
      <c r="C63" s="42">
        <v>400.0</v>
      </c>
      <c r="D63" s="42">
        <v>0.0</v>
      </c>
      <c r="E63" s="42">
        <f t="shared" si="4"/>
        <v>400</v>
      </c>
      <c r="I63" s="40"/>
    </row>
    <row r="64" ht="12.75" customHeight="1">
      <c r="A64" s="76" t="s">
        <v>164</v>
      </c>
      <c r="B64" s="77">
        <v>25.0</v>
      </c>
      <c r="C64" s="78">
        <v>85.74</v>
      </c>
      <c r="D64" s="79">
        <v>0.0</v>
      </c>
      <c r="E64" s="79">
        <f t="shared" si="4"/>
        <v>85.74</v>
      </c>
      <c r="I64" s="76" t="s">
        <v>180</v>
      </c>
    </row>
    <row r="65" ht="12.75" customHeight="1">
      <c r="A65" s="76" t="s">
        <v>165</v>
      </c>
      <c r="B65" s="77">
        <v>25.0</v>
      </c>
      <c r="C65" s="78">
        <v>88.07</v>
      </c>
      <c r="D65" s="79">
        <v>0.0</v>
      </c>
      <c r="E65" s="79">
        <f t="shared" si="4"/>
        <v>88.07</v>
      </c>
      <c r="I65" s="76" t="s">
        <v>180</v>
      </c>
    </row>
    <row r="66" ht="12.75" customHeight="1">
      <c r="A66" s="83" t="s">
        <v>204</v>
      </c>
      <c r="B66" s="77">
        <v>30.0</v>
      </c>
      <c r="C66" s="78">
        <v>1683.0</v>
      </c>
      <c r="D66" s="79">
        <v>0.0</v>
      </c>
      <c r="E66" s="79">
        <f t="shared" si="4"/>
        <v>1683</v>
      </c>
      <c r="I66" s="76" t="s">
        <v>205</v>
      </c>
    </row>
    <row r="67" ht="12.75" customHeight="1">
      <c r="A67" s="83" t="s">
        <v>206</v>
      </c>
      <c r="B67" s="77">
        <v>30.0</v>
      </c>
      <c r="C67" s="78">
        <v>1683.0</v>
      </c>
      <c r="D67" s="79">
        <v>0.0</v>
      </c>
      <c r="E67" s="79">
        <f t="shared" si="4"/>
        <v>1683</v>
      </c>
      <c r="I67" s="76" t="s">
        <v>205</v>
      </c>
    </row>
    <row r="68" ht="14.25" customHeight="1">
      <c r="A68" s="40" t="s">
        <v>207</v>
      </c>
      <c r="B68" s="41"/>
      <c r="C68" s="42">
        <f>24.95+50+15.63+4.45+3.96+14.69+3.47+2.97+21.35+0.38+2</f>
        <v>143.85</v>
      </c>
      <c r="D68" s="42">
        <v>0.0</v>
      </c>
      <c r="E68" s="42">
        <f t="shared" si="4"/>
        <v>143.85</v>
      </c>
      <c r="I68" s="40"/>
    </row>
    <row r="69" ht="14.25" customHeight="1">
      <c r="A69" s="40" t="s">
        <v>208</v>
      </c>
      <c r="B69" s="41" t="s">
        <v>16</v>
      </c>
      <c r="C69" s="42"/>
      <c r="D69" s="42">
        <v>0.0</v>
      </c>
      <c r="E69" s="42">
        <f t="shared" si="4"/>
        <v>0</v>
      </c>
      <c r="I69" s="40"/>
    </row>
    <row r="70" ht="14.25" customHeight="1">
      <c r="F70" s="89"/>
      <c r="G70" s="89"/>
      <c r="H70" s="89"/>
    </row>
    <row r="71" ht="14.25" customHeight="1">
      <c r="A71" s="34" t="s">
        <v>89</v>
      </c>
      <c r="B71" s="35"/>
      <c r="C71" s="35"/>
      <c r="D71" s="35"/>
      <c r="E71" s="35"/>
      <c r="F71" s="35"/>
      <c r="G71" s="35"/>
      <c r="H71" s="35"/>
      <c r="I71" s="36"/>
    </row>
    <row r="72" ht="12.75" customHeight="1">
      <c r="A72" s="76" t="s">
        <v>160</v>
      </c>
      <c r="B72" s="77">
        <v>3.0</v>
      </c>
      <c r="C72" s="78">
        <v>132.3</v>
      </c>
      <c r="D72" s="79">
        <v>0.0</v>
      </c>
      <c r="E72" s="79">
        <f t="shared" ref="E72:E90" si="5">C72-D72</f>
        <v>132.3</v>
      </c>
      <c r="F72" s="80">
        <f>SUM(E72:E90)</f>
        <v>12554.09</v>
      </c>
      <c r="G72" s="80">
        <f>E72+E73+E74+E75+E77+E78+E80+E81+E82+E83+E84+E85+E86+E88</f>
        <v>10441.24</v>
      </c>
      <c r="H72" s="80">
        <f>G72-F72</f>
        <v>-2112.85</v>
      </c>
      <c r="I72" s="76" t="s">
        <v>209</v>
      </c>
    </row>
    <row r="73" ht="12.75" customHeight="1">
      <c r="A73" s="76" t="s">
        <v>153</v>
      </c>
      <c r="B73" s="77">
        <v>4.0</v>
      </c>
      <c r="C73" s="95">
        <v>75.74</v>
      </c>
      <c r="D73" s="79">
        <v>0.0</v>
      </c>
      <c r="E73" s="79">
        <f t="shared" si="5"/>
        <v>75.74</v>
      </c>
      <c r="I73" s="76" t="s">
        <v>209</v>
      </c>
    </row>
    <row r="74" ht="12.75" customHeight="1">
      <c r="A74" s="83" t="s">
        <v>183</v>
      </c>
      <c r="B74" s="77">
        <v>5.0</v>
      </c>
      <c r="C74" s="79">
        <v>59.19</v>
      </c>
      <c r="D74" s="79">
        <v>0.0</v>
      </c>
      <c r="E74" s="79">
        <f t="shared" si="5"/>
        <v>59.19</v>
      </c>
      <c r="I74" s="76" t="s">
        <v>210</v>
      </c>
    </row>
    <row r="75" ht="12.75" customHeight="1">
      <c r="A75" s="83" t="s">
        <v>90</v>
      </c>
      <c r="B75" s="77">
        <v>5.0</v>
      </c>
      <c r="C75" s="78">
        <v>1880.75</v>
      </c>
      <c r="D75" s="79">
        <v>0.0</v>
      </c>
      <c r="E75" s="79">
        <f t="shared" si="5"/>
        <v>1880.75</v>
      </c>
      <c r="I75" s="76" t="s">
        <v>211</v>
      </c>
    </row>
    <row r="76" ht="12.75" customHeight="1">
      <c r="A76" s="40" t="s">
        <v>212</v>
      </c>
      <c r="B76" s="41" t="s">
        <v>16</v>
      </c>
      <c r="C76" s="42">
        <f>201.6+201.6+201.6</f>
        <v>604.8</v>
      </c>
      <c r="D76" s="42">
        <v>0.0</v>
      </c>
      <c r="E76" s="42">
        <f t="shared" si="5"/>
        <v>604.8</v>
      </c>
      <c r="I76" s="40"/>
    </row>
    <row r="77" ht="12.75" customHeight="1">
      <c r="A77" s="83" t="s">
        <v>213</v>
      </c>
      <c r="B77" s="77">
        <v>10.0</v>
      </c>
      <c r="C77" s="79">
        <v>3561.32</v>
      </c>
      <c r="D77" s="79">
        <v>0.0</v>
      </c>
      <c r="E77" s="79">
        <f t="shared" si="5"/>
        <v>3561.32</v>
      </c>
      <c r="I77" s="76" t="s">
        <v>155</v>
      </c>
    </row>
    <row r="78" ht="12.75" customHeight="1">
      <c r="A78" s="83" t="s">
        <v>156</v>
      </c>
      <c r="B78" s="77">
        <v>10.0</v>
      </c>
      <c r="C78" s="79">
        <v>93.67</v>
      </c>
      <c r="D78" s="79">
        <v>0.0</v>
      </c>
      <c r="E78" s="79">
        <f t="shared" si="5"/>
        <v>93.67</v>
      </c>
      <c r="I78" s="76" t="s">
        <v>214</v>
      </c>
    </row>
    <row r="79" ht="12.75" customHeight="1">
      <c r="A79" s="40" t="s">
        <v>215</v>
      </c>
      <c r="B79" s="41"/>
      <c r="C79" s="42">
        <v>20.0</v>
      </c>
      <c r="D79" s="42">
        <v>0.0</v>
      </c>
      <c r="E79" s="42">
        <f t="shared" si="5"/>
        <v>20</v>
      </c>
      <c r="I79" s="40"/>
    </row>
    <row r="80" ht="12.75" customHeight="1">
      <c r="A80" s="83" t="s">
        <v>158</v>
      </c>
      <c r="B80" s="77">
        <v>15.0</v>
      </c>
      <c r="C80" s="79">
        <v>277.84</v>
      </c>
      <c r="D80" s="79">
        <v>0.0</v>
      </c>
      <c r="E80" s="79">
        <f t="shared" si="5"/>
        <v>277.84</v>
      </c>
      <c r="I80" s="76" t="s">
        <v>216</v>
      </c>
    </row>
    <row r="81" ht="12.75" customHeight="1">
      <c r="A81" s="76" t="s">
        <v>217</v>
      </c>
      <c r="B81" s="77">
        <v>15.0</v>
      </c>
      <c r="C81" s="78">
        <v>201.25</v>
      </c>
      <c r="D81" s="79">
        <v>0.0</v>
      </c>
      <c r="E81" s="79">
        <f t="shared" si="5"/>
        <v>201.25</v>
      </c>
      <c r="I81" s="76" t="s">
        <v>209</v>
      </c>
    </row>
    <row r="82" ht="14.25" customHeight="1">
      <c r="A82" s="76" t="s">
        <v>218</v>
      </c>
      <c r="B82" s="77">
        <v>17.0</v>
      </c>
      <c r="C82" s="95">
        <v>88.44</v>
      </c>
      <c r="D82" s="79">
        <v>0.0</v>
      </c>
      <c r="E82" s="79">
        <f t="shared" si="5"/>
        <v>88.44</v>
      </c>
      <c r="I82" s="76" t="s">
        <v>209</v>
      </c>
    </row>
    <row r="83" ht="14.25" customHeight="1">
      <c r="A83" s="76" t="s">
        <v>219</v>
      </c>
      <c r="B83" s="77">
        <v>17.0</v>
      </c>
      <c r="C83" s="95">
        <v>91.08</v>
      </c>
      <c r="D83" s="79">
        <v>0.0</v>
      </c>
      <c r="E83" s="79">
        <f t="shared" si="5"/>
        <v>91.08</v>
      </c>
      <c r="I83" s="76" t="s">
        <v>209</v>
      </c>
    </row>
    <row r="84" ht="14.25" customHeight="1">
      <c r="A84" s="83" t="s">
        <v>220</v>
      </c>
      <c r="B84" s="77">
        <v>20.0</v>
      </c>
      <c r="C84" s="78">
        <v>255.28</v>
      </c>
      <c r="D84" s="79">
        <v>0.0</v>
      </c>
      <c r="E84" s="79">
        <f t="shared" si="5"/>
        <v>255.28</v>
      </c>
      <c r="I84" s="76" t="s">
        <v>221</v>
      </c>
    </row>
    <row r="85" ht="14.25" customHeight="1">
      <c r="A85" s="83" t="s">
        <v>222</v>
      </c>
      <c r="B85" s="77">
        <v>20.0</v>
      </c>
      <c r="C85" s="78">
        <v>170.48</v>
      </c>
      <c r="D85" s="79">
        <v>0.0</v>
      </c>
      <c r="E85" s="79">
        <f t="shared" si="5"/>
        <v>170.48</v>
      </c>
      <c r="I85" s="76" t="s">
        <v>221</v>
      </c>
    </row>
    <row r="86" ht="12.75" customHeight="1">
      <c r="A86" s="76" t="s">
        <v>223</v>
      </c>
      <c r="B86" s="77">
        <v>20.0</v>
      </c>
      <c r="C86" s="78">
        <v>2309.59</v>
      </c>
      <c r="D86" s="79">
        <v>0.0</v>
      </c>
      <c r="E86" s="79">
        <f t="shared" si="5"/>
        <v>2309.59</v>
      </c>
      <c r="I86" s="76" t="s">
        <v>221</v>
      </c>
    </row>
    <row r="87" ht="12.75" customHeight="1">
      <c r="A87" s="51" t="s">
        <v>163</v>
      </c>
      <c r="B87" s="41">
        <v>28.0</v>
      </c>
      <c r="C87" s="42">
        <v>400.0</v>
      </c>
      <c r="D87" s="42">
        <v>0.0</v>
      </c>
      <c r="E87" s="42">
        <f t="shared" si="5"/>
        <v>400</v>
      </c>
      <c r="I87" s="40"/>
    </row>
    <row r="88" ht="12.75" customHeight="1">
      <c r="A88" s="76" t="s">
        <v>224</v>
      </c>
      <c r="B88" s="77">
        <v>31.0</v>
      </c>
      <c r="C88" s="78">
        <v>1244.31</v>
      </c>
      <c r="D88" s="78">
        <v>0.0</v>
      </c>
      <c r="E88" s="79">
        <f t="shared" si="5"/>
        <v>1244.31</v>
      </c>
      <c r="I88" s="76" t="s">
        <v>209</v>
      </c>
    </row>
    <row r="89" ht="12.75" customHeight="1">
      <c r="A89" s="51" t="s">
        <v>225</v>
      </c>
      <c r="B89" s="41">
        <v>31.0</v>
      </c>
      <c r="C89" s="42">
        <v>1208.94</v>
      </c>
      <c r="D89" s="42">
        <v>120.89</v>
      </c>
      <c r="E89" s="42">
        <f t="shared" si="5"/>
        <v>1088.05</v>
      </c>
      <c r="I89" s="40"/>
    </row>
    <row r="90" ht="12.75" customHeight="1">
      <c r="A90" s="40" t="s">
        <v>226</v>
      </c>
      <c r="B90" s="41">
        <v>15.0</v>
      </c>
      <c r="C90" s="42">
        <v>0.0</v>
      </c>
      <c r="D90" s="42">
        <v>0.0</v>
      </c>
      <c r="E90" s="42">
        <f t="shared" si="5"/>
        <v>0</v>
      </c>
      <c r="I90" s="40"/>
    </row>
    <row r="91" ht="14.25" customHeight="1">
      <c r="F91" s="89"/>
      <c r="G91" s="89"/>
      <c r="H91" s="89"/>
    </row>
    <row r="92" ht="14.25" customHeight="1">
      <c r="A92" s="34" t="s">
        <v>92</v>
      </c>
      <c r="B92" s="35"/>
      <c r="C92" s="35"/>
      <c r="D92" s="35"/>
      <c r="E92" s="35"/>
      <c r="F92" s="35"/>
      <c r="G92" s="35"/>
      <c r="H92" s="35"/>
      <c r="I92" s="36"/>
    </row>
    <row r="93" ht="12.75" customHeight="1">
      <c r="A93" s="83" t="s">
        <v>227</v>
      </c>
      <c r="B93" s="77">
        <v>5.0</v>
      </c>
      <c r="C93" s="79">
        <f>4003</f>
        <v>4003</v>
      </c>
      <c r="D93" s="79">
        <v>0.0</v>
      </c>
      <c r="E93" s="79">
        <f t="shared" ref="E93:E110" si="6">C93-D93</f>
        <v>4003</v>
      </c>
      <c r="F93" s="80">
        <f>SUM(E93:E111)</f>
        <v>9450.29</v>
      </c>
      <c r="G93" s="80">
        <f>E93+E94+E95+E97+E98+E99+E100+E101+E102+E103+E106+E108+E109</f>
        <v>8602.69</v>
      </c>
      <c r="H93" s="80">
        <f>G93-F93</f>
        <v>-847.6</v>
      </c>
      <c r="I93" s="76" t="s">
        <v>228</v>
      </c>
    </row>
    <row r="94" ht="12.75" customHeight="1">
      <c r="A94" s="76" t="s">
        <v>229</v>
      </c>
      <c r="B94" s="77">
        <v>5.0</v>
      </c>
      <c r="C94" s="78">
        <v>207.25</v>
      </c>
      <c r="D94" s="79">
        <v>0.0</v>
      </c>
      <c r="E94" s="79">
        <f t="shared" si="6"/>
        <v>207.25</v>
      </c>
      <c r="I94" s="76" t="s">
        <v>230</v>
      </c>
    </row>
    <row r="95" ht="12.75" customHeight="1">
      <c r="A95" s="76" t="s">
        <v>93</v>
      </c>
      <c r="B95" s="77">
        <v>5.0</v>
      </c>
      <c r="C95" s="78">
        <v>1833.39</v>
      </c>
      <c r="D95" s="79">
        <v>0.0</v>
      </c>
      <c r="E95" s="79">
        <f t="shared" si="6"/>
        <v>1833.39</v>
      </c>
      <c r="I95" s="76" t="s">
        <v>151</v>
      </c>
    </row>
    <row r="96" ht="12.75" customHeight="1">
      <c r="A96" s="51" t="s">
        <v>231</v>
      </c>
      <c r="B96" s="41" t="s">
        <v>16</v>
      </c>
      <c r="C96" s="42">
        <f>223.8+223.8</f>
        <v>447.6</v>
      </c>
      <c r="D96" s="42">
        <v>0.0</v>
      </c>
      <c r="E96" s="42">
        <f t="shared" si="6"/>
        <v>447.6</v>
      </c>
      <c r="I96" s="40"/>
    </row>
    <row r="97" ht="12.75" customHeight="1">
      <c r="A97" s="76" t="s">
        <v>160</v>
      </c>
      <c r="B97" s="77">
        <v>8.0</v>
      </c>
      <c r="C97" s="78">
        <v>138.87</v>
      </c>
      <c r="D97" s="79">
        <v>0.0</v>
      </c>
      <c r="E97" s="79">
        <f t="shared" si="6"/>
        <v>138.87</v>
      </c>
      <c r="I97" s="76" t="s">
        <v>230</v>
      </c>
    </row>
    <row r="98" ht="12.75" customHeight="1">
      <c r="A98" s="76" t="s">
        <v>182</v>
      </c>
      <c r="B98" s="77">
        <v>5.0</v>
      </c>
      <c r="C98" s="78">
        <v>1065.81</v>
      </c>
      <c r="D98" s="79">
        <v>0.0</v>
      </c>
      <c r="E98" s="79">
        <f t="shared" si="6"/>
        <v>1065.81</v>
      </c>
      <c r="I98" s="76" t="s">
        <v>228</v>
      </c>
    </row>
    <row r="99" ht="12.75" customHeight="1">
      <c r="A99" s="83" t="s">
        <v>232</v>
      </c>
      <c r="B99" s="77">
        <v>5.0</v>
      </c>
      <c r="C99" s="79">
        <v>51.29</v>
      </c>
      <c r="D99" s="79">
        <v>0.0</v>
      </c>
      <c r="E99" s="79">
        <f t="shared" si="6"/>
        <v>51.29</v>
      </c>
      <c r="I99" s="76" t="s">
        <v>228</v>
      </c>
    </row>
    <row r="100" ht="12.75" customHeight="1">
      <c r="A100" s="83" t="s">
        <v>156</v>
      </c>
      <c r="B100" s="77">
        <v>10.0</v>
      </c>
      <c r="C100" s="79">
        <v>93.67</v>
      </c>
      <c r="D100" s="79">
        <v>0.0</v>
      </c>
      <c r="E100" s="79">
        <f t="shared" si="6"/>
        <v>93.67</v>
      </c>
      <c r="I100" s="76" t="s">
        <v>233</v>
      </c>
    </row>
    <row r="101" ht="12.75" customHeight="1">
      <c r="A101" s="76" t="s">
        <v>165</v>
      </c>
      <c r="B101" s="77">
        <v>13.0</v>
      </c>
      <c r="C101" s="78">
        <v>45.75</v>
      </c>
      <c r="D101" s="79">
        <v>0.0</v>
      </c>
      <c r="E101" s="79">
        <f t="shared" si="6"/>
        <v>45.75</v>
      </c>
      <c r="I101" s="76" t="s">
        <v>230</v>
      </c>
    </row>
    <row r="102" ht="12.75" customHeight="1">
      <c r="A102" s="76" t="s">
        <v>234</v>
      </c>
      <c r="B102" s="77">
        <v>15.0</v>
      </c>
      <c r="C102" s="78">
        <v>13.12</v>
      </c>
      <c r="D102" s="79">
        <v>0.0</v>
      </c>
      <c r="E102" s="79">
        <f t="shared" si="6"/>
        <v>13.12</v>
      </c>
      <c r="I102" s="76" t="s">
        <v>230</v>
      </c>
    </row>
    <row r="103" ht="12.75" customHeight="1">
      <c r="A103" s="83" t="s">
        <v>158</v>
      </c>
      <c r="B103" s="77">
        <v>15.0</v>
      </c>
      <c r="C103" s="79">
        <v>277.84</v>
      </c>
      <c r="D103" s="79">
        <v>0.0</v>
      </c>
      <c r="E103" s="79">
        <f t="shared" si="6"/>
        <v>277.84</v>
      </c>
      <c r="I103" s="76" t="s">
        <v>235</v>
      </c>
    </row>
    <row r="104" ht="14.25" customHeight="1">
      <c r="A104" s="40" t="s">
        <v>236</v>
      </c>
      <c r="B104" s="41">
        <v>20.0</v>
      </c>
      <c r="C104" s="45">
        <v>0.0</v>
      </c>
      <c r="D104" s="42">
        <v>0.0</v>
      </c>
      <c r="E104" s="42">
        <f t="shared" si="6"/>
        <v>0</v>
      </c>
      <c r="I104" s="40"/>
      <c r="J104" s="1"/>
    </row>
    <row r="105" ht="14.25" customHeight="1">
      <c r="A105" s="40" t="s">
        <v>237</v>
      </c>
      <c r="B105" s="41">
        <v>20.0</v>
      </c>
      <c r="C105" s="45">
        <v>0.0</v>
      </c>
      <c r="D105" s="42">
        <v>0.0</v>
      </c>
      <c r="E105" s="42">
        <f t="shared" si="6"/>
        <v>0</v>
      </c>
      <c r="I105" s="51" t="s">
        <v>238</v>
      </c>
    </row>
    <row r="106" ht="12.75" customHeight="1">
      <c r="A106" s="76" t="s">
        <v>239</v>
      </c>
      <c r="B106" s="77">
        <v>20.0</v>
      </c>
      <c r="C106" s="78">
        <v>717.22</v>
      </c>
      <c r="D106" s="79">
        <v>0.0</v>
      </c>
      <c r="E106" s="79">
        <f t="shared" si="6"/>
        <v>717.22</v>
      </c>
      <c r="I106" s="76" t="s">
        <v>240</v>
      </c>
    </row>
    <row r="107" ht="12.75" customHeight="1">
      <c r="A107" s="51" t="s">
        <v>163</v>
      </c>
      <c r="B107" s="41">
        <v>28.0</v>
      </c>
      <c r="C107" s="42">
        <v>400.0</v>
      </c>
      <c r="D107" s="42">
        <v>0.0</v>
      </c>
      <c r="E107" s="42">
        <f t="shared" si="6"/>
        <v>400</v>
      </c>
      <c r="I107" s="40"/>
    </row>
    <row r="108" ht="15.0" customHeight="1">
      <c r="A108" s="76" t="s">
        <v>241</v>
      </c>
      <c r="B108" s="77">
        <v>28.0</v>
      </c>
      <c r="C108" s="95">
        <v>77.59</v>
      </c>
      <c r="D108" s="79">
        <v>0.0</v>
      </c>
      <c r="E108" s="79">
        <f t="shared" si="6"/>
        <v>77.59</v>
      </c>
      <c r="I108" s="76" t="s">
        <v>230</v>
      </c>
    </row>
    <row r="109" ht="12.75" customHeight="1">
      <c r="A109" s="76" t="s">
        <v>242</v>
      </c>
      <c r="B109" s="77">
        <v>28.0</v>
      </c>
      <c r="C109" s="95">
        <v>77.89</v>
      </c>
      <c r="D109" s="79">
        <v>0.0</v>
      </c>
      <c r="E109" s="79">
        <f t="shared" si="6"/>
        <v>77.89</v>
      </c>
      <c r="I109" s="76" t="s">
        <v>230</v>
      </c>
    </row>
    <row r="110" ht="12.75" customHeight="1">
      <c r="A110" s="51" t="s">
        <v>166</v>
      </c>
      <c r="B110" s="41" t="s">
        <v>16</v>
      </c>
      <c r="C110" s="42"/>
      <c r="D110" s="42">
        <v>0.0</v>
      </c>
      <c r="E110" s="42">
        <f t="shared" si="6"/>
        <v>0</v>
      </c>
      <c r="I110" s="40"/>
    </row>
    <row r="111" ht="12.75" customHeight="1">
      <c r="B111" s="41"/>
      <c r="C111" s="42"/>
      <c r="D111" s="42"/>
      <c r="E111" s="42"/>
      <c r="F111" s="89"/>
      <c r="G111" s="89"/>
      <c r="H111" s="89"/>
    </row>
    <row r="112" ht="14.25" customHeight="1">
      <c r="A112" s="34" t="s">
        <v>94</v>
      </c>
      <c r="B112" s="35"/>
      <c r="C112" s="35"/>
      <c r="D112" s="35"/>
      <c r="E112" s="35"/>
      <c r="F112" s="35"/>
      <c r="G112" s="35"/>
      <c r="H112" s="35"/>
      <c r="I112" s="36"/>
    </row>
    <row r="113" ht="17.25" customHeight="1">
      <c r="A113" s="96" t="s">
        <v>243</v>
      </c>
      <c r="B113" s="82">
        <v>5.0</v>
      </c>
      <c r="C113" s="97">
        <v>3195.55</v>
      </c>
      <c r="D113" s="98">
        <v>0.0</v>
      </c>
      <c r="E113" s="98">
        <f t="shared" ref="E113:E126" si="7">C113-D113</f>
        <v>3195.55</v>
      </c>
      <c r="F113" s="80">
        <f>SUM(E113:E126)</f>
        <v>7054.44</v>
      </c>
      <c r="G113" s="80">
        <f>E113+E116+E117+E118+E119+E120+E123</f>
        <v>4062.28</v>
      </c>
      <c r="H113" s="80">
        <f>G113-F113</f>
        <v>-2992.16</v>
      </c>
      <c r="I113" s="76" t="s">
        <v>244</v>
      </c>
      <c r="J113" s="99"/>
      <c r="K113" s="99"/>
      <c r="L113" s="99"/>
      <c r="M113" s="99"/>
      <c r="N113" s="99"/>
      <c r="O113" s="99"/>
      <c r="P113" s="99"/>
      <c r="Q113" s="99"/>
      <c r="R113" s="99"/>
      <c r="S113" s="99"/>
      <c r="T113" s="99"/>
      <c r="U113" s="99"/>
      <c r="V113" s="99"/>
      <c r="W113" s="99"/>
      <c r="X113" s="99"/>
      <c r="Y113" s="99"/>
      <c r="Z113" s="99"/>
      <c r="AA113" s="99"/>
      <c r="AB113" s="99"/>
    </row>
    <row r="114" ht="14.25" customHeight="1">
      <c r="A114" s="51" t="s">
        <v>245</v>
      </c>
      <c r="B114" s="41">
        <v>5.0</v>
      </c>
      <c r="C114" s="42">
        <v>1822.06</v>
      </c>
      <c r="D114" s="42">
        <v>0.0</v>
      </c>
      <c r="E114" s="42">
        <f t="shared" si="7"/>
        <v>1822.06</v>
      </c>
      <c r="I114" s="40"/>
    </row>
    <row r="115" ht="12.75" customHeight="1">
      <c r="A115" s="51" t="s">
        <v>246</v>
      </c>
      <c r="B115" s="41" t="s">
        <v>16</v>
      </c>
      <c r="C115" s="42">
        <f>226.5+271.8+271.8</f>
        <v>770.1</v>
      </c>
      <c r="D115" s="42">
        <v>0.0</v>
      </c>
      <c r="E115" s="42">
        <f t="shared" si="7"/>
        <v>770.1</v>
      </c>
      <c r="I115" s="40"/>
    </row>
    <row r="116" ht="12.75" customHeight="1">
      <c r="A116" s="83" t="s">
        <v>196</v>
      </c>
      <c r="B116" s="77">
        <v>5.0</v>
      </c>
      <c r="C116" s="79">
        <v>59.19</v>
      </c>
      <c r="D116" s="79">
        <v>0.0</v>
      </c>
      <c r="E116" s="79">
        <f t="shared" si="7"/>
        <v>59.19</v>
      </c>
      <c r="I116" s="76" t="s">
        <v>247</v>
      </c>
    </row>
    <row r="117" ht="12.75" customHeight="1">
      <c r="A117" s="83" t="s">
        <v>156</v>
      </c>
      <c r="B117" s="77">
        <v>10.0</v>
      </c>
      <c r="C117" s="79">
        <v>93.67</v>
      </c>
      <c r="D117" s="79">
        <v>0.0</v>
      </c>
      <c r="E117" s="79">
        <f t="shared" si="7"/>
        <v>93.67</v>
      </c>
      <c r="I117" s="76" t="s">
        <v>248</v>
      </c>
    </row>
    <row r="118" ht="12.75" customHeight="1">
      <c r="A118" s="83" t="s">
        <v>249</v>
      </c>
      <c r="B118" s="77">
        <v>15.0</v>
      </c>
      <c r="C118" s="78">
        <v>277.15</v>
      </c>
      <c r="D118" s="79">
        <v>0.0</v>
      </c>
      <c r="E118" s="79">
        <f t="shared" si="7"/>
        <v>277.15</v>
      </c>
      <c r="I118" s="76" t="s">
        <v>250</v>
      </c>
    </row>
    <row r="119" ht="14.25" customHeight="1">
      <c r="A119" s="76" t="s">
        <v>251</v>
      </c>
      <c r="B119" s="94"/>
      <c r="C119" s="79">
        <f>16.9</f>
        <v>16.9</v>
      </c>
      <c r="D119" s="78">
        <v>0.0</v>
      </c>
      <c r="E119" s="79">
        <f t="shared" si="7"/>
        <v>16.9</v>
      </c>
      <c r="I119" s="76" t="s">
        <v>252</v>
      </c>
    </row>
    <row r="120" ht="14.25" customHeight="1">
      <c r="A120" s="76" t="s">
        <v>141</v>
      </c>
      <c r="B120" s="77">
        <v>17.0</v>
      </c>
      <c r="C120" s="78">
        <v>111.79</v>
      </c>
      <c r="D120" s="79"/>
      <c r="E120" s="79">
        <f t="shared" si="7"/>
        <v>111.79</v>
      </c>
      <c r="I120" s="76" t="s">
        <v>253</v>
      </c>
    </row>
    <row r="121" ht="14.25" customHeight="1">
      <c r="A121" s="40" t="s">
        <v>254</v>
      </c>
      <c r="B121" s="41">
        <v>20.0</v>
      </c>
      <c r="C121" s="45">
        <v>0.0</v>
      </c>
      <c r="D121" s="42">
        <v>0.0</v>
      </c>
      <c r="E121" s="42">
        <f t="shared" si="7"/>
        <v>0</v>
      </c>
      <c r="I121" s="40"/>
    </row>
    <row r="122" ht="14.25" customHeight="1">
      <c r="A122" s="40" t="s">
        <v>255</v>
      </c>
      <c r="B122" s="41">
        <v>20.0</v>
      </c>
      <c r="C122" s="45">
        <v>0.0</v>
      </c>
      <c r="D122" s="42">
        <v>0.0</v>
      </c>
      <c r="E122" s="42">
        <f t="shared" si="7"/>
        <v>0</v>
      </c>
      <c r="I122" s="40"/>
    </row>
    <row r="123" ht="12.75" customHeight="1">
      <c r="A123" s="76" t="s">
        <v>256</v>
      </c>
      <c r="B123" s="94">
        <v>30.0</v>
      </c>
      <c r="C123" s="78">
        <v>308.03</v>
      </c>
      <c r="D123" s="79">
        <v>0.0</v>
      </c>
      <c r="E123" s="79">
        <f t="shared" si="7"/>
        <v>308.03</v>
      </c>
      <c r="I123" s="76" t="s">
        <v>257</v>
      </c>
    </row>
    <row r="124" ht="12.75" customHeight="1">
      <c r="A124" s="51" t="s">
        <v>258</v>
      </c>
      <c r="B124" s="41">
        <v>20.0</v>
      </c>
      <c r="C124" s="45">
        <v>0.0</v>
      </c>
      <c r="D124" s="42">
        <v>0.0</v>
      </c>
      <c r="E124" s="42">
        <f t="shared" si="7"/>
        <v>0</v>
      </c>
      <c r="I124" s="40"/>
    </row>
    <row r="125" ht="12.75" customHeight="1">
      <c r="A125" s="40" t="s">
        <v>259</v>
      </c>
      <c r="B125" s="41">
        <v>28.0</v>
      </c>
      <c r="C125" s="42">
        <v>400.0</v>
      </c>
      <c r="D125" s="42">
        <v>0.0</v>
      </c>
      <c r="E125" s="42">
        <f t="shared" si="7"/>
        <v>400</v>
      </c>
      <c r="I125" s="40"/>
    </row>
    <row r="126" ht="12.75" customHeight="1">
      <c r="A126" s="40" t="s">
        <v>260</v>
      </c>
      <c r="B126" s="41">
        <v>18.0</v>
      </c>
      <c r="C126" s="91">
        <v>0.0</v>
      </c>
      <c r="D126" s="42">
        <v>0.0</v>
      </c>
      <c r="E126" s="42">
        <f t="shared" si="7"/>
        <v>0</v>
      </c>
      <c r="I126" s="40"/>
    </row>
    <row r="127" ht="12.75" customHeight="1">
      <c r="C127" s="42"/>
      <c r="D127" s="42"/>
      <c r="E127" s="42"/>
    </row>
    <row r="128" ht="14.25" customHeight="1">
      <c r="A128" s="34" t="s">
        <v>261</v>
      </c>
      <c r="B128" s="35"/>
      <c r="C128" s="35"/>
      <c r="D128" s="35"/>
      <c r="E128" s="35"/>
      <c r="F128" s="35"/>
      <c r="G128" s="35"/>
      <c r="H128" s="35"/>
      <c r="I128" s="36"/>
    </row>
    <row r="129" ht="14.25" customHeight="1">
      <c r="A129" s="76" t="s">
        <v>160</v>
      </c>
      <c r="B129" s="77">
        <v>3.0</v>
      </c>
      <c r="C129" s="78">
        <v>334.86</v>
      </c>
      <c r="D129" s="79">
        <v>0.0</v>
      </c>
      <c r="E129" s="79">
        <f t="shared" ref="E129:E149" si="8">C129-D129</f>
        <v>334.86</v>
      </c>
      <c r="F129" s="100">
        <f>SUM(E129:E150)</f>
        <v>18455.73</v>
      </c>
      <c r="G129" s="100">
        <f>E129+E130+E131+E133+E135+E136+E137+E138+E139+E140+E141+E142+E143</f>
        <v>17297.16</v>
      </c>
      <c r="H129" s="80">
        <f>G129-F129</f>
        <v>-1158.57</v>
      </c>
      <c r="I129" s="76" t="s">
        <v>262</v>
      </c>
    </row>
    <row r="130" ht="14.25" customHeight="1">
      <c r="A130" s="76" t="s">
        <v>153</v>
      </c>
      <c r="B130" s="77">
        <v>3.0</v>
      </c>
      <c r="C130" s="95">
        <v>170.8</v>
      </c>
      <c r="D130" s="79">
        <v>0.0</v>
      </c>
      <c r="E130" s="98">
        <f t="shared" si="8"/>
        <v>170.8</v>
      </c>
      <c r="I130" s="76" t="s">
        <v>262</v>
      </c>
    </row>
    <row r="131" ht="15.0" customHeight="1">
      <c r="A131" s="76" t="s">
        <v>263</v>
      </c>
      <c r="B131" s="77">
        <v>5.0</v>
      </c>
      <c r="C131" s="78">
        <v>1368.8</v>
      </c>
      <c r="D131" s="79">
        <v>0.0</v>
      </c>
      <c r="E131" s="79">
        <f t="shared" si="8"/>
        <v>1368.8</v>
      </c>
      <c r="I131" s="76" t="s">
        <v>151</v>
      </c>
    </row>
    <row r="132">
      <c r="A132" s="51" t="s">
        <v>264</v>
      </c>
      <c r="B132" s="37" t="s">
        <v>16</v>
      </c>
      <c r="C132" s="42"/>
      <c r="D132" s="101">
        <v>0.0</v>
      </c>
      <c r="E132" s="101">
        <f t="shared" si="8"/>
        <v>0</v>
      </c>
      <c r="I132" s="40"/>
    </row>
    <row r="133">
      <c r="A133" s="83" t="s">
        <v>101</v>
      </c>
      <c r="B133" s="77">
        <v>5.0</v>
      </c>
      <c r="C133" s="78">
        <v>1904.44</v>
      </c>
      <c r="D133" s="79">
        <v>0.0</v>
      </c>
      <c r="E133" s="79">
        <f t="shared" si="8"/>
        <v>1904.44</v>
      </c>
      <c r="I133" s="76" t="s">
        <v>151</v>
      </c>
    </row>
    <row r="134">
      <c r="A134" s="40" t="s">
        <v>265</v>
      </c>
      <c r="B134" s="41" t="s">
        <v>16</v>
      </c>
      <c r="C134" s="42">
        <f>244.2+244.2+244.2</f>
        <v>732.6</v>
      </c>
      <c r="D134" s="42">
        <v>0.0</v>
      </c>
      <c r="E134" s="42">
        <f t="shared" si="8"/>
        <v>732.6</v>
      </c>
      <c r="I134" s="40"/>
    </row>
    <row r="135">
      <c r="A135" s="83" t="s">
        <v>196</v>
      </c>
      <c r="B135" s="77">
        <v>5.0</v>
      </c>
      <c r="C135" s="79">
        <v>51.29</v>
      </c>
      <c r="D135" s="79">
        <v>0.0</v>
      </c>
      <c r="E135" s="79">
        <f t="shared" si="8"/>
        <v>51.29</v>
      </c>
      <c r="I135" s="76" t="s">
        <v>266</v>
      </c>
    </row>
    <row r="136">
      <c r="A136" s="102" t="s">
        <v>267</v>
      </c>
      <c r="B136" s="82">
        <v>10.0</v>
      </c>
      <c r="C136" s="98">
        <v>1171.25</v>
      </c>
      <c r="D136" s="97">
        <v>0.0</v>
      </c>
      <c r="E136" s="98">
        <f t="shared" si="8"/>
        <v>1171.25</v>
      </c>
      <c r="I136" s="76" t="s">
        <v>268</v>
      </c>
    </row>
    <row r="137" ht="14.25" customHeight="1">
      <c r="A137" s="103" t="s">
        <v>269</v>
      </c>
      <c r="B137" s="82">
        <v>10.0</v>
      </c>
      <c r="C137" s="98">
        <v>1171.25</v>
      </c>
      <c r="D137" s="97">
        <v>0.0</v>
      </c>
      <c r="E137" s="98">
        <f t="shared" si="8"/>
        <v>1171.25</v>
      </c>
      <c r="I137" s="76" t="s">
        <v>192</v>
      </c>
    </row>
    <row r="138" ht="14.25" customHeight="1">
      <c r="A138" s="76" t="s">
        <v>141</v>
      </c>
      <c r="B138" s="77">
        <v>15.0</v>
      </c>
      <c r="C138" s="78">
        <v>143.0</v>
      </c>
      <c r="D138" s="79">
        <v>0.0</v>
      </c>
      <c r="E138" s="79">
        <f t="shared" si="8"/>
        <v>143</v>
      </c>
      <c r="I138" s="76" t="s">
        <v>192</v>
      </c>
    </row>
    <row r="139" ht="14.25" customHeight="1">
      <c r="A139" s="83" t="s">
        <v>270</v>
      </c>
      <c r="B139" s="77">
        <v>15.0</v>
      </c>
      <c r="C139" s="79">
        <v>189.11</v>
      </c>
      <c r="D139" s="79">
        <v>0.0</v>
      </c>
      <c r="E139" s="79">
        <f t="shared" si="8"/>
        <v>189.11</v>
      </c>
      <c r="I139" s="76" t="s">
        <v>271</v>
      </c>
    </row>
    <row r="140" ht="12.75" customHeight="1">
      <c r="A140" s="83" t="s">
        <v>272</v>
      </c>
      <c r="B140" s="77">
        <v>20.0</v>
      </c>
      <c r="C140" s="78">
        <v>244.08</v>
      </c>
      <c r="D140" s="79">
        <v>0.0</v>
      </c>
      <c r="E140" s="79">
        <f t="shared" si="8"/>
        <v>244.08</v>
      </c>
      <c r="I140" s="76" t="s">
        <v>273</v>
      </c>
    </row>
    <row r="141" ht="12.75" customHeight="1">
      <c r="A141" s="83" t="s">
        <v>274</v>
      </c>
      <c r="B141" s="77">
        <v>20.0</v>
      </c>
      <c r="C141" s="78">
        <v>168.14</v>
      </c>
      <c r="D141" s="79">
        <v>0.0</v>
      </c>
      <c r="E141" s="79">
        <f t="shared" si="8"/>
        <v>168.14</v>
      </c>
      <c r="I141" s="76" t="s">
        <v>273</v>
      </c>
    </row>
    <row r="142" ht="12.75" customHeight="1">
      <c r="A142" s="76" t="s">
        <v>275</v>
      </c>
      <c r="B142" s="77">
        <v>20.0</v>
      </c>
      <c r="C142" s="78">
        <v>1831.14</v>
      </c>
      <c r="D142" s="79">
        <v>0.0</v>
      </c>
      <c r="E142" s="79">
        <f t="shared" si="8"/>
        <v>1831.14</v>
      </c>
      <c r="I142" s="76" t="s">
        <v>273</v>
      </c>
    </row>
    <row r="143" ht="12.75" customHeight="1">
      <c r="A143" s="83" t="s">
        <v>276</v>
      </c>
      <c r="B143" s="77">
        <v>22.0</v>
      </c>
      <c r="C143" s="79">
        <v>8549.0</v>
      </c>
      <c r="D143" s="79">
        <v>0.0</v>
      </c>
      <c r="E143" s="79">
        <f t="shared" si="8"/>
        <v>8549</v>
      </c>
      <c r="I143" s="76" t="s">
        <v>277</v>
      </c>
    </row>
    <row r="144" ht="12.75" customHeight="1">
      <c r="A144" s="40" t="s">
        <v>278</v>
      </c>
      <c r="B144" s="41" t="s">
        <v>16</v>
      </c>
      <c r="C144" s="42">
        <v>0.0</v>
      </c>
      <c r="D144" s="42">
        <v>0.0</v>
      </c>
      <c r="E144" s="42">
        <f t="shared" si="8"/>
        <v>0</v>
      </c>
      <c r="I144" s="40"/>
    </row>
    <row r="145" ht="12.75" customHeight="1">
      <c r="A145" s="40" t="s">
        <v>259</v>
      </c>
      <c r="B145" s="41">
        <v>28.0</v>
      </c>
      <c r="C145" s="42">
        <v>400.0</v>
      </c>
      <c r="D145" s="42">
        <v>0.0</v>
      </c>
      <c r="E145" s="42">
        <f t="shared" si="8"/>
        <v>400</v>
      </c>
      <c r="I145" s="40"/>
    </row>
    <row r="146" ht="12.75" customHeight="1">
      <c r="A146" s="40" t="s">
        <v>279</v>
      </c>
      <c r="B146" s="41">
        <v>16.0</v>
      </c>
      <c r="C146" s="42">
        <v>13.0</v>
      </c>
      <c r="D146" s="42">
        <v>0.0</v>
      </c>
      <c r="E146" s="42">
        <f t="shared" si="8"/>
        <v>13</v>
      </c>
      <c r="I146" s="40"/>
    </row>
    <row r="147" ht="12.75" customHeight="1">
      <c r="A147" s="40" t="s">
        <v>207</v>
      </c>
      <c r="B147" s="41"/>
      <c r="C147" s="42">
        <f>2.97+10</f>
        <v>12.97</v>
      </c>
      <c r="D147" s="42">
        <v>0.0</v>
      </c>
      <c r="E147" s="42">
        <f t="shared" si="8"/>
        <v>12.97</v>
      </c>
      <c r="I147" s="40"/>
    </row>
    <row r="148" ht="12.75" customHeight="1">
      <c r="A148" s="40" t="s">
        <v>280</v>
      </c>
      <c r="B148" s="41" t="s">
        <v>16</v>
      </c>
      <c r="C148" s="104"/>
      <c r="D148" s="42">
        <v>0.0</v>
      </c>
      <c r="E148" s="42">
        <f t="shared" si="8"/>
        <v>0</v>
      </c>
      <c r="I148" s="40"/>
    </row>
    <row r="149" ht="12.75" customHeight="1">
      <c r="A149" s="40" t="s">
        <v>281</v>
      </c>
      <c r="B149" s="41" t="s">
        <v>16</v>
      </c>
      <c r="C149" s="42"/>
      <c r="D149" s="42">
        <v>0.0</v>
      </c>
      <c r="E149" s="42">
        <f t="shared" si="8"/>
        <v>0</v>
      </c>
      <c r="I149" s="40"/>
    </row>
    <row r="150" ht="12.75" customHeight="1">
      <c r="A150" s="105"/>
      <c r="B150" s="105"/>
      <c r="C150" s="106"/>
      <c r="D150" s="106"/>
      <c r="E150" s="106"/>
    </row>
    <row r="151" ht="12.75" customHeight="1">
      <c r="A151" s="34" t="s">
        <v>130</v>
      </c>
      <c r="B151" s="35"/>
      <c r="C151" s="35"/>
      <c r="D151" s="35"/>
      <c r="E151" s="35"/>
      <c r="F151" s="35"/>
      <c r="G151" s="35"/>
      <c r="H151" s="35"/>
      <c r="I151" s="36"/>
    </row>
    <row r="152" ht="16.5" customHeight="1">
      <c r="A152" s="76" t="s">
        <v>141</v>
      </c>
      <c r="B152" s="77">
        <v>8.0</v>
      </c>
      <c r="C152" s="78">
        <v>147.84</v>
      </c>
      <c r="D152" s="79">
        <v>0.0</v>
      </c>
      <c r="E152" s="79">
        <f t="shared" ref="E152:E162" si="9">C152-D152</f>
        <v>147.84</v>
      </c>
      <c r="F152" s="100">
        <f>SUM(E152:E162)</f>
        <v>1339.19</v>
      </c>
      <c r="G152" s="100">
        <f>E152+E153+E154+E155+E156+E159</f>
        <v>939.19</v>
      </c>
      <c r="H152" s="100">
        <f>G152-F152</f>
        <v>-400</v>
      </c>
      <c r="I152" s="76" t="s">
        <v>180</v>
      </c>
    </row>
    <row r="153" ht="12.75" customHeight="1">
      <c r="A153" s="83" t="s">
        <v>156</v>
      </c>
      <c r="B153" s="77">
        <v>10.0</v>
      </c>
      <c r="C153" s="78">
        <v>124.9</v>
      </c>
      <c r="D153" s="79">
        <v>0.0</v>
      </c>
      <c r="E153" s="79">
        <f t="shared" si="9"/>
        <v>124.9</v>
      </c>
      <c r="I153" s="76" t="s">
        <v>282</v>
      </c>
    </row>
    <row r="154" ht="12.75" customHeight="1">
      <c r="A154" s="83" t="s">
        <v>158</v>
      </c>
      <c r="B154" s="77">
        <v>15.0</v>
      </c>
      <c r="C154" s="79">
        <v>268.34</v>
      </c>
      <c r="D154" s="79">
        <v>0.0</v>
      </c>
      <c r="E154" s="79">
        <f t="shared" si="9"/>
        <v>268.34</v>
      </c>
      <c r="I154" s="76" t="s">
        <v>282</v>
      </c>
    </row>
    <row r="155" ht="12.75" customHeight="1">
      <c r="A155" s="76" t="s">
        <v>165</v>
      </c>
      <c r="B155" s="77">
        <v>17.0</v>
      </c>
      <c r="C155" s="78">
        <v>44.75</v>
      </c>
      <c r="D155" s="79">
        <v>0.0</v>
      </c>
      <c r="E155" s="79">
        <f t="shared" si="9"/>
        <v>44.75</v>
      </c>
      <c r="I155" s="76" t="s">
        <v>180</v>
      </c>
    </row>
    <row r="156" ht="12.75" customHeight="1">
      <c r="A156" s="76" t="s">
        <v>160</v>
      </c>
      <c r="B156" s="77">
        <v>18.0</v>
      </c>
      <c r="C156" s="78">
        <v>127.24</v>
      </c>
      <c r="D156" s="79">
        <v>0.0</v>
      </c>
      <c r="E156" s="79">
        <f t="shared" si="9"/>
        <v>127.24</v>
      </c>
      <c r="I156" s="76" t="s">
        <v>180</v>
      </c>
    </row>
    <row r="157" ht="12.75" customHeight="1">
      <c r="A157" s="40" t="s">
        <v>283</v>
      </c>
      <c r="B157" s="41">
        <v>20.0</v>
      </c>
      <c r="C157" s="42">
        <v>0.0</v>
      </c>
      <c r="D157" s="42">
        <v>0.0</v>
      </c>
      <c r="E157" s="42">
        <f t="shared" si="9"/>
        <v>0</v>
      </c>
      <c r="I157" s="40"/>
    </row>
    <row r="158" ht="12.75" customHeight="1">
      <c r="A158" s="40" t="s">
        <v>284</v>
      </c>
      <c r="B158" s="41">
        <v>20.0</v>
      </c>
      <c r="C158" s="42">
        <v>0.0</v>
      </c>
      <c r="D158" s="42">
        <v>0.0</v>
      </c>
      <c r="E158" s="42">
        <f t="shared" si="9"/>
        <v>0</v>
      </c>
      <c r="I158" s="40"/>
    </row>
    <row r="159" ht="12.75" customHeight="1">
      <c r="A159" s="76" t="s">
        <v>285</v>
      </c>
      <c r="B159" s="77">
        <v>20.0</v>
      </c>
      <c r="C159" s="78">
        <v>226.12</v>
      </c>
      <c r="D159" s="79">
        <v>0.0</v>
      </c>
      <c r="E159" s="79">
        <f t="shared" si="9"/>
        <v>226.12</v>
      </c>
      <c r="I159" s="76" t="s">
        <v>201</v>
      </c>
    </row>
    <row r="160" ht="12.75" customHeight="1">
      <c r="A160" s="51" t="s">
        <v>286</v>
      </c>
      <c r="B160" s="41">
        <v>24.0</v>
      </c>
      <c r="C160" s="42"/>
      <c r="D160" s="42">
        <v>0.0</v>
      </c>
      <c r="E160" s="42">
        <f t="shared" si="9"/>
        <v>0</v>
      </c>
      <c r="I160" s="40"/>
    </row>
    <row r="161" ht="12.75" customHeight="1">
      <c r="A161" s="40" t="s">
        <v>287</v>
      </c>
      <c r="B161" s="41">
        <v>28.0</v>
      </c>
      <c r="C161" s="42">
        <v>400.0</v>
      </c>
      <c r="D161" s="42">
        <v>0.0</v>
      </c>
      <c r="E161" s="42">
        <f t="shared" si="9"/>
        <v>400</v>
      </c>
      <c r="I161" s="40"/>
    </row>
    <row r="162" ht="12.75" customHeight="1">
      <c r="A162" s="40" t="s">
        <v>288</v>
      </c>
      <c r="B162" s="41"/>
      <c r="C162" s="42"/>
      <c r="D162" s="42">
        <v>0.0</v>
      </c>
      <c r="E162" s="42">
        <f t="shared" si="9"/>
        <v>0</v>
      </c>
      <c r="I162" s="40"/>
    </row>
    <row r="163" ht="14.25" customHeight="1">
      <c r="A163" s="107"/>
      <c r="B163" s="107"/>
      <c r="C163" s="107"/>
      <c r="D163" s="107"/>
      <c r="E163" s="107"/>
      <c r="F163" s="41"/>
      <c r="G163" s="41"/>
      <c r="H163" s="41"/>
      <c r="I163" s="41"/>
    </row>
    <row r="164" ht="14.25" customHeight="1">
      <c r="A164" s="34" t="s">
        <v>102</v>
      </c>
      <c r="B164" s="35"/>
      <c r="C164" s="35"/>
      <c r="D164" s="35"/>
      <c r="E164" s="35"/>
      <c r="F164" s="35"/>
      <c r="G164" s="35"/>
      <c r="H164" s="35"/>
      <c r="I164" s="36"/>
    </row>
    <row r="165" ht="14.25" customHeight="1">
      <c r="A165" s="83" t="s">
        <v>103</v>
      </c>
      <c r="B165" s="77">
        <v>5.0</v>
      </c>
      <c r="C165" s="78">
        <v>1347.62</v>
      </c>
      <c r="D165" s="79">
        <v>0.0</v>
      </c>
      <c r="E165" s="79">
        <f t="shared" ref="E165:E197" si="10">C165-D165</f>
        <v>1347.62</v>
      </c>
      <c r="F165" s="80">
        <f>SUM(E165:E197)</f>
        <v>49171.01</v>
      </c>
      <c r="G165" s="80">
        <f>E165+E167+E169+E171+E173+E175+E177+E179+E181+E183+E185+E189+E191+E194+E196+E192+E193+E195+E197</f>
        <v>42146.81</v>
      </c>
      <c r="H165" s="80">
        <f>G165-F165</f>
        <v>-7024.2</v>
      </c>
      <c r="I165" s="76" t="s">
        <v>151</v>
      </c>
    </row>
    <row r="166" ht="14.25" customHeight="1">
      <c r="A166" s="40" t="s">
        <v>289</v>
      </c>
      <c r="B166" s="41" t="s">
        <v>16</v>
      </c>
      <c r="C166" s="42">
        <f>201.6+201.6+201.6</f>
        <v>604.8</v>
      </c>
      <c r="D166" s="42">
        <v>0.0</v>
      </c>
      <c r="E166" s="42">
        <f t="shared" si="10"/>
        <v>604.8</v>
      </c>
      <c r="I166" s="40"/>
    </row>
    <row r="167" ht="14.25" customHeight="1">
      <c r="A167" s="83" t="s">
        <v>104</v>
      </c>
      <c r="B167" s="77">
        <v>5.0</v>
      </c>
      <c r="C167" s="78">
        <v>316.3</v>
      </c>
      <c r="D167" s="79">
        <v>0.0</v>
      </c>
      <c r="E167" s="79">
        <f t="shared" si="10"/>
        <v>316.3</v>
      </c>
      <c r="I167" s="76" t="s">
        <v>290</v>
      </c>
    </row>
    <row r="168" ht="14.25" customHeight="1">
      <c r="A168" s="40" t="s">
        <v>291</v>
      </c>
      <c r="B168" s="41" t="s">
        <v>16</v>
      </c>
      <c r="C168" s="45">
        <v>0.0</v>
      </c>
      <c r="D168" s="42">
        <v>0.0</v>
      </c>
      <c r="E168" s="42">
        <f t="shared" si="10"/>
        <v>0</v>
      </c>
      <c r="I168" s="40"/>
    </row>
    <row r="169" ht="14.25" customHeight="1">
      <c r="A169" s="83" t="s">
        <v>105</v>
      </c>
      <c r="B169" s="77">
        <v>5.0</v>
      </c>
      <c r="C169" s="79">
        <v>2000.05</v>
      </c>
      <c r="D169" s="79">
        <v>0.0</v>
      </c>
      <c r="E169" s="79">
        <f t="shared" si="10"/>
        <v>2000.05</v>
      </c>
      <c r="I169" s="76" t="s">
        <v>151</v>
      </c>
    </row>
    <row r="170" ht="14.25" customHeight="1">
      <c r="A170" s="40" t="s">
        <v>292</v>
      </c>
      <c r="B170" s="41"/>
      <c r="C170" s="42">
        <f>244.2+244.2+244.2</f>
        <v>732.6</v>
      </c>
      <c r="D170" s="42">
        <v>0.0</v>
      </c>
      <c r="E170" s="42">
        <f t="shared" si="10"/>
        <v>732.6</v>
      </c>
      <c r="I170" s="40"/>
    </row>
    <row r="171" ht="14.25" customHeight="1">
      <c r="A171" s="83" t="s">
        <v>106</v>
      </c>
      <c r="B171" s="77">
        <v>5.0</v>
      </c>
      <c r="C171" s="79">
        <v>2000.05</v>
      </c>
      <c r="D171" s="79">
        <v>0.0</v>
      </c>
      <c r="E171" s="79">
        <f t="shared" si="10"/>
        <v>2000.05</v>
      </c>
      <c r="I171" s="76" t="s">
        <v>151</v>
      </c>
    </row>
    <row r="172" ht="14.25" customHeight="1">
      <c r="A172" s="40" t="s">
        <v>293</v>
      </c>
      <c r="B172" s="41"/>
      <c r="C172" s="42">
        <f>199.5+239.4+239.4</f>
        <v>678.3</v>
      </c>
      <c r="D172" s="42">
        <v>0.0</v>
      </c>
      <c r="E172" s="42">
        <f t="shared" si="10"/>
        <v>678.3</v>
      </c>
      <c r="I172" s="40"/>
    </row>
    <row r="173" ht="14.25" customHeight="1">
      <c r="A173" s="83" t="s">
        <v>107</v>
      </c>
      <c r="B173" s="77">
        <v>5.0</v>
      </c>
      <c r="C173" s="79">
        <v>2200.0</v>
      </c>
      <c r="D173" s="79">
        <v>0.0</v>
      </c>
      <c r="E173" s="79">
        <f t="shared" si="10"/>
        <v>2200</v>
      </c>
      <c r="I173" s="76" t="s">
        <v>155</v>
      </c>
    </row>
    <row r="174" ht="12.75" customHeight="1">
      <c r="A174" s="40" t="s">
        <v>294</v>
      </c>
      <c r="B174" s="41"/>
      <c r="C174" s="42">
        <f>239.4+239.4+239.4</f>
        <v>718.2</v>
      </c>
      <c r="D174" s="42">
        <v>0.0</v>
      </c>
      <c r="E174" s="42">
        <f t="shared" si="10"/>
        <v>718.2</v>
      </c>
      <c r="I174" s="40"/>
    </row>
    <row r="175" ht="12.75" customHeight="1">
      <c r="A175" s="83" t="s">
        <v>295</v>
      </c>
      <c r="B175" s="77">
        <v>5.0</v>
      </c>
      <c r="C175" s="78">
        <v>1800.18</v>
      </c>
      <c r="D175" s="79">
        <v>0.0</v>
      </c>
      <c r="E175" s="79">
        <f t="shared" si="10"/>
        <v>1800.18</v>
      </c>
      <c r="I175" s="76" t="s">
        <v>151</v>
      </c>
    </row>
    <row r="176" ht="12.75" customHeight="1">
      <c r="A176" s="40" t="s">
        <v>296</v>
      </c>
      <c r="B176" s="41"/>
      <c r="C176" s="42">
        <f>201.6+201.6+168</f>
        <v>571.2</v>
      </c>
      <c r="D176" s="42">
        <v>0.0</v>
      </c>
      <c r="E176" s="42">
        <f t="shared" si="10"/>
        <v>571.2</v>
      </c>
      <c r="I176" s="40"/>
    </row>
    <row r="177" ht="12.75" customHeight="1">
      <c r="A177" s="83" t="s">
        <v>297</v>
      </c>
      <c r="B177" s="77">
        <v>5.0</v>
      </c>
      <c r="C177" s="78">
        <v>2000.05</v>
      </c>
      <c r="D177" s="79">
        <v>0.0</v>
      </c>
      <c r="E177" s="79">
        <f t="shared" si="10"/>
        <v>2000.05</v>
      </c>
      <c r="I177" s="76" t="s">
        <v>151</v>
      </c>
    </row>
    <row r="178" ht="12.75" customHeight="1">
      <c r="A178" s="40" t="s">
        <v>298</v>
      </c>
      <c r="B178" s="41"/>
      <c r="C178" s="42">
        <f>239.4+239.4+239.4</f>
        <v>718.2</v>
      </c>
      <c r="D178" s="42">
        <v>0.0</v>
      </c>
      <c r="E178" s="42">
        <f t="shared" si="10"/>
        <v>718.2</v>
      </c>
      <c r="I178" s="40"/>
    </row>
    <row r="179" ht="12.75" customHeight="1">
      <c r="A179" s="76" t="s">
        <v>299</v>
      </c>
      <c r="B179" s="77">
        <v>5.0</v>
      </c>
      <c r="C179" s="78">
        <v>1918.6</v>
      </c>
      <c r="D179" s="79">
        <v>0.0</v>
      </c>
      <c r="E179" s="79">
        <f t="shared" si="10"/>
        <v>1918.6</v>
      </c>
      <c r="I179" s="76" t="s">
        <v>151</v>
      </c>
    </row>
    <row r="180" ht="12.75" customHeight="1">
      <c r="A180" s="51" t="s">
        <v>300</v>
      </c>
      <c r="B180" s="41"/>
      <c r="C180" s="42">
        <f>269.4+269.4+269.4</f>
        <v>808.2</v>
      </c>
      <c r="D180" s="42">
        <v>0.0</v>
      </c>
      <c r="E180" s="42">
        <f t="shared" si="10"/>
        <v>808.2</v>
      </c>
      <c r="I180" s="40"/>
    </row>
    <row r="181" ht="12.75" customHeight="1">
      <c r="A181" s="76" t="s">
        <v>301</v>
      </c>
      <c r="B181" s="77">
        <v>5.0</v>
      </c>
      <c r="C181" s="78">
        <v>1800.18</v>
      </c>
      <c r="D181" s="79">
        <v>0.0</v>
      </c>
      <c r="E181" s="79">
        <f t="shared" si="10"/>
        <v>1800.18</v>
      </c>
      <c r="I181" s="76" t="s">
        <v>151</v>
      </c>
    </row>
    <row r="182" ht="12.75" customHeight="1">
      <c r="A182" s="51" t="s">
        <v>302</v>
      </c>
      <c r="B182" s="41"/>
      <c r="C182" s="42">
        <f>156+130+156</f>
        <v>442</v>
      </c>
      <c r="D182" s="42">
        <v>0.0</v>
      </c>
      <c r="E182" s="42">
        <f t="shared" si="10"/>
        <v>442</v>
      </c>
      <c r="I182" s="40"/>
    </row>
    <row r="183" ht="12.75" customHeight="1">
      <c r="A183" s="76" t="s">
        <v>303</v>
      </c>
      <c r="B183" s="77">
        <v>5.0</v>
      </c>
      <c r="C183" s="79">
        <f>248+1553</f>
        <v>1801</v>
      </c>
      <c r="D183" s="79">
        <v>0.0</v>
      </c>
      <c r="E183" s="79">
        <f t="shared" si="10"/>
        <v>1801</v>
      </c>
      <c r="I183" s="76" t="s">
        <v>304</v>
      </c>
    </row>
    <row r="184" ht="12.75" customHeight="1">
      <c r="A184" s="51" t="s">
        <v>305</v>
      </c>
      <c r="B184" s="41"/>
      <c r="C184" s="42">
        <f>256.8+256.8+256.8</f>
        <v>770.4</v>
      </c>
      <c r="D184" s="42">
        <v>0.0</v>
      </c>
      <c r="E184" s="42">
        <f t="shared" si="10"/>
        <v>770.4</v>
      </c>
      <c r="I184" s="40"/>
    </row>
    <row r="185" ht="12.75" customHeight="1">
      <c r="A185" s="76" t="s">
        <v>306</v>
      </c>
      <c r="B185" s="77"/>
      <c r="C185" s="78">
        <v>1553.0</v>
      </c>
      <c r="D185" s="79">
        <v>0.0</v>
      </c>
      <c r="E185" s="79">
        <f t="shared" si="10"/>
        <v>1553</v>
      </c>
      <c r="I185" s="76" t="s">
        <v>151</v>
      </c>
    </row>
    <row r="186" ht="12.75" customHeight="1">
      <c r="A186" s="51" t="s">
        <v>307</v>
      </c>
      <c r="B186" s="41"/>
      <c r="C186" s="42">
        <f>263.4+263.4+50+169.5</f>
        <v>746.3</v>
      </c>
      <c r="D186" s="42">
        <v>0.0</v>
      </c>
      <c r="E186" s="42">
        <f t="shared" si="10"/>
        <v>746.3</v>
      </c>
      <c r="I186" s="40"/>
    </row>
    <row r="187" ht="12.75" customHeight="1">
      <c r="A187" s="40" t="s">
        <v>308</v>
      </c>
      <c r="B187" s="41"/>
      <c r="C187" s="45">
        <v>0.0</v>
      </c>
      <c r="D187" s="42">
        <v>0.0</v>
      </c>
      <c r="E187" s="42">
        <f t="shared" si="10"/>
        <v>0</v>
      </c>
      <c r="I187" s="40"/>
    </row>
    <row r="188" ht="12.75" customHeight="1">
      <c r="A188" s="40" t="s">
        <v>309</v>
      </c>
      <c r="B188" s="41"/>
      <c r="C188" s="45">
        <v>0.0</v>
      </c>
      <c r="D188" s="42">
        <v>0.0</v>
      </c>
      <c r="E188" s="42">
        <f t="shared" si="10"/>
        <v>0</v>
      </c>
      <c r="I188" s="40"/>
    </row>
    <row r="189" ht="12.75" customHeight="1">
      <c r="A189" s="76" t="s">
        <v>310</v>
      </c>
      <c r="B189" s="77"/>
      <c r="C189" s="78">
        <v>1012.0</v>
      </c>
      <c r="D189" s="79">
        <v>0.0</v>
      </c>
      <c r="E189" s="79">
        <f t="shared" si="10"/>
        <v>1012</v>
      </c>
      <c r="I189" s="76" t="s">
        <v>151</v>
      </c>
    </row>
    <row r="190" ht="12.75" customHeight="1">
      <c r="A190" s="51" t="s">
        <v>311</v>
      </c>
      <c r="B190" s="41"/>
      <c r="C190" s="42">
        <f>50+184</f>
        <v>234</v>
      </c>
      <c r="D190" s="42">
        <v>0.0</v>
      </c>
      <c r="E190" s="42">
        <f t="shared" si="10"/>
        <v>234</v>
      </c>
      <c r="I190" s="40"/>
    </row>
    <row r="191" ht="12.75" customHeight="1">
      <c r="A191" s="83" t="s">
        <v>213</v>
      </c>
      <c r="B191" s="77">
        <v>10.0</v>
      </c>
      <c r="C191" s="78">
        <v>4000.0</v>
      </c>
      <c r="D191" s="79">
        <v>400.0</v>
      </c>
      <c r="E191" s="79">
        <f t="shared" si="10"/>
        <v>3600</v>
      </c>
      <c r="I191" s="76" t="s">
        <v>155</v>
      </c>
    </row>
    <row r="192" ht="14.25" customHeight="1">
      <c r="A192" s="76" t="s">
        <v>141</v>
      </c>
      <c r="B192" s="77">
        <v>15.0</v>
      </c>
      <c r="C192" s="78">
        <v>128.47</v>
      </c>
      <c r="D192" s="108"/>
      <c r="E192" s="79">
        <f t="shared" si="10"/>
        <v>128.47</v>
      </c>
      <c r="I192" s="76" t="s">
        <v>180</v>
      </c>
    </row>
    <row r="193" ht="14.25" customHeight="1">
      <c r="A193" s="76" t="s">
        <v>165</v>
      </c>
      <c r="B193" s="77">
        <v>17.0</v>
      </c>
      <c r="C193" s="78">
        <v>44.24</v>
      </c>
      <c r="D193" s="79">
        <v>0.0</v>
      </c>
      <c r="E193" s="79">
        <f t="shared" si="10"/>
        <v>44.24</v>
      </c>
      <c r="I193" s="76" t="s">
        <v>180</v>
      </c>
    </row>
    <row r="194" ht="14.25" customHeight="1">
      <c r="A194" s="76" t="s">
        <v>312</v>
      </c>
      <c r="B194" s="77">
        <v>18.0</v>
      </c>
      <c r="C194" s="78">
        <v>5446.93</v>
      </c>
      <c r="D194" s="79">
        <v>0.0</v>
      </c>
      <c r="E194" s="79">
        <f t="shared" si="10"/>
        <v>5446.93</v>
      </c>
      <c r="I194" s="76" t="s">
        <v>313</v>
      </c>
      <c r="J194" s="109">
        <v>18.0</v>
      </c>
      <c r="K194" s="64">
        <v>4320.52</v>
      </c>
      <c r="L194" s="64">
        <v>0.0</v>
      </c>
      <c r="M194" s="64">
        <f>K194-L194</f>
        <v>4320.52</v>
      </c>
    </row>
    <row r="195" ht="14.25" customHeight="1">
      <c r="A195" s="76" t="s">
        <v>314</v>
      </c>
      <c r="B195" s="77">
        <v>18.0</v>
      </c>
      <c r="C195" s="78">
        <v>4406.52</v>
      </c>
      <c r="D195" s="79">
        <v>0.0</v>
      </c>
      <c r="E195" s="79">
        <f t="shared" si="10"/>
        <v>4406.52</v>
      </c>
      <c r="I195" s="76" t="s">
        <v>205</v>
      </c>
    </row>
    <row r="196" ht="14.25" customHeight="1">
      <c r="A196" s="110" t="s">
        <v>315</v>
      </c>
      <c r="B196" s="111">
        <v>26.0</v>
      </c>
      <c r="C196" s="112">
        <v>4676.54</v>
      </c>
      <c r="D196" s="81">
        <v>0.0</v>
      </c>
      <c r="E196" s="113">
        <f t="shared" si="10"/>
        <v>4676.54</v>
      </c>
      <c r="I196" s="76" t="s">
        <v>316</v>
      </c>
    </row>
    <row r="197" ht="14.25" customHeight="1">
      <c r="A197" s="110" t="s">
        <v>317</v>
      </c>
      <c r="B197" s="111">
        <v>26.0</v>
      </c>
      <c r="C197" s="112">
        <v>4095.08</v>
      </c>
      <c r="D197" s="81">
        <v>0.0</v>
      </c>
      <c r="E197" s="113">
        <f t="shared" si="10"/>
        <v>4095.08</v>
      </c>
      <c r="I197" s="76" t="s">
        <v>205</v>
      </c>
    </row>
    <row r="198" ht="14.25" customHeight="1">
      <c r="B198" s="41"/>
      <c r="C198" s="42"/>
      <c r="D198" s="42"/>
      <c r="E198" s="42"/>
      <c r="I198" s="40"/>
    </row>
    <row r="199" ht="14.25" customHeight="1">
      <c r="A199" s="34" t="s">
        <v>318</v>
      </c>
      <c r="B199" s="35"/>
      <c r="C199" s="35"/>
      <c r="D199" s="35"/>
      <c r="E199" s="35"/>
      <c r="F199" s="35"/>
      <c r="G199" s="35"/>
      <c r="H199" s="35"/>
      <c r="I199" s="36"/>
    </row>
    <row r="200" ht="14.25" customHeight="1">
      <c r="A200" s="83" t="s">
        <v>319</v>
      </c>
      <c r="B200" s="77">
        <v>11.0</v>
      </c>
      <c r="C200" s="79">
        <v>750.0</v>
      </c>
      <c r="D200" s="79">
        <v>0.0</v>
      </c>
      <c r="E200" s="79">
        <f t="shared" ref="E200:E209" si="11">C200-D200</f>
        <v>750</v>
      </c>
      <c r="F200" s="114">
        <f>SUM(E200:E218)</f>
        <v>21518.95</v>
      </c>
      <c r="G200" s="114">
        <f>E200+E201+E208+E209+E217+E215+E216</f>
        <v>17581.45</v>
      </c>
      <c r="H200" s="114">
        <f>G200-F200</f>
        <v>-3937.5</v>
      </c>
      <c r="I200" s="76" t="s">
        <v>155</v>
      </c>
    </row>
    <row r="201" ht="12.75" customHeight="1">
      <c r="A201" s="83" t="s">
        <v>320</v>
      </c>
      <c r="B201" s="77">
        <v>15.0</v>
      </c>
      <c r="C201" s="78">
        <v>3472.79</v>
      </c>
      <c r="D201" s="79">
        <v>0.0</v>
      </c>
      <c r="E201" s="79">
        <f t="shared" si="11"/>
        <v>3472.79</v>
      </c>
      <c r="I201" s="76" t="s">
        <v>198</v>
      </c>
    </row>
    <row r="202" ht="15.75" customHeight="1">
      <c r="A202" s="40" t="s">
        <v>321</v>
      </c>
      <c r="B202" s="41">
        <v>20.0</v>
      </c>
      <c r="C202" s="42">
        <v>256.25</v>
      </c>
      <c r="D202" s="42">
        <v>0.0</v>
      </c>
      <c r="E202" s="42">
        <f t="shared" si="11"/>
        <v>256.25</v>
      </c>
      <c r="I202" s="40"/>
    </row>
    <row r="203" ht="14.25" customHeight="1">
      <c r="A203" s="40" t="s">
        <v>322</v>
      </c>
      <c r="B203" s="41">
        <v>20.0</v>
      </c>
      <c r="C203" s="42">
        <v>256.25</v>
      </c>
      <c r="D203" s="42">
        <v>0.0</v>
      </c>
      <c r="E203" s="42">
        <f t="shared" si="11"/>
        <v>256.25</v>
      </c>
      <c r="I203" s="40"/>
    </row>
    <row r="204" ht="12.75" customHeight="1">
      <c r="A204" s="40" t="s">
        <v>323</v>
      </c>
      <c r="B204" s="41">
        <v>20.0</v>
      </c>
      <c r="C204" s="42">
        <v>256.25</v>
      </c>
      <c r="D204" s="42">
        <v>0.0</v>
      </c>
      <c r="E204" s="42">
        <f t="shared" si="11"/>
        <v>256.25</v>
      </c>
      <c r="I204" s="40"/>
    </row>
    <row r="205" ht="12.75" customHeight="1">
      <c r="A205" s="51" t="s">
        <v>324</v>
      </c>
      <c r="B205" s="41">
        <v>20.0</v>
      </c>
      <c r="C205" s="42">
        <v>256.25</v>
      </c>
      <c r="D205" s="42">
        <v>0.0</v>
      </c>
      <c r="E205" s="42">
        <f t="shared" si="11"/>
        <v>256.25</v>
      </c>
      <c r="I205" s="40"/>
    </row>
    <row r="206" ht="12.75" customHeight="1">
      <c r="A206" s="51" t="s">
        <v>325</v>
      </c>
      <c r="B206" s="41">
        <v>20.0</v>
      </c>
      <c r="C206" s="42">
        <v>256.25</v>
      </c>
      <c r="D206" s="42">
        <v>0.0</v>
      </c>
      <c r="E206" s="42">
        <f t="shared" si="11"/>
        <v>256.25</v>
      </c>
      <c r="I206" s="40"/>
    </row>
    <row r="207" ht="12.75" customHeight="1">
      <c r="A207" s="51" t="s">
        <v>326</v>
      </c>
      <c r="B207" s="41">
        <v>20.0</v>
      </c>
      <c r="C207" s="42">
        <v>256.25</v>
      </c>
      <c r="D207" s="42">
        <v>0.0</v>
      </c>
      <c r="E207" s="42">
        <f t="shared" si="11"/>
        <v>256.25</v>
      </c>
      <c r="I207" s="40"/>
    </row>
    <row r="208" ht="12.75" customHeight="1">
      <c r="A208" s="83" t="s">
        <v>327</v>
      </c>
      <c r="B208" s="77">
        <v>22.0</v>
      </c>
      <c r="C208" s="92">
        <v>59.9</v>
      </c>
      <c r="D208" s="79">
        <v>0.0</v>
      </c>
      <c r="E208" s="79">
        <f t="shared" si="11"/>
        <v>59.9</v>
      </c>
      <c r="I208" s="76" t="s">
        <v>328</v>
      </c>
    </row>
    <row r="209" ht="12.75" customHeight="1">
      <c r="A209" s="83" t="s">
        <v>329</v>
      </c>
      <c r="B209" s="77">
        <v>22.0</v>
      </c>
      <c r="C209" s="78">
        <v>1358.87</v>
      </c>
      <c r="D209" s="79">
        <v>0.0</v>
      </c>
      <c r="E209" s="79">
        <f t="shared" si="11"/>
        <v>1358.87</v>
      </c>
      <c r="I209" s="76" t="s">
        <v>277</v>
      </c>
    </row>
    <row r="210" ht="12.75" customHeight="1">
      <c r="A210" s="40" t="s">
        <v>330</v>
      </c>
      <c r="B210" s="41">
        <v>23.0</v>
      </c>
      <c r="C210" s="45">
        <v>6000.0</v>
      </c>
      <c r="D210" s="42">
        <v>0.0</v>
      </c>
      <c r="E210" s="45">
        <v>0.0</v>
      </c>
      <c r="I210" s="40"/>
    </row>
    <row r="211" ht="12.75" customHeight="1">
      <c r="A211" s="51" t="s">
        <v>331</v>
      </c>
      <c r="B211" s="41">
        <v>11.0</v>
      </c>
      <c r="C211" s="45">
        <v>6000.0</v>
      </c>
      <c r="D211" s="42">
        <v>0.0</v>
      </c>
      <c r="E211" s="45">
        <v>0.0</v>
      </c>
      <c r="I211" s="40"/>
    </row>
    <row r="212" ht="12.75" customHeight="1">
      <c r="A212" s="51" t="s">
        <v>332</v>
      </c>
      <c r="B212" s="41">
        <v>25.0</v>
      </c>
      <c r="C212" s="42">
        <v>800.0</v>
      </c>
      <c r="D212" s="42">
        <v>0.0</v>
      </c>
      <c r="E212" s="42">
        <f t="shared" ref="E212:E217" si="12">C212-D212</f>
        <v>800</v>
      </c>
      <c r="I212" s="40"/>
    </row>
    <row r="213" ht="14.25" customHeight="1">
      <c r="A213" s="51" t="s">
        <v>333</v>
      </c>
      <c r="B213" s="41">
        <v>25.0</v>
      </c>
      <c r="C213" s="42">
        <v>800.0</v>
      </c>
      <c r="D213" s="42">
        <v>0.0</v>
      </c>
      <c r="E213" s="42">
        <f t="shared" si="12"/>
        <v>800</v>
      </c>
      <c r="I213" s="51"/>
    </row>
    <row r="214" ht="14.25" customHeight="1">
      <c r="A214" s="51" t="s">
        <v>334</v>
      </c>
      <c r="B214" s="41">
        <v>25.0</v>
      </c>
      <c r="C214" s="42">
        <v>800.0</v>
      </c>
      <c r="D214" s="42">
        <v>0.0</v>
      </c>
      <c r="E214" s="42">
        <f t="shared" si="12"/>
        <v>800</v>
      </c>
      <c r="I214" s="51"/>
    </row>
    <row r="215" ht="14.25" customHeight="1">
      <c r="A215" s="83" t="s">
        <v>335</v>
      </c>
      <c r="B215" s="77">
        <v>25.0</v>
      </c>
      <c r="C215" s="78">
        <v>5908.7</v>
      </c>
      <c r="D215" s="79">
        <v>0.0</v>
      </c>
      <c r="E215" s="79">
        <f t="shared" si="12"/>
        <v>5908.7</v>
      </c>
      <c r="I215" s="76" t="s">
        <v>336</v>
      </c>
    </row>
    <row r="216" ht="14.25" customHeight="1">
      <c r="A216" s="76" t="s">
        <v>337</v>
      </c>
      <c r="B216" s="77">
        <v>30.0</v>
      </c>
      <c r="C216" s="79">
        <v>5851.19</v>
      </c>
      <c r="D216" s="79">
        <v>0.0</v>
      </c>
      <c r="E216" s="79">
        <f t="shared" si="12"/>
        <v>5851.19</v>
      </c>
      <c r="I216" s="76" t="s">
        <v>205</v>
      </c>
    </row>
    <row r="217" ht="14.25" customHeight="1">
      <c r="A217" s="76" t="s">
        <v>338</v>
      </c>
      <c r="B217" s="77">
        <v>22.0</v>
      </c>
      <c r="C217" s="78">
        <v>180.0</v>
      </c>
      <c r="D217" s="79">
        <v>0.0</v>
      </c>
      <c r="E217" s="79">
        <f t="shared" si="12"/>
        <v>180</v>
      </c>
      <c r="I217" s="76" t="s">
        <v>328</v>
      </c>
    </row>
    <row r="218" ht="14.25" customHeight="1">
      <c r="A218" s="40" t="s">
        <v>339</v>
      </c>
      <c r="B218" s="41"/>
      <c r="C218" s="42"/>
      <c r="D218" s="42">
        <v>0.0</v>
      </c>
      <c r="E218" s="42"/>
      <c r="I218" s="40"/>
    </row>
    <row r="219" ht="14.25" customHeight="1">
      <c r="A219" s="40"/>
      <c r="B219" s="41"/>
      <c r="C219" s="42"/>
      <c r="D219" s="42"/>
      <c r="E219" s="42"/>
      <c r="I219" s="40"/>
    </row>
    <row r="220" ht="14.25" customHeight="1">
      <c r="A220" s="34" t="s">
        <v>340</v>
      </c>
      <c r="B220" s="35"/>
      <c r="C220" s="35"/>
      <c r="D220" s="35"/>
      <c r="E220" s="35"/>
      <c r="F220" s="35"/>
      <c r="G220" s="35"/>
      <c r="H220" s="35"/>
      <c r="I220" s="36"/>
    </row>
    <row r="221" ht="14.25" customHeight="1">
      <c r="A221" s="76" t="s">
        <v>341</v>
      </c>
      <c r="B221" s="94"/>
      <c r="C221" s="78">
        <v>757.85</v>
      </c>
      <c r="D221" s="79">
        <v>0.0</v>
      </c>
      <c r="E221" s="79">
        <f t="shared" ref="E221:E237" si="13">C221-D221</f>
        <v>757.85</v>
      </c>
      <c r="F221" s="114">
        <f>SUM(E221:E237)</f>
        <v>17817.84</v>
      </c>
      <c r="G221" s="114">
        <f>E221+E222+E223+E224+E225+E229+E230+E231+E232+E233+E234+E235+E236+E228+E226+E227</f>
        <v>17201.7</v>
      </c>
      <c r="H221" s="114">
        <f>G221-F221</f>
        <v>-616.14</v>
      </c>
      <c r="I221" s="76" t="s">
        <v>342</v>
      </c>
    </row>
    <row r="222" ht="14.25" customHeight="1">
      <c r="A222" s="76" t="s">
        <v>343</v>
      </c>
      <c r="B222" s="94">
        <v>11.0</v>
      </c>
      <c r="C222" s="78">
        <v>616.14</v>
      </c>
      <c r="D222" s="79">
        <v>0.0</v>
      </c>
      <c r="E222" s="79">
        <f t="shared" si="13"/>
        <v>616.14</v>
      </c>
      <c r="I222" s="76" t="s">
        <v>155</v>
      </c>
    </row>
    <row r="223" ht="14.25" customHeight="1">
      <c r="A223" s="76" t="s">
        <v>344</v>
      </c>
      <c r="B223" s="77"/>
      <c r="C223" s="79">
        <f>1938.33+141.16</f>
        <v>2079.49</v>
      </c>
      <c r="D223" s="79">
        <v>0.0</v>
      </c>
      <c r="E223" s="79">
        <f t="shared" si="13"/>
        <v>2079.49</v>
      </c>
      <c r="I223" s="76" t="s">
        <v>345</v>
      </c>
    </row>
    <row r="224" ht="14.25" customHeight="1">
      <c r="A224" s="76" t="s">
        <v>346</v>
      </c>
      <c r="B224" s="77"/>
      <c r="C224" s="79">
        <f>1938.33+96.37</f>
        <v>2034.7</v>
      </c>
      <c r="D224" s="79">
        <v>0.0</v>
      </c>
      <c r="E224" s="79">
        <f t="shared" si="13"/>
        <v>2034.7</v>
      </c>
      <c r="I224" s="76" t="s">
        <v>347</v>
      </c>
    </row>
    <row r="225" ht="14.25" customHeight="1">
      <c r="A225" s="76" t="s">
        <v>348</v>
      </c>
      <c r="B225" s="77"/>
      <c r="C225" s="78">
        <f>2522.55+68.93</f>
        <v>2591.48</v>
      </c>
      <c r="D225" s="79">
        <v>0.0</v>
      </c>
      <c r="E225" s="79">
        <f t="shared" si="13"/>
        <v>2591.48</v>
      </c>
      <c r="I225" s="76" t="s">
        <v>250</v>
      </c>
    </row>
    <row r="226" ht="14.25" customHeight="1">
      <c r="A226" s="76" t="s">
        <v>349</v>
      </c>
      <c r="B226" s="94">
        <v>7.0</v>
      </c>
      <c r="C226" s="78">
        <v>2589.8</v>
      </c>
      <c r="D226" s="79">
        <v>0.0</v>
      </c>
      <c r="E226" s="79">
        <f t="shared" si="13"/>
        <v>2589.8</v>
      </c>
      <c r="I226" s="76" t="s">
        <v>262</v>
      </c>
    </row>
    <row r="227" ht="14.25" customHeight="1">
      <c r="A227" s="76" t="s">
        <v>350</v>
      </c>
      <c r="B227" s="94">
        <v>8.0</v>
      </c>
      <c r="C227" s="78">
        <v>1731.98</v>
      </c>
      <c r="D227" s="78">
        <v>0.0</v>
      </c>
      <c r="E227" s="79">
        <f t="shared" si="13"/>
        <v>1731.98</v>
      </c>
      <c r="I227" s="76" t="s">
        <v>351</v>
      </c>
    </row>
    <row r="228" ht="14.25" customHeight="1">
      <c r="A228" s="76" t="s">
        <v>352</v>
      </c>
      <c r="B228" s="94"/>
      <c r="C228" s="78">
        <v>413.49</v>
      </c>
      <c r="D228" s="78">
        <v>0.0</v>
      </c>
      <c r="E228" s="79">
        <f t="shared" si="13"/>
        <v>413.49</v>
      </c>
      <c r="I228" s="76" t="s">
        <v>353</v>
      </c>
    </row>
    <row r="229" ht="14.25" customHeight="1">
      <c r="A229" s="76" t="s">
        <v>354</v>
      </c>
      <c r="B229" s="94">
        <v>12.0</v>
      </c>
      <c r="C229" s="78">
        <v>163.6</v>
      </c>
      <c r="D229" s="79">
        <v>0.0</v>
      </c>
      <c r="E229" s="79">
        <f t="shared" si="13"/>
        <v>163.6</v>
      </c>
      <c r="I229" s="76" t="s">
        <v>155</v>
      </c>
    </row>
    <row r="230" ht="14.25" customHeight="1">
      <c r="A230" s="76" t="s">
        <v>355</v>
      </c>
      <c r="B230" s="94">
        <v>13.0</v>
      </c>
      <c r="C230" s="78">
        <v>584.56</v>
      </c>
      <c r="D230" s="78">
        <v>0.0</v>
      </c>
      <c r="E230" s="79">
        <f t="shared" si="13"/>
        <v>584.56</v>
      </c>
      <c r="I230" s="76" t="s">
        <v>356</v>
      </c>
    </row>
    <row r="231" ht="14.25" customHeight="1">
      <c r="A231" s="76" t="s">
        <v>357</v>
      </c>
      <c r="B231" s="77">
        <v>19.0</v>
      </c>
      <c r="C231" s="78">
        <v>336.0</v>
      </c>
      <c r="D231" s="79">
        <v>0.0</v>
      </c>
      <c r="E231" s="79">
        <f t="shared" si="13"/>
        <v>336</v>
      </c>
      <c r="I231" s="76" t="s">
        <v>358</v>
      </c>
    </row>
    <row r="232" ht="14.25" customHeight="1">
      <c r="A232" s="76" t="s">
        <v>359</v>
      </c>
      <c r="B232" s="94">
        <v>19.0</v>
      </c>
      <c r="C232" s="78">
        <v>30.0</v>
      </c>
      <c r="D232" s="78">
        <v>0.0</v>
      </c>
      <c r="E232" s="79">
        <f t="shared" si="13"/>
        <v>30</v>
      </c>
      <c r="I232" s="76" t="s">
        <v>358</v>
      </c>
    </row>
    <row r="233" ht="14.25" customHeight="1">
      <c r="A233" s="76" t="s">
        <v>360</v>
      </c>
      <c r="B233" s="77">
        <v>19.0</v>
      </c>
      <c r="C233" s="78">
        <v>405.58</v>
      </c>
      <c r="D233" s="79">
        <v>0.0</v>
      </c>
      <c r="E233" s="79">
        <f t="shared" si="13"/>
        <v>405.58</v>
      </c>
      <c r="I233" s="76" t="s">
        <v>361</v>
      </c>
    </row>
    <row r="234" ht="14.25" customHeight="1">
      <c r="A234" s="76" t="s">
        <v>362</v>
      </c>
      <c r="B234" s="77">
        <v>19.0</v>
      </c>
      <c r="C234" s="78">
        <v>405.58</v>
      </c>
      <c r="D234" s="79">
        <v>0.0</v>
      </c>
      <c r="E234" s="79">
        <f t="shared" si="13"/>
        <v>405.58</v>
      </c>
      <c r="I234" s="76" t="s">
        <v>363</v>
      </c>
    </row>
    <row r="235" ht="14.25" customHeight="1">
      <c r="A235" s="76" t="s">
        <v>364</v>
      </c>
      <c r="B235" s="94">
        <v>17.0</v>
      </c>
      <c r="C235" s="78">
        <v>773.89</v>
      </c>
      <c r="D235" s="79">
        <v>0.0</v>
      </c>
      <c r="E235" s="79">
        <f t="shared" si="13"/>
        <v>773.89</v>
      </c>
      <c r="I235" s="76" t="s">
        <v>365</v>
      </c>
    </row>
    <row r="236" ht="14.25" customHeight="1">
      <c r="A236" s="76" t="s">
        <v>366</v>
      </c>
      <c r="B236" s="94">
        <v>22.0</v>
      </c>
      <c r="C236" s="78">
        <v>1687.56</v>
      </c>
      <c r="D236" s="78">
        <v>0.0</v>
      </c>
      <c r="E236" s="79">
        <f t="shared" si="13"/>
        <v>1687.56</v>
      </c>
      <c r="I236" s="76" t="s">
        <v>367</v>
      </c>
    </row>
    <row r="237" ht="14.25" customHeight="1">
      <c r="A237" s="51" t="s">
        <v>368</v>
      </c>
      <c r="B237" s="62">
        <v>31.0</v>
      </c>
      <c r="C237" s="45">
        <v>616.14</v>
      </c>
      <c r="D237" s="42">
        <v>0.0</v>
      </c>
      <c r="E237" s="42">
        <f t="shared" si="13"/>
        <v>616.14</v>
      </c>
      <c r="I237" s="40"/>
    </row>
    <row r="238" ht="14.25" customHeight="1">
      <c r="A238" s="40"/>
      <c r="B238" s="41"/>
      <c r="C238" s="42"/>
      <c r="D238" s="42"/>
      <c r="E238" s="42"/>
      <c r="I238" s="40"/>
    </row>
    <row r="239" ht="14.25" customHeight="1">
      <c r="A239" s="34" t="s">
        <v>369</v>
      </c>
      <c r="B239" s="35"/>
      <c r="C239" s="35"/>
      <c r="D239" s="35"/>
      <c r="E239" s="35"/>
      <c r="F239" s="35"/>
      <c r="G239" s="35"/>
      <c r="H239" s="35"/>
      <c r="I239" s="36"/>
    </row>
    <row r="240" ht="12.75" customHeight="1">
      <c r="A240" s="115" t="s">
        <v>370</v>
      </c>
      <c r="B240" s="77"/>
      <c r="C240" s="78">
        <v>120.0</v>
      </c>
      <c r="D240" s="78">
        <v>0.0</v>
      </c>
      <c r="E240" s="79">
        <f t="shared" ref="E240:E256" si="14">C240-D240</f>
        <v>120</v>
      </c>
      <c r="F240" s="100">
        <f>SUM(E240:E285)</f>
        <v>7758.63</v>
      </c>
      <c r="G240" s="100">
        <f>E240+E241+E242+E243+E244+E245+E246+E247+E248+E249+E250+E251+E252+E253+E254+E256</f>
        <v>5624.63</v>
      </c>
      <c r="H240" s="100">
        <f>G240-F240</f>
        <v>-2134</v>
      </c>
      <c r="I240" s="76" t="s">
        <v>371</v>
      </c>
    </row>
    <row r="241" ht="12.75" customHeight="1">
      <c r="A241" s="115" t="s">
        <v>372</v>
      </c>
      <c r="B241" s="77"/>
      <c r="C241" s="78">
        <v>150.0</v>
      </c>
      <c r="D241" s="78">
        <v>0.0</v>
      </c>
      <c r="E241" s="79">
        <f t="shared" si="14"/>
        <v>150</v>
      </c>
      <c r="I241" s="76" t="s">
        <v>190</v>
      </c>
    </row>
    <row r="242" ht="12.75" customHeight="1">
      <c r="A242" s="76" t="s">
        <v>373</v>
      </c>
      <c r="B242" s="77"/>
      <c r="C242" s="78">
        <v>700.0</v>
      </c>
      <c r="D242" s="78">
        <v>0.0</v>
      </c>
      <c r="E242" s="79">
        <f t="shared" si="14"/>
        <v>700</v>
      </c>
      <c r="I242" s="76" t="s">
        <v>198</v>
      </c>
    </row>
    <row r="243" ht="12.75" customHeight="1">
      <c r="A243" s="76" t="s">
        <v>374</v>
      </c>
      <c r="B243" s="77"/>
      <c r="C243" s="78">
        <v>30.0</v>
      </c>
      <c r="D243" s="78">
        <v>0.0</v>
      </c>
      <c r="E243" s="79">
        <f t="shared" si="14"/>
        <v>30</v>
      </c>
      <c r="I243" s="76" t="s">
        <v>375</v>
      </c>
    </row>
    <row r="244" ht="15.0" customHeight="1">
      <c r="A244" s="76" t="s">
        <v>376</v>
      </c>
      <c r="B244" s="77"/>
      <c r="C244" s="78">
        <v>89.9</v>
      </c>
      <c r="D244" s="78">
        <v>0.0</v>
      </c>
      <c r="E244" s="79">
        <f t="shared" si="14"/>
        <v>89.9</v>
      </c>
      <c r="I244" s="76" t="s">
        <v>377</v>
      </c>
    </row>
    <row r="245" ht="15.0" customHeight="1">
      <c r="A245" s="76" t="s">
        <v>378</v>
      </c>
      <c r="B245" s="77"/>
      <c r="C245" s="78">
        <v>44.0</v>
      </c>
      <c r="D245" s="78">
        <v>0.0</v>
      </c>
      <c r="E245" s="79">
        <f t="shared" si="14"/>
        <v>44</v>
      </c>
      <c r="I245" s="76" t="s">
        <v>379</v>
      </c>
    </row>
    <row r="246" ht="15.75" customHeight="1">
      <c r="A246" s="76" t="s">
        <v>380</v>
      </c>
      <c r="B246" s="77"/>
      <c r="C246" s="78">
        <v>91.0</v>
      </c>
      <c r="D246" s="78">
        <v>0.0</v>
      </c>
      <c r="E246" s="79">
        <f t="shared" si="14"/>
        <v>91</v>
      </c>
      <c r="I246" s="76" t="s">
        <v>381</v>
      </c>
    </row>
    <row r="247" ht="12.75" customHeight="1">
      <c r="A247" s="76" t="s">
        <v>382</v>
      </c>
      <c r="B247" s="77"/>
      <c r="C247" s="78">
        <v>55.0</v>
      </c>
      <c r="D247" s="78">
        <v>0.0</v>
      </c>
      <c r="E247" s="79">
        <f t="shared" si="14"/>
        <v>55</v>
      </c>
      <c r="I247" s="76" t="s">
        <v>316</v>
      </c>
    </row>
    <row r="248" ht="12.75" customHeight="1">
      <c r="A248" s="76" t="s">
        <v>383</v>
      </c>
      <c r="B248" s="77"/>
      <c r="C248" s="78">
        <v>350.0</v>
      </c>
      <c r="D248" s="78">
        <v>0.0</v>
      </c>
      <c r="E248" s="79">
        <f t="shared" si="14"/>
        <v>350</v>
      </c>
      <c r="I248" s="76" t="s">
        <v>266</v>
      </c>
    </row>
    <row r="249" ht="12.75" customHeight="1">
      <c r="A249" s="76" t="s">
        <v>384</v>
      </c>
      <c r="B249" s="77"/>
      <c r="C249" s="78">
        <v>2874.6</v>
      </c>
      <c r="D249" s="78">
        <v>0.0</v>
      </c>
      <c r="E249" s="79">
        <f t="shared" si="14"/>
        <v>2874.6</v>
      </c>
      <c r="I249" s="76" t="s">
        <v>336</v>
      </c>
    </row>
    <row r="250" ht="12.75" customHeight="1">
      <c r="A250" s="110" t="s">
        <v>385</v>
      </c>
      <c r="B250" s="77"/>
      <c r="C250" s="78">
        <v>166.67</v>
      </c>
      <c r="D250" s="78">
        <v>0.0</v>
      </c>
      <c r="E250" s="79">
        <f t="shared" si="14"/>
        <v>166.67</v>
      </c>
      <c r="I250" s="76" t="s">
        <v>386</v>
      </c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</row>
    <row r="251" ht="12.75" customHeight="1">
      <c r="A251" s="110" t="s">
        <v>387</v>
      </c>
      <c r="B251" s="77"/>
      <c r="C251" s="78">
        <v>166.67</v>
      </c>
      <c r="D251" s="78">
        <v>0.0</v>
      </c>
      <c r="E251" s="79">
        <f t="shared" si="14"/>
        <v>166.67</v>
      </c>
      <c r="I251" s="76" t="s">
        <v>351</v>
      </c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</row>
    <row r="252" ht="12.75" customHeight="1">
      <c r="A252" s="110" t="s">
        <v>388</v>
      </c>
      <c r="B252" s="77"/>
      <c r="C252" s="78">
        <v>166.67</v>
      </c>
      <c r="D252" s="78">
        <v>0.0</v>
      </c>
      <c r="E252" s="79">
        <f t="shared" si="14"/>
        <v>166.67</v>
      </c>
      <c r="I252" s="76" t="s">
        <v>389</v>
      </c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</row>
    <row r="253" ht="12.75" customHeight="1">
      <c r="A253" s="110" t="s">
        <v>390</v>
      </c>
      <c r="B253" s="77"/>
      <c r="C253" s="78">
        <v>166.67</v>
      </c>
      <c r="D253" s="78">
        <v>0.0</v>
      </c>
      <c r="E253" s="79">
        <f t="shared" si="14"/>
        <v>166.67</v>
      </c>
      <c r="I253" s="76" t="s">
        <v>391</v>
      </c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</row>
    <row r="254" ht="12.75" customHeight="1">
      <c r="A254" s="110" t="s">
        <v>392</v>
      </c>
      <c r="B254" s="77"/>
      <c r="C254" s="78">
        <v>166.67</v>
      </c>
      <c r="D254" s="78">
        <v>0.0</v>
      </c>
      <c r="E254" s="79">
        <f t="shared" si="14"/>
        <v>166.67</v>
      </c>
      <c r="I254" s="76" t="s">
        <v>262</v>
      </c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</row>
    <row r="255" ht="12.75" customHeight="1">
      <c r="A255" s="51" t="s">
        <v>393</v>
      </c>
      <c r="B255" s="41"/>
      <c r="C255" s="45">
        <v>2134.0</v>
      </c>
      <c r="D255" s="45">
        <v>0.0</v>
      </c>
      <c r="E255" s="42">
        <f t="shared" si="14"/>
        <v>2134</v>
      </c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</row>
    <row r="256" ht="12.75" customHeight="1">
      <c r="A256" s="76" t="s">
        <v>394</v>
      </c>
      <c r="B256" s="94">
        <v>29.0</v>
      </c>
      <c r="C256" s="78">
        <v>286.78</v>
      </c>
      <c r="D256" s="78">
        <v>0.0</v>
      </c>
      <c r="E256" s="79">
        <f t="shared" si="14"/>
        <v>286.78</v>
      </c>
      <c r="I256" s="76" t="s">
        <v>395</v>
      </c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</row>
    <row r="257" ht="12.75" customHeight="1">
      <c r="A257" s="40"/>
      <c r="B257" s="41"/>
      <c r="C257" s="42"/>
      <c r="D257" s="42"/>
      <c r="E257" s="42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</row>
    <row r="258" ht="12.75" customHeight="1">
      <c r="A258" s="40"/>
      <c r="B258" s="41"/>
      <c r="C258" s="42"/>
      <c r="D258" s="42"/>
      <c r="E258" s="42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</row>
    <row r="259" ht="12.75" customHeight="1">
      <c r="A259" s="40"/>
      <c r="B259" s="41"/>
      <c r="C259" s="42"/>
      <c r="D259" s="42"/>
      <c r="E259" s="42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</row>
    <row r="260" ht="12.75" customHeight="1">
      <c r="A260" s="40"/>
      <c r="B260" s="41"/>
      <c r="C260" s="42"/>
      <c r="D260" s="42"/>
      <c r="E260" s="42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</row>
    <row r="261" ht="15.0" customHeight="1">
      <c r="A261" s="40"/>
      <c r="B261" s="41"/>
      <c r="C261" s="42"/>
      <c r="D261" s="42"/>
      <c r="E261" s="42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</row>
    <row r="262" ht="12.75" customHeight="1">
      <c r="A262" s="40"/>
      <c r="B262" s="41"/>
      <c r="C262" s="42"/>
      <c r="D262" s="42"/>
      <c r="E262" s="42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</row>
    <row r="263" ht="12.75" customHeight="1">
      <c r="A263" s="40"/>
      <c r="B263" s="41"/>
      <c r="C263" s="42"/>
      <c r="D263" s="42"/>
      <c r="E263" s="42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</row>
    <row r="264" ht="12.75" customHeight="1">
      <c r="A264" s="40"/>
      <c r="B264" s="41"/>
      <c r="C264" s="42"/>
      <c r="D264" s="42"/>
      <c r="E264" s="42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</row>
    <row r="265" ht="12.75" customHeight="1">
      <c r="A265" s="40"/>
      <c r="B265" s="41"/>
      <c r="C265" s="42"/>
      <c r="D265" s="42"/>
      <c r="E265" s="42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</row>
    <row r="266" ht="12.75" customHeight="1">
      <c r="A266" s="40"/>
      <c r="B266" s="41"/>
      <c r="C266" s="42"/>
      <c r="D266" s="42"/>
      <c r="E266" s="42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</row>
    <row r="267" ht="12.75" customHeight="1">
      <c r="A267" s="40"/>
      <c r="B267" s="41"/>
      <c r="C267" s="42"/>
      <c r="D267" s="42"/>
      <c r="E267" s="42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</row>
    <row r="268" ht="12.75" customHeight="1">
      <c r="A268" s="40"/>
      <c r="B268" s="41"/>
      <c r="C268" s="42"/>
      <c r="D268" s="42"/>
      <c r="E268" s="42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</row>
    <row r="269" ht="12.75" customHeight="1">
      <c r="A269" s="40"/>
      <c r="B269" s="41"/>
      <c r="C269" s="42"/>
      <c r="D269" s="42"/>
      <c r="E269" s="42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</row>
    <row r="270" ht="12.75" customHeight="1">
      <c r="A270" s="40"/>
      <c r="B270" s="41"/>
      <c r="C270" s="42"/>
      <c r="D270" s="42"/>
      <c r="E270" s="42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</row>
    <row r="271" ht="12.75" customHeight="1">
      <c r="A271" s="40"/>
      <c r="B271" s="41"/>
      <c r="C271" s="42"/>
      <c r="D271" s="42"/>
      <c r="E271" s="42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</row>
    <row r="272" ht="12.75" customHeight="1">
      <c r="A272" s="40"/>
      <c r="B272" s="41"/>
      <c r="C272" s="42"/>
      <c r="D272" s="42"/>
      <c r="E272" s="42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</row>
    <row r="273" ht="12.75" customHeight="1">
      <c r="A273" s="40"/>
      <c r="B273" s="41"/>
      <c r="C273" s="42"/>
      <c r="D273" s="42"/>
      <c r="E273" s="42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</row>
    <row r="274" ht="12.75" customHeight="1">
      <c r="A274" s="40"/>
      <c r="B274" s="41"/>
      <c r="C274" s="42"/>
      <c r="D274" s="42"/>
      <c r="E274" s="42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</row>
    <row r="275" ht="12.75" customHeight="1">
      <c r="A275" s="40"/>
      <c r="B275" s="41"/>
      <c r="C275" s="42"/>
      <c r="D275" s="42"/>
      <c r="E275" s="42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</row>
    <row r="276" ht="12.75" customHeight="1">
      <c r="A276" s="40"/>
      <c r="B276" s="41"/>
      <c r="C276" s="42"/>
      <c r="D276" s="42"/>
      <c r="E276" s="42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</row>
    <row r="277" ht="12.75" customHeight="1">
      <c r="A277" s="40"/>
      <c r="B277" s="41"/>
      <c r="C277" s="42"/>
      <c r="D277" s="42"/>
      <c r="E277" s="42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</row>
    <row r="278" ht="12.75" customHeight="1">
      <c r="A278" s="40"/>
      <c r="B278" s="41"/>
      <c r="C278" s="42"/>
      <c r="D278" s="42"/>
      <c r="E278" s="42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</row>
    <row r="279" ht="12.0" customHeight="1">
      <c r="A279" s="40"/>
      <c r="B279" s="41"/>
      <c r="C279" s="42"/>
      <c r="D279" s="42"/>
      <c r="E279" s="42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</row>
    <row r="280" ht="12.0" customHeight="1">
      <c r="A280" s="40"/>
      <c r="B280" s="41"/>
      <c r="C280" s="42"/>
      <c r="D280" s="42"/>
      <c r="E280" s="42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</row>
    <row r="281" ht="12.0" customHeight="1">
      <c r="A281" s="40"/>
      <c r="B281" s="41"/>
      <c r="C281" s="42"/>
      <c r="D281" s="42"/>
      <c r="E281" s="42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</row>
    <row r="282" ht="12.0" customHeight="1">
      <c r="A282" s="40"/>
      <c r="B282" s="41"/>
      <c r="C282" s="42"/>
      <c r="D282" s="42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</row>
    <row r="283" ht="12.0" customHeight="1">
      <c r="A283" s="40"/>
      <c r="B283" s="41"/>
      <c r="C283" s="42"/>
      <c r="D283" s="42"/>
      <c r="E283" s="42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</row>
    <row r="284" ht="12.0" customHeight="1">
      <c r="A284" s="40"/>
      <c r="B284" s="41"/>
      <c r="C284" s="42"/>
      <c r="D284" s="42"/>
      <c r="E284" s="42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</row>
    <row r="285" ht="18.75" customHeight="1">
      <c r="A285" s="40"/>
      <c r="B285" s="41"/>
      <c r="C285" s="42"/>
      <c r="D285" s="42"/>
      <c r="E285" s="42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</row>
    <row r="286" ht="12.75" customHeight="1">
      <c r="A286" s="40"/>
      <c r="B286" s="41"/>
      <c r="C286" s="42"/>
      <c r="D286" s="42"/>
      <c r="E286" s="42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</row>
    <row r="287" ht="12.75" customHeight="1">
      <c r="A287" s="116" t="s">
        <v>396</v>
      </c>
      <c r="B287" s="9"/>
      <c r="C287" s="9"/>
      <c r="D287" s="10"/>
      <c r="E287" s="117">
        <f t="shared" ref="E287:H287" si="15">SUM(E4:E286)</f>
        <v>185937.82</v>
      </c>
      <c r="F287" s="118">
        <f t="shared" si="15"/>
        <v>185937.82</v>
      </c>
      <c r="G287" s="118">
        <f t="shared" si="15"/>
        <v>161119.46</v>
      </c>
      <c r="H287" s="118">
        <f t="shared" si="15"/>
        <v>-24818.36</v>
      </c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</row>
    <row r="288" ht="14.25" customHeight="1">
      <c r="A288" s="40"/>
      <c r="B288" s="40"/>
      <c r="C288" s="40"/>
      <c r="D288" s="42"/>
      <c r="E288" s="42"/>
      <c r="F288" s="42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</row>
    <row r="289" ht="23.25" customHeight="1">
      <c r="G289" s="119">
        <f>G287*100/E287</f>
        <v>86.65233356</v>
      </c>
    </row>
    <row r="290" ht="14.25" customHeight="1">
      <c r="G290" s="120"/>
    </row>
    <row r="291" ht="23.25" customHeight="1">
      <c r="A291" s="18"/>
      <c r="B291" s="18"/>
      <c r="C291" s="18"/>
      <c r="D291" s="121" t="s">
        <v>397</v>
      </c>
      <c r="G291" s="121" t="s">
        <v>398</v>
      </c>
      <c r="H291" s="121" t="s">
        <v>399</v>
      </c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</row>
    <row r="292" ht="18.0" customHeight="1">
      <c r="D292" s="18" t="s">
        <v>400</v>
      </c>
      <c r="E292" s="122">
        <f>F4</f>
        <v>12433.36</v>
      </c>
      <c r="G292" s="123">
        <v>18000.0</v>
      </c>
      <c r="H292" s="124">
        <v>40000.0</v>
      </c>
      <c r="I292" s="125">
        <f t="shared" ref="I292:I298" si="16">H292-G292</f>
        <v>22000</v>
      </c>
    </row>
    <row r="293" ht="19.5" customHeight="1">
      <c r="D293" s="18" t="s">
        <v>401</v>
      </c>
      <c r="E293" s="122">
        <f>F26</f>
        <v>2337.68</v>
      </c>
      <c r="G293" s="126">
        <v>2338.0</v>
      </c>
      <c r="H293" s="125"/>
      <c r="I293" s="125">
        <f t="shared" si="16"/>
        <v>-2338</v>
      </c>
    </row>
    <row r="294" ht="18.75" customHeight="1">
      <c r="D294" s="18" t="s">
        <v>402</v>
      </c>
      <c r="E294" s="122">
        <f>F42</f>
        <v>26046.61</v>
      </c>
      <c r="G294" s="126">
        <v>26318.0</v>
      </c>
      <c r="H294" s="124">
        <v>44000.0</v>
      </c>
      <c r="I294" s="125">
        <f t="shared" si="16"/>
        <v>17682</v>
      </c>
    </row>
    <row r="295" ht="18.75" customHeight="1">
      <c r="D295" s="18" t="s">
        <v>403</v>
      </c>
      <c r="E295" s="122">
        <f>F72</f>
        <v>12554.09</v>
      </c>
      <c r="G295" s="126">
        <v>11320.0</v>
      </c>
      <c r="H295" s="124">
        <v>26000.0</v>
      </c>
      <c r="I295" s="125">
        <f t="shared" si="16"/>
        <v>14680</v>
      </c>
    </row>
    <row r="296" ht="19.5" customHeight="1">
      <c r="D296" s="18" t="s">
        <v>17</v>
      </c>
      <c r="E296" s="122">
        <f>F93</f>
        <v>9450.29</v>
      </c>
      <c r="G296" s="126">
        <v>9640.0</v>
      </c>
      <c r="H296" s="124">
        <v>21000.0</v>
      </c>
      <c r="I296" s="125">
        <f t="shared" si="16"/>
        <v>11360</v>
      </c>
    </row>
    <row r="297" ht="21.75" customHeight="1">
      <c r="D297" s="18" t="s">
        <v>14</v>
      </c>
      <c r="E297" s="122">
        <f>F113</f>
        <v>7054.44</v>
      </c>
      <c r="G297" s="126">
        <v>8706.0</v>
      </c>
      <c r="H297" s="124">
        <v>22000.0</v>
      </c>
      <c r="I297" s="125">
        <f t="shared" si="16"/>
        <v>13294</v>
      </c>
    </row>
    <row r="298" ht="21.0" customHeight="1">
      <c r="D298" s="18" t="s">
        <v>20</v>
      </c>
      <c r="E298" s="122">
        <f>F129</f>
        <v>18455.73</v>
      </c>
      <c r="G298" s="126">
        <v>18640.0</v>
      </c>
      <c r="H298" s="124">
        <v>64000.0</v>
      </c>
      <c r="I298" s="125">
        <f t="shared" si="16"/>
        <v>45360</v>
      </c>
    </row>
    <row r="299" ht="21.0" customHeight="1">
      <c r="D299" s="18" t="s">
        <v>404</v>
      </c>
      <c r="E299" s="122">
        <f>F152</f>
        <v>1339.19</v>
      </c>
      <c r="G299" s="126">
        <v>0.0</v>
      </c>
      <c r="H299" s="125"/>
    </row>
    <row r="300" ht="21.0" customHeight="1">
      <c r="D300" s="18" t="s">
        <v>23</v>
      </c>
      <c r="E300" s="122">
        <f>F165</f>
        <v>49171.01</v>
      </c>
      <c r="G300" s="126">
        <v>45000.0</v>
      </c>
      <c r="H300" s="125"/>
    </row>
    <row r="301" ht="33.75" customHeight="1">
      <c r="D301" s="127" t="s">
        <v>405</v>
      </c>
      <c r="E301" s="122">
        <f>F200</f>
        <v>21518.95</v>
      </c>
      <c r="G301" s="126">
        <v>21000.0</v>
      </c>
      <c r="H301" s="125"/>
    </row>
    <row r="302" ht="21.75" customHeight="1">
      <c r="D302" s="127" t="s">
        <v>340</v>
      </c>
      <c r="E302" s="122">
        <f>F221</f>
        <v>17817.84</v>
      </c>
      <c r="G302" s="126">
        <v>20000.0</v>
      </c>
      <c r="H302" s="125"/>
    </row>
    <row r="303" ht="29.25" customHeight="1">
      <c r="D303" s="127" t="s">
        <v>369</v>
      </c>
      <c r="E303" s="122">
        <f>F240</f>
        <v>7758.63</v>
      </c>
      <c r="G303" s="126">
        <v>8000.0</v>
      </c>
      <c r="H303" s="125"/>
    </row>
    <row r="304" ht="14.25" customHeight="1">
      <c r="E304" s="47"/>
    </row>
    <row r="305" ht="27.0" customHeight="1">
      <c r="D305" s="128" t="s">
        <v>406</v>
      </c>
      <c r="E305" s="129">
        <f>SUM(E292:E304)</f>
        <v>185937.82</v>
      </c>
      <c r="G305" s="118">
        <f t="shared" ref="G305:H305" si="17">SUM(G292:G303)</f>
        <v>188962</v>
      </c>
      <c r="H305" s="125">
        <f t="shared" si="17"/>
        <v>217000</v>
      </c>
      <c r="I305" s="125">
        <f>H305-G305</f>
        <v>28038</v>
      </c>
    </row>
    <row r="306" ht="14.25" customHeight="1"/>
    <row r="307" ht="14.25" customHeight="1"/>
    <row r="308" ht="14.25" customHeight="1"/>
    <row r="309" ht="14.25" customHeight="1">
      <c r="E309" s="44"/>
    </row>
    <row r="310" ht="14.25" customHeight="1"/>
    <row r="311" ht="14.25" customHeight="1">
      <c r="E311" s="1"/>
    </row>
    <row r="312" ht="25.5" customHeight="1">
      <c r="A312" s="130" t="s">
        <v>407</v>
      </c>
      <c r="B312" s="131"/>
      <c r="C312" s="131"/>
      <c r="D312" s="131"/>
      <c r="E312" s="131"/>
      <c r="F312" s="131"/>
      <c r="G312" s="131"/>
      <c r="H312" s="131"/>
      <c r="I312" s="132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</row>
    <row r="313" ht="12.75" customHeight="1">
      <c r="A313" s="133" t="s">
        <v>408</v>
      </c>
      <c r="B313" s="41"/>
      <c r="C313" s="42"/>
      <c r="D313" s="42">
        <v>0.0</v>
      </c>
      <c r="E313" s="42">
        <f t="shared" ref="E313:E319" si="18">C313-D313</f>
        <v>0</v>
      </c>
      <c r="F313" s="100">
        <f>SUM(E313:E319)</f>
        <v>0</v>
      </c>
      <c r="G313" s="100"/>
      <c r="H313" s="100"/>
      <c r="I313" s="134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</row>
    <row r="314" ht="12.75" customHeight="1">
      <c r="A314" s="133"/>
      <c r="B314" s="41"/>
      <c r="C314" s="42"/>
      <c r="D314" s="42">
        <v>0.0</v>
      </c>
      <c r="E314" s="42">
        <f t="shared" si="18"/>
        <v>0</v>
      </c>
      <c r="I314" s="134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</row>
    <row r="315" ht="12.75" customHeight="1">
      <c r="A315" s="133"/>
      <c r="B315" s="41"/>
      <c r="C315" s="42"/>
      <c r="D315" s="42">
        <v>0.0</v>
      </c>
      <c r="E315" s="42">
        <f t="shared" si="18"/>
        <v>0</v>
      </c>
      <c r="I315" s="134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</row>
    <row r="316" ht="12.75" customHeight="1">
      <c r="A316" s="133"/>
      <c r="B316" s="41"/>
      <c r="C316" s="42"/>
      <c r="D316" s="42">
        <v>0.0</v>
      </c>
      <c r="E316" s="42">
        <f t="shared" si="18"/>
        <v>0</v>
      </c>
      <c r="I316" s="134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</row>
    <row r="317" ht="12.75" customHeight="1">
      <c r="A317" s="133"/>
      <c r="B317" s="41"/>
      <c r="C317" s="42"/>
      <c r="D317" s="42">
        <v>0.0</v>
      </c>
      <c r="E317" s="42">
        <f t="shared" si="18"/>
        <v>0</v>
      </c>
      <c r="I317" s="134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</row>
    <row r="318" ht="12.75" customHeight="1">
      <c r="A318" s="133"/>
      <c r="B318" s="41"/>
      <c r="C318" s="42"/>
      <c r="D318" s="42">
        <v>0.0</v>
      </c>
      <c r="E318" s="42">
        <f t="shared" si="18"/>
        <v>0</v>
      </c>
      <c r="I318" s="134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</row>
    <row r="319" ht="12.75" customHeight="1">
      <c r="A319" s="135"/>
      <c r="B319" s="136"/>
      <c r="C319" s="137"/>
      <c r="D319" s="137">
        <v>0.0</v>
      </c>
      <c r="E319" s="137">
        <f t="shared" si="18"/>
        <v>0</v>
      </c>
      <c r="F319" s="138"/>
      <c r="G319" s="138"/>
      <c r="H319" s="138"/>
      <c r="I319" s="139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</row>
    <row r="320" ht="12.75" customHeight="1">
      <c r="A320" s="40"/>
      <c r="B320" s="41"/>
      <c r="C320" s="42"/>
      <c r="D320" s="42"/>
      <c r="E320" s="42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</row>
    <row r="321" ht="12.75" customHeight="1">
      <c r="A321" s="140"/>
      <c r="B321" s="140"/>
      <c r="C321" s="140"/>
      <c r="D321" s="140"/>
      <c r="E321" s="118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</row>
    <row r="322" ht="14.25" customHeight="1"/>
    <row r="323" ht="34.5" customHeight="1">
      <c r="A323" s="18"/>
      <c r="B323" s="18"/>
      <c r="C323" s="18"/>
      <c r="D323" s="18"/>
      <c r="E323" s="141" t="s">
        <v>409</v>
      </c>
      <c r="G323" s="142">
        <f>G287+G313</f>
        <v>161119.46</v>
      </c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</row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  <row r="1043" ht="14.25" customHeight="1"/>
    <row r="1044" ht="14.25" customHeight="1"/>
    <row r="1045" ht="14.25" customHeight="1"/>
    <row r="1046" ht="14.25" customHeight="1"/>
    <row r="1047" ht="14.25" customHeight="1"/>
    <row r="1048" ht="14.25" customHeight="1"/>
    <row r="1049" ht="14.25" customHeight="1"/>
    <row r="1050" ht="14.25" customHeight="1"/>
    <row r="1051" ht="14.25" customHeight="1"/>
    <row r="1052" ht="14.25" customHeight="1"/>
    <row r="1053" ht="14.25" customHeight="1"/>
    <row r="1054" ht="14.25" customHeight="1"/>
    <row r="1055" ht="14.25" customHeight="1"/>
    <row r="1056" ht="14.25" customHeight="1"/>
    <row r="1057" ht="14.25" customHeight="1"/>
    <row r="1058" ht="14.25" customHeight="1"/>
    <row r="1059" ht="14.25" customHeight="1"/>
    <row r="1060" ht="14.25" customHeight="1"/>
    <row r="1061" ht="14.25" customHeight="1"/>
    <row r="1062" ht="14.25" customHeight="1"/>
    <row r="1063" ht="14.25" customHeight="1"/>
    <row r="1064" ht="14.25" customHeight="1"/>
    <row r="1065" ht="14.25" customHeight="1"/>
    <row r="1066" ht="14.25" customHeight="1"/>
    <row r="1067" ht="14.25" customHeight="1"/>
    <row r="1068" ht="14.25" customHeight="1"/>
    <row r="1069" ht="14.25" customHeight="1"/>
    <row r="1070" ht="14.25" customHeight="1"/>
    <row r="1071" ht="14.25" customHeight="1"/>
    <row r="1072" ht="14.25" customHeight="1"/>
    <row r="1073" ht="14.25" customHeight="1"/>
    <row r="1074" ht="14.25" customHeight="1"/>
    <row r="1075" ht="14.25" customHeight="1"/>
    <row r="1076" ht="14.25" customHeight="1"/>
    <row r="1077" ht="14.25" customHeight="1"/>
    <row r="1078" ht="14.25" customHeight="1"/>
    <row r="1079" ht="14.25" customHeight="1"/>
    <row r="1080" ht="14.25" customHeight="1"/>
    <row r="1081" ht="14.25" customHeight="1"/>
    <row r="1082" ht="14.25" customHeight="1"/>
    <row r="1083" ht="14.25" customHeight="1"/>
    <row r="1084" ht="14.25" customHeight="1"/>
    <row r="1085" ht="14.25" customHeight="1"/>
    <row r="1086" ht="14.25" customHeight="1"/>
    <row r="1087" ht="14.25" customHeight="1"/>
    <row r="1088" ht="14.25" customHeight="1"/>
    <row r="1089" ht="14.25" customHeight="1"/>
    <row r="1090" ht="14.25" customHeight="1"/>
    <row r="1091" ht="14.25" customHeight="1"/>
    <row r="1092" ht="14.25" customHeight="1"/>
    <row r="1093" ht="14.25" customHeight="1"/>
    <row r="1094" ht="14.25" customHeight="1"/>
    <row r="1095" ht="14.25" customHeight="1"/>
    <row r="1096" ht="14.25" customHeight="1"/>
    <row r="1097" ht="14.25" customHeight="1"/>
    <row r="1098" ht="14.25" customHeight="1"/>
    <row r="1099" ht="14.25" customHeight="1"/>
    <row r="1100" ht="14.25" customHeight="1"/>
    <row r="1101" ht="14.25" customHeight="1"/>
    <row r="1102" ht="14.25" customHeight="1"/>
    <row r="1103" ht="14.25" customHeight="1"/>
    <row r="1104" ht="14.25" customHeight="1"/>
    <row r="1105" ht="14.25" customHeight="1"/>
    <row r="1106" ht="14.25" customHeight="1"/>
    <row r="1107" ht="14.25" customHeight="1"/>
    <row r="1108" ht="14.25" customHeight="1"/>
    <row r="1109" ht="14.25" customHeight="1"/>
    <row r="1110" ht="14.25" customHeight="1"/>
    <row r="1111" ht="14.25" customHeight="1"/>
    <row r="1112" ht="14.25" customHeight="1"/>
    <row r="1113" ht="14.25" customHeight="1"/>
    <row r="1114" ht="14.25" customHeight="1"/>
    <row r="1115" ht="14.25" customHeight="1"/>
    <row r="1116" ht="14.25" customHeight="1"/>
    <row r="1117" ht="14.25" customHeight="1"/>
    <row r="1118" ht="14.25" customHeight="1"/>
    <row r="1119" ht="14.25" customHeight="1"/>
    <row r="1120" ht="14.25" customHeight="1"/>
    <row r="1121" ht="14.25" customHeight="1"/>
    <row r="1122" ht="14.25" customHeight="1"/>
    <row r="1123" ht="14.25" customHeight="1"/>
    <row r="1124" ht="14.25" customHeight="1"/>
    <row r="1125" ht="14.25" customHeight="1"/>
    <row r="1126" ht="14.25" customHeight="1"/>
    <row r="1127" ht="14.25" customHeight="1"/>
    <row r="1128" ht="14.25" customHeight="1"/>
    <row r="1129" ht="14.25" customHeight="1"/>
    <row r="1130" ht="14.25" customHeight="1"/>
    <row r="1131" ht="14.25" customHeight="1"/>
    <row r="1132" ht="14.25" customHeight="1"/>
    <row r="1133" ht="14.25" customHeight="1"/>
    <row r="1134" ht="14.25" customHeight="1"/>
    <row r="1135" ht="14.25" customHeight="1"/>
    <row r="1136" ht="14.25" customHeight="1"/>
    <row r="1137" ht="14.25" customHeight="1"/>
    <row r="1138" ht="14.25" customHeight="1"/>
    <row r="1139" ht="14.25" customHeight="1"/>
    <row r="1140" ht="14.25" customHeight="1"/>
    <row r="1141" ht="14.25" customHeight="1"/>
    <row r="1142" ht="14.25" customHeight="1"/>
    <row r="1143" ht="14.25" customHeight="1"/>
    <row r="1144" ht="14.25" customHeight="1"/>
    <row r="1145" ht="14.25" customHeight="1"/>
    <row r="1146" ht="14.25" customHeight="1"/>
    <row r="1147" ht="14.25" customHeight="1"/>
    <row r="1148" ht="14.25" customHeight="1"/>
    <row r="1149" ht="14.25" customHeight="1"/>
    <row r="1150" ht="14.25" customHeight="1"/>
    <row r="1151" ht="14.25" customHeight="1"/>
  </sheetData>
  <mergeCells count="70">
    <mergeCell ref="A239:I239"/>
    <mergeCell ref="A287:D287"/>
    <mergeCell ref="D291:F291"/>
    <mergeCell ref="E292:F292"/>
    <mergeCell ref="E293:F293"/>
    <mergeCell ref="E294:F294"/>
    <mergeCell ref="E295:F295"/>
    <mergeCell ref="E303:F303"/>
    <mergeCell ref="E304:F304"/>
    <mergeCell ref="E305:F305"/>
    <mergeCell ref="A312:I312"/>
    <mergeCell ref="F313:F319"/>
    <mergeCell ref="G313:G319"/>
    <mergeCell ref="H313:H319"/>
    <mergeCell ref="E323:F323"/>
    <mergeCell ref="E296:F296"/>
    <mergeCell ref="E297:F297"/>
    <mergeCell ref="E298:F298"/>
    <mergeCell ref="E299:F299"/>
    <mergeCell ref="E300:F300"/>
    <mergeCell ref="E301:F301"/>
    <mergeCell ref="E302:F302"/>
    <mergeCell ref="A41:I41"/>
    <mergeCell ref="A71:I71"/>
    <mergeCell ref="A92:I92"/>
    <mergeCell ref="A112:I112"/>
    <mergeCell ref="A128:I128"/>
    <mergeCell ref="A1:I1"/>
    <mergeCell ref="A3:I3"/>
    <mergeCell ref="F4:F24"/>
    <mergeCell ref="G4:G24"/>
    <mergeCell ref="H4:H24"/>
    <mergeCell ref="A25:I25"/>
    <mergeCell ref="F26:F40"/>
    <mergeCell ref="G26:G40"/>
    <mergeCell ref="H26:H40"/>
    <mergeCell ref="F42:F70"/>
    <mergeCell ref="G42:G70"/>
    <mergeCell ref="H42:H70"/>
    <mergeCell ref="G72:G91"/>
    <mergeCell ref="H72:H91"/>
    <mergeCell ref="F129:F150"/>
    <mergeCell ref="G129:G150"/>
    <mergeCell ref="H129:H150"/>
    <mergeCell ref="A151:I151"/>
    <mergeCell ref="F152:F162"/>
    <mergeCell ref="G152:G162"/>
    <mergeCell ref="H152:H162"/>
    <mergeCell ref="A164:I164"/>
    <mergeCell ref="F72:F91"/>
    <mergeCell ref="F93:F111"/>
    <mergeCell ref="G93:G111"/>
    <mergeCell ref="H93:H111"/>
    <mergeCell ref="F113:F127"/>
    <mergeCell ref="G113:G127"/>
    <mergeCell ref="H113:H127"/>
    <mergeCell ref="F200:F219"/>
    <mergeCell ref="F221:F238"/>
    <mergeCell ref="G221:G238"/>
    <mergeCell ref="H221:H238"/>
    <mergeCell ref="F240:F286"/>
    <mergeCell ref="G240:G286"/>
    <mergeCell ref="H240:H286"/>
    <mergeCell ref="F165:F198"/>
    <mergeCell ref="G165:G198"/>
    <mergeCell ref="H165:H198"/>
    <mergeCell ref="A199:I199"/>
    <mergeCell ref="G200:G219"/>
    <mergeCell ref="H200:H219"/>
    <mergeCell ref="A220:I220"/>
  </mergeCells>
  <printOptions/>
  <pageMargins bottom="0.7874015748031497" footer="0.0" header="0.0" left="0.5118110236220472" right="0.5118110236220472" top="0.7874015748031497"/>
  <pageSetup paperSize="9" scale="72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76.71"/>
    <col customWidth="1" min="2" max="2" width="12.43"/>
    <col customWidth="1" min="3" max="3" width="14.71"/>
    <col customWidth="1" min="4" max="4" width="26.29"/>
    <col customWidth="1" min="5" max="5" width="21.43"/>
    <col customWidth="1" min="6" max="6" width="23.29"/>
    <col customWidth="1" min="7" max="7" width="19.86"/>
    <col customWidth="1" min="8" max="8" width="22.86"/>
    <col customWidth="1" min="9" max="9" width="66.43"/>
    <col customWidth="1" min="10" max="28" width="8.71"/>
  </cols>
  <sheetData>
    <row r="1" ht="14.25" customHeight="1">
      <c r="A1" s="30" t="s">
        <v>135</v>
      </c>
      <c r="B1" s="31"/>
      <c r="C1" s="31"/>
      <c r="D1" s="31"/>
      <c r="E1" s="31"/>
      <c r="F1" s="31"/>
      <c r="G1" s="31"/>
      <c r="H1" s="31"/>
      <c r="I1" s="31"/>
    </row>
    <row r="2" ht="14.25" customHeight="1">
      <c r="A2" s="33" t="s">
        <v>77</v>
      </c>
      <c r="B2" s="33" t="s">
        <v>78</v>
      </c>
      <c r="C2" s="33" t="s">
        <v>79</v>
      </c>
      <c r="D2" s="33" t="s">
        <v>136</v>
      </c>
      <c r="E2" s="33" t="s">
        <v>137</v>
      </c>
      <c r="F2" s="33" t="s">
        <v>138</v>
      </c>
      <c r="G2" s="33" t="s">
        <v>139</v>
      </c>
      <c r="H2" s="33" t="s">
        <v>140</v>
      </c>
      <c r="I2" s="41"/>
    </row>
    <row r="3" ht="12.75" customHeight="1">
      <c r="A3" s="34" t="s">
        <v>81</v>
      </c>
      <c r="B3" s="35"/>
      <c r="C3" s="35"/>
      <c r="D3" s="35"/>
      <c r="E3" s="35"/>
      <c r="F3" s="35"/>
      <c r="G3" s="35"/>
      <c r="H3" s="35"/>
      <c r="I3" s="36"/>
    </row>
    <row r="4" ht="12.75" customHeight="1">
      <c r="A4" s="51" t="s">
        <v>410</v>
      </c>
      <c r="B4" s="41">
        <v>2.0</v>
      </c>
      <c r="C4" s="45">
        <v>140.13</v>
      </c>
      <c r="D4" s="42">
        <v>0.0</v>
      </c>
      <c r="E4" s="42">
        <f t="shared" ref="E4:E22" si="1">C4-D4</f>
        <v>140.13</v>
      </c>
      <c r="F4" s="80">
        <f>SUM(E4:E22)</f>
        <v>12059.02</v>
      </c>
      <c r="G4" s="80"/>
      <c r="H4" s="80">
        <f>G4-F4</f>
        <v>-12059.02</v>
      </c>
      <c r="I4" s="51"/>
    </row>
    <row r="5" ht="12.75" customHeight="1">
      <c r="A5" s="76" t="s">
        <v>411</v>
      </c>
      <c r="B5" s="77">
        <v>5.0</v>
      </c>
      <c r="C5" s="78">
        <v>1201.05</v>
      </c>
      <c r="D5" s="79">
        <v>0.0</v>
      </c>
      <c r="E5" s="79">
        <f t="shared" si="1"/>
        <v>1201.05</v>
      </c>
      <c r="I5" s="76" t="s">
        <v>412</v>
      </c>
    </row>
    <row r="6" ht="12.75" customHeight="1">
      <c r="A6" s="83" t="s">
        <v>145</v>
      </c>
      <c r="B6" s="77"/>
      <c r="C6" s="78">
        <f>17+20</f>
        <v>37</v>
      </c>
      <c r="D6" s="79">
        <v>0.0</v>
      </c>
      <c r="E6" s="79">
        <f t="shared" si="1"/>
        <v>37</v>
      </c>
      <c r="I6" s="76" t="s">
        <v>413</v>
      </c>
    </row>
    <row r="7" ht="12.75" customHeight="1">
      <c r="A7" s="40" t="s">
        <v>149</v>
      </c>
      <c r="B7" s="41">
        <v>5.0</v>
      </c>
      <c r="C7" s="45">
        <v>770.2</v>
      </c>
      <c r="D7" s="45">
        <v>154.04</v>
      </c>
      <c r="E7" s="42">
        <f t="shared" si="1"/>
        <v>616.16</v>
      </c>
      <c r="I7" s="51"/>
    </row>
    <row r="8" ht="12.75" customHeight="1">
      <c r="A8" s="40" t="s">
        <v>150</v>
      </c>
      <c r="B8" s="37">
        <v>5.0</v>
      </c>
      <c r="C8" s="45">
        <v>150.0</v>
      </c>
      <c r="D8" s="42">
        <v>0.0</v>
      </c>
      <c r="E8" s="42">
        <f t="shared" si="1"/>
        <v>150</v>
      </c>
      <c r="I8" s="51"/>
    </row>
    <row r="9" ht="12.75" customHeight="1">
      <c r="A9" s="40" t="s">
        <v>82</v>
      </c>
      <c r="B9" s="37">
        <v>5.0</v>
      </c>
      <c r="C9" s="45">
        <v>1667.6</v>
      </c>
      <c r="D9" s="42">
        <v>0.0</v>
      </c>
      <c r="E9" s="42">
        <f t="shared" si="1"/>
        <v>1667.6</v>
      </c>
      <c r="I9" s="51"/>
    </row>
    <row r="10" ht="12.75" customHeight="1">
      <c r="A10" s="40" t="s">
        <v>152</v>
      </c>
      <c r="B10" s="41" t="s">
        <v>16</v>
      </c>
      <c r="C10" s="42">
        <f>256.8+256.8+256.8</f>
        <v>770.4</v>
      </c>
      <c r="D10" s="42">
        <v>0.0</v>
      </c>
      <c r="E10" s="42">
        <f t="shared" si="1"/>
        <v>770.4</v>
      </c>
      <c r="I10" s="40"/>
      <c r="J10" s="40"/>
    </row>
    <row r="11" ht="12.75" customHeight="1">
      <c r="A11" s="76" t="s">
        <v>414</v>
      </c>
      <c r="B11" s="82">
        <v>5.0</v>
      </c>
      <c r="C11" s="78">
        <f>420</f>
        <v>420</v>
      </c>
      <c r="D11" s="79">
        <v>0.0</v>
      </c>
      <c r="E11" s="79">
        <f t="shared" si="1"/>
        <v>420</v>
      </c>
      <c r="I11" s="76" t="s">
        <v>415</v>
      </c>
      <c r="J11" s="40"/>
    </row>
    <row r="12" ht="12.75" customHeight="1">
      <c r="A12" s="76" t="s">
        <v>416</v>
      </c>
      <c r="B12" s="77" t="s">
        <v>16</v>
      </c>
      <c r="C12" s="79">
        <f>81.4+203.5</f>
        <v>284.9</v>
      </c>
      <c r="D12" s="79">
        <v>0.0</v>
      </c>
      <c r="E12" s="79">
        <f t="shared" si="1"/>
        <v>284.9</v>
      </c>
      <c r="I12" s="51"/>
      <c r="J12" s="40"/>
    </row>
    <row r="13" ht="12.75" customHeight="1">
      <c r="A13" s="51" t="s">
        <v>153</v>
      </c>
      <c r="B13" s="41">
        <v>6.0</v>
      </c>
      <c r="C13" s="45">
        <v>75.74</v>
      </c>
      <c r="D13" s="42">
        <v>0.0</v>
      </c>
      <c r="E13" s="42">
        <f t="shared" si="1"/>
        <v>75.74</v>
      </c>
      <c r="I13" s="51"/>
      <c r="J13" s="40"/>
    </row>
    <row r="14" ht="12.75" customHeight="1">
      <c r="A14" s="40" t="s">
        <v>154</v>
      </c>
      <c r="B14" s="41">
        <v>11.0</v>
      </c>
      <c r="C14" s="42">
        <f>4730-150</f>
        <v>4580</v>
      </c>
      <c r="D14" s="42">
        <v>0.0</v>
      </c>
      <c r="E14" s="42">
        <f t="shared" si="1"/>
        <v>4580</v>
      </c>
      <c r="I14" s="51"/>
      <c r="J14" s="40"/>
    </row>
    <row r="15" ht="12.75" customHeight="1">
      <c r="A15" s="84" t="s">
        <v>156</v>
      </c>
      <c r="B15" s="85">
        <v>10.0</v>
      </c>
      <c r="C15" s="86">
        <v>93.67</v>
      </c>
      <c r="D15" s="86">
        <v>0.0</v>
      </c>
      <c r="E15" s="86">
        <f t="shared" si="1"/>
        <v>93.67</v>
      </c>
      <c r="I15" s="76" t="s">
        <v>417</v>
      </c>
    </row>
    <row r="16" ht="12.75" customHeight="1">
      <c r="A16" s="84" t="s">
        <v>158</v>
      </c>
      <c r="B16" s="85">
        <v>15.0</v>
      </c>
      <c r="C16" s="86">
        <v>277.84</v>
      </c>
      <c r="D16" s="86">
        <v>0.0</v>
      </c>
      <c r="E16" s="86">
        <f t="shared" si="1"/>
        <v>277.84</v>
      </c>
      <c r="I16" s="76" t="s">
        <v>415</v>
      </c>
    </row>
    <row r="17" ht="12.75" customHeight="1">
      <c r="A17" s="51" t="s">
        <v>160</v>
      </c>
      <c r="B17" s="41">
        <v>18.0</v>
      </c>
      <c r="C17" s="45">
        <v>325.9</v>
      </c>
      <c r="D17" s="42"/>
      <c r="E17" s="42">
        <f t="shared" si="1"/>
        <v>325.9</v>
      </c>
      <c r="I17" s="51"/>
    </row>
    <row r="18" ht="12.75" customHeight="1">
      <c r="A18" s="76" t="s">
        <v>418</v>
      </c>
      <c r="B18" s="77">
        <v>20.0</v>
      </c>
      <c r="C18" s="78">
        <v>864.16</v>
      </c>
      <c r="D18" s="79">
        <v>0.0</v>
      </c>
      <c r="E18" s="79">
        <f t="shared" si="1"/>
        <v>864.16</v>
      </c>
      <c r="I18" s="76" t="s">
        <v>419</v>
      </c>
    </row>
    <row r="19" ht="12.75" customHeight="1">
      <c r="A19" s="51" t="s">
        <v>163</v>
      </c>
      <c r="B19" s="41">
        <v>28.0</v>
      </c>
      <c r="C19" s="42">
        <v>400.0</v>
      </c>
      <c r="D19" s="42">
        <v>0.0</v>
      </c>
      <c r="E19" s="42">
        <f t="shared" si="1"/>
        <v>400</v>
      </c>
      <c r="I19" s="40"/>
    </row>
    <row r="20" ht="12.75" customHeight="1">
      <c r="A20" s="51" t="s">
        <v>164</v>
      </c>
      <c r="B20" s="41">
        <v>25.0</v>
      </c>
      <c r="C20" s="88">
        <v>76.2</v>
      </c>
      <c r="D20" s="42">
        <v>0.0</v>
      </c>
      <c r="E20" s="42">
        <f t="shared" si="1"/>
        <v>76.2</v>
      </c>
      <c r="I20" s="51"/>
    </row>
    <row r="21" ht="12.75" customHeight="1">
      <c r="A21" s="51" t="s">
        <v>165</v>
      </c>
      <c r="B21" s="41">
        <v>25.0</v>
      </c>
      <c r="C21" s="88">
        <v>78.27</v>
      </c>
      <c r="D21" s="42">
        <v>0.0</v>
      </c>
      <c r="E21" s="42">
        <f t="shared" si="1"/>
        <v>78.27</v>
      </c>
      <c r="I21" s="40"/>
    </row>
    <row r="22" ht="12.75" customHeight="1">
      <c r="A22" s="40" t="s">
        <v>166</v>
      </c>
      <c r="B22" s="41">
        <v>18.0</v>
      </c>
      <c r="C22" s="42">
        <v>0.0</v>
      </c>
      <c r="D22" s="42">
        <v>0.0</v>
      </c>
      <c r="E22" s="42">
        <f t="shared" si="1"/>
        <v>0</v>
      </c>
      <c r="I22" s="40"/>
    </row>
    <row r="23" ht="12.75" customHeight="1">
      <c r="A23" s="40"/>
      <c r="B23" s="41"/>
      <c r="C23" s="42"/>
      <c r="D23" s="42"/>
      <c r="E23" s="42"/>
      <c r="I23" s="40"/>
    </row>
    <row r="24" ht="12.75" customHeight="1">
      <c r="A24" s="40"/>
      <c r="B24" s="41"/>
      <c r="C24" s="42"/>
      <c r="D24" s="42"/>
      <c r="E24" s="42"/>
      <c r="F24" s="89"/>
      <c r="G24" s="89"/>
      <c r="H24" s="89"/>
      <c r="I24" s="40"/>
    </row>
    <row r="25" ht="14.25" customHeight="1">
      <c r="A25" s="34" t="s">
        <v>84</v>
      </c>
      <c r="B25" s="35"/>
      <c r="C25" s="35"/>
      <c r="D25" s="35"/>
      <c r="E25" s="35"/>
      <c r="F25" s="35"/>
      <c r="G25" s="35"/>
      <c r="H25" s="35"/>
      <c r="I25" s="36"/>
    </row>
    <row r="26" ht="12.75" customHeight="1">
      <c r="A26" s="40" t="s">
        <v>167</v>
      </c>
      <c r="B26" s="41">
        <v>2.0</v>
      </c>
      <c r="C26" s="42">
        <v>0.0</v>
      </c>
      <c r="D26" s="42">
        <v>0.0</v>
      </c>
      <c r="E26" s="42">
        <f t="shared" ref="E26:E39" si="2">C26-D26</f>
        <v>0</v>
      </c>
      <c r="F26" s="80">
        <f>SUM(E26:E39)</f>
        <v>2357.08</v>
      </c>
      <c r="G26" s="80"/>
      <c r="H26" s="80">
        <f>G26-F26</f>
        <v>-2357.08</v>
      </c>
      <c r="I26" s="40"/>
    </row>
    <row r="27" ht="12.75" customHeight="1">
      <c r="A27" s="76" t="s">
        <v>411</v>
      </c>
      <c r="B27" s="77">
        <v>5.0</v>
      </c>
      <c r="C27" s="78">
        <v>1201.05</v>
      </c>
      <c r="D27" s="79">
        <v>0.0</v>
      </c>
      <c r="E27" s="79">
        <f t="shared" si="2"/>
        <v>1201.05</v>
      </c>
      <c r="I27" s="76" t="s">
        <v>412</v>
      </c>
    </row>
    <row r="28" ht="12.75" customHeight="1">
      <c r="A28" s="40" t="s">
        <v>85</v>
      </c>
      <c r="B28" s="41">
        <v>5.0</v>
      </c>
      <c r="C28" s="42">
        <v>0.0</v>
      </c>
      <c r="D28" s="42">
        <v>0.0</v>
      </c>
      <c r="E28" s="42">
        <f t="shared" si="2"/>
        <v>0</v>
      </c>
      <c r="I28" s="40"/>
    </row>
    <row r="29" ht="12.75" customHeight="1">
      <c r="A29" s="40" t="s">
        <v>169</v>
      </c>
      <c r="B29" s="12" t="s">
        <v>16</v>
      </c>
      <c r="C29" s="42"/>
      <c r="D29" s="42">
        <v>0.0</v>
      </c>
      <c r="E29" s="42">
        <f t="shared" si="2"/>
        <v>0</v>
      </c>
      <c r="I29" s="40"/>
    </row>
    <row r="30" ht="12.75" customHeight="1">
      <c r="A30" s="143" t="s">
        <v>156</v>
      </c>
      <c r="B30" s="144">
        <v>10.0</v>
      </c>
      <c r="C30" s="145">
        <f>124.55+0.35</f>
        <v>124.9</v>
      </c>
      <c r="D30" s="146">
        <v>0.0</v>
      </c>
      <c r="E30" s="146">
        <f t="shared" si="2"/>
        <v>124.9</v>
      </c>
      <c r="I30" s="51"/>
    </row>
    <row r="31" ht="12.75" customHeight="1">
      <c r="A31" s="84" t="s">
        <v>158</v>
      </c>
      <c r="B31" s="85">
        <v>15.0</v>
      </c>
      <c r="C31" s="86">
        <v>277.84</v>
      </c>
      <c r="D31" s="86">
        <v>0.0</v>
      </c>
      <c r="E31" s="86">
        <f t="shared" si="2"/>
        <v>277.84</v>
      </c>
      <c r="I31" s="76" t="s">
        <v>415</v>
      </c>
    </row>
    <row r="32">
      <c r="A32" s="51" t="s">
        <v>172</v>
      </c>
      <c r="B32" s="41"/>
      <c r="C32" s="88">
        <v>309.7</v>
      </c>
      <c r="D32" s="45">
        <v>0.0</v>
      </c>
      <c r="E32" s="42">
        <f t="shared" si="2"/>
        <v>309.7</v>
      </c>
      <c r="I32" s="51"/>
    </row>
    <row r="33">
      <c r="A33" s="40" t="s">
        <v>173</v>
      </c>
      <c r="B33" s="41">
        <v>17.0</v>
      </c>
      <c r="C33" s="91">
        <v>43.59</v>
      </c>
      <c r="D33" s="42">
        <v>0.0</v>
      </c>
      <c r="E33" s="42">
        <f t="shared" si="2"/>
        <v>43.59</v>
      </c>
      <c r="I33" s="40"/>
    </row>
    <row r="34" ht="12.75" customHeight="1">
      <c r="A34" s="40" t="s">
        <v>174</v>
      </c>
      <c r="B34" s="41">
        <v>20.0</v>
      </c>
      <c r="C34" s="42">
        <v>0.0</v>
      </c>
      <c r="D34" s="42">
        <v>0.0</v>
      </c>
      <c r="E34" s="42">
        <f t="shared" si="2"/>
        <v>0</v>
      </c>
      <c r="I34" s="40"/>
    </row>
    <row r="35" ht="12.75" customHeight="1">
      <c r="A35" s="40" t="s">
        <v>175</v>
      </c>
      <c r="B35" s="41">
        <v>20.0</v>
      </c>
      <c r="C35" s="45">
        <v>0.0</v>
      </c>
      <c r="D35" s="42">
        <v>0.0</v>
      </c>
      <c r="E35" s="42">
        <f t="shared" si="2"/>
        <v>0</v>
      </c>
      <c r="I35" s="40"/>
    </row>
    <row r="36" ht="12.75" customHeight="1">
      <c r="A36" s="40" t="s">
        <v>176</v>
      </c>
      <c r="B36" s="41">
        <v>20.0</v>
      </c>
      <c r="C36" s="45">
        <v>0.0</v>
      </c>
      <c r="D36" s="42">
        <v>0.0</v>
      </c>
      <c r="E36" s="42">
        <f t="shared" si="2"/>
        <v>0</v>
      </c>
      <c r="I36" s="40"/>
    </row>
    <row r="37" ht="12.75" customHeight="1">
      <c r="A37" s="40" t="s">
        <v>177</v>
      </c>
      <c r="B37" s="41">
        <v>20.0</v>
      </c>
      <c r="C37" s="42">
        <v>0.0</v>
      </c>
      <c r="D37" s="42">
        <v>0.0</v>
      </c>
      <c r="E37" s="42">
        <f t="shared" si="2"/>
        <v>0</v>
      </c>
      <c r="I37" s="40"/>
    </row>
    <row r="38" ht="12.75" customHeight="1">
      <c r="A38" s="51" t="s">
        <v>163</v>
      </c>
      <c r="B38" s="41">
        <v>28.0</v>
      </c>
      <c r="C38" s="42">
        <v>400.0</v>
      </c>
      <c r="D38" s="42">
        <v>0.0</v>
      </c>
      <c r="E38" s="42">
        <f t="shared" si="2"/>
        <v>400</v>
      </c>
      <c r="I38" s="40"/>
    </row>
    <row r="39" ht="12.75" customHeight="1">
      <c r="A39" s="40" t="s">
        <v>178</v>
      </c>
      <c r="B39" s="41" t="s">
        <v>16</v>
      </c>
      <c r="C39" s="91">
        <v>0.0</v>
      </c>
      <c r="D39" s="42">
        <v>0.0</v>
      </c>
      <c r="E39" s="42">
        <f t="shared" si="2"/>
        <v>0</v>
      </c>
      <c r="I39" s="40"/>
    </row>
    <row r="40" ht="14.25" customHeight="1">
      <c r="F40" s="89"/>
      <c r="G40" s="89"/>
      <c r="H40" s="89"/>
    </row>
    <row r="41" ht="14.25" customHeight="1">
      <c r="A41" s="34" t="s">
        <v>87</v>
      </c>
      <c r="B41" s="35"/>
      <c r="C41" s="35"/>
      <c r="D41" s="35"/>
      <c r="E41" s="35"/>
      <c r="F41" s="35"/>
      <c r="G41" s="35"/>
      <c r="H41" s="35"/>
      <c r="I41" s="36"/>
    </row>
    <row r="42" ht="12.75" customHeight="1">
      <c r="A42" s="51" t="s">
        <v>179</v>
      </c>
      <c r="B42" s="41">
        <v>2.0</v>
      </c>
      <c r="C42" s="45">
        <v>245.19</v>
      </c>
      <c r="D42" s="42">
        <v>0.0</v>
      </c>
      <c r="E42" s="42">
        <f t="shared" ref="E42:E46" si="3">C42-D42</f>
        <v>245.19</v>
      </c>
      <c r="F42" s="80">
        <f>SUM(E42:E69)</f>
        <v>25090.52</v>
      </c>
      <c r="G42" s="80"/>
      <c r="H42" s="80">
        <f>G42-F42</f>
        <v>-25090.52</v>
      </c>
      <c r="I42" s="51"/>
    </row>
    <row r="43" ht="14.25" customHeight="1">
      <c r="A43" s="40" t="s">
        <v>181</v>
      </c>
      <c r="B43" s="41">
        <v>2.0</v>
      </c>
      <c r="C43" s="42">
        <v>3300.0</v>
      </c>
      <c r="D43" s="42">
        <v>0.0</v>
      </c>
      <c r="E43" s="42">
        <f t="shared" si="3"/>
        <v>3300</v>
      </c>
      <c r="I43" s="51"/>
    </row>
    <row r="44" ht="12.75" customHeight="1">
      <c r="A44" s="51" t="s">
        <v>160</v>
      </c>
      <c r="B44" s="41">
        <v>3.0</v>
      </c>
      <c r="C44" s="45">
        <v>195.78</v>
      </c>
      <c r="D44" s="42">
        <v>0.0</v>
      </c>
      <c r="E44" s="42">
        <f t="shared" si="3"/>
        <v>195.78</v>
      </c>
      <c r="I44" s="51"/>
    </row>
    <row r="45" ht="12.75" customHeight="1">
      <c r="A45" s="40" t="s">
        <v>182</v>
      </c>
      <c r="B45" s="41">
        <v>4.0</v>
      </c>
      <c r="C45" s="42">
        <v>0.0</v>
      </c>
      <c r="D45" s="42">
        <v>0.0</v>
      </c>
      <c r="E45" s="42">
        <f t="shared" si="3"/>
        <v>0</v>
      </c>
      <c r="I45" s="40"/>
    </row>
    <row r="46" ht="12.75" customHeight="1">
      <c r="A46" s="40" t="s">
        <v>183</v>
      </c>
      <c r="B46" s="41">
        <v>5.0</v>
      </c>
      <c r="C46" s="47">
        <v>230.63</v>
      </c>
      <c r="D46" s="42">
        <v>0.0</v>
      </c>
      <c r="E46" s="42">
        <f t="shared" si="3"/>
        <v>230.63</v>
      </c>
      <c r="I46" s="51"/>
    </row>
    <row r="47" ht="12.75" customHeight="1">
      <c r="A47" s="40" t="s">
        <v>185</v>
      </c>
      <c r="B47" s="41"/>
      <c r="C47" s="47">
        <v>3474.71</v>
      </c>
      <c r="D47" s="42">
        <v>0.0</v>
      </c>
      <c r="E47" s="42">
        <v>0.0</v>
      </c>
      <c r="I47" s="40"/>
    </row>
    <row r="48" ht="12.75" customHeight="1">
      <c r="A48" s="40" t="s">
        <v>186</v>
      </c>
      <c r="B48" s="41">
        <v>4.0</v>
      </c>
      <c r="C48" s="47">
        <v>344.62</v>
      </c>
      <c r="D48" s="42">
        <v>0.0</v>
      </c>
      <c r="E48" s="45">
        <v>0.0</v>
      </c>
      <c r="I48" s="40"/>
    </row>
    <row r="49" ht="12.75" customHeight="1">
      <c r="A49" s="40" t="s">
        <v>187</v>
      </c>
      <c r="B49" s="41">
        <v>5.0</v>
      </c>
      <c r="C49" s="45">
        <v>210.68</v>
      </c>
      <c r="D49" s="42">
        <v>0.0</v>
      </c>
      <c r="E49" s="42">
        <f t="shared" ref="E49:E69" si="4">C49-D49</f>
        <v>210.68</v>
      </c>
      <c r="I49" s="51"/>
    </row>
    <row r="50" ht="12.75" customHeight="1">
      <c r="A50" s="40" t="s">
        <v>188</v>
      </c>
      <c r="B50" s="41">
        <v>5.0</v>
      </c>
      <c r="C50" s="45">
        <v>210.68</v>
      </c>
      <c r="D50" s="42">
        <v>0.0</v>
      </c>
      <c r="E50" s="42">
        <f t="shared" si="4"/>
        <v>210.68</v>
      </c>
      <c r="I50" s="51"/>
    </row>
    <row r="51" ht="12.75" customHeight="1">
      <c r="A51" s="51" t="s">
        <v>189</v>
      </c>
      <c r="B51" s="41">
        <v>5.0</v>
      </c>
      <c r="C51" s="45">
        <v>1500.0</v>
      </c>
      <c r="D51" s="42">
        <v>0.0</v>
      </c>
      <c r="E51" s="42">
        <f t="shared" si="4"/>
        <v>1500</v>
      </c>
      <c r="I51" s="51"/>
    </row>
    <row r="52" ht="12.75" customHeight="1">
      <c r="A52" s="51" t="s">
        <v>191</v>
      </c>
      <c r="B52" s="41">
        <v>5.0</v>
      </c>
      <c r="C52" s="45">
        <v>1500.0</v>
      </c>
      <c r="D52" s="42">
        <v>0.0</v>
      </c>
      <c r="E52" s="42">
        <f t="shared" si="4"/>
        <v>1500</v>
      </c>
      <c r="I52" s="51"/>
    </row>
    <row r="53" ht="12.75" customHeight="1">
      <c r="A53" s="51" t="s">
        <v>193</v>
      </c>
      <c r="B53" s="41">
        <v>5.0</v>
      </c>
      <c r="C53" s="45">
        <v>1857.06</v>
      </c>
      <c r="D53" s="42">
        <v>0.0</v>
      </c>
      <c r="E53" s="42">
        <f t="shared" si="4"/>
        <v>1857.06</v>
      </c>
      <c r="I53" s="51"/>
    </row>
    <row r="54" ht="12.75" customHeight="1">
      <c r="A54" s="51" t="s">
        <v>195</v>
      </c>
      <c r="B54" s="41" t="s">
        <v>16</v>
      </c>
      <c r="C54" s="45">
        <v>800.0</v>
      </c>
      <c r="D54" s="42">
        <v>0.0</v>
      </c>
      <c r="E54" s="42">
        <f t="shared" si="4"/>
        <v>800</v>
      </c>
      <c r="I54" s="40"/>
    </row>
    <row r="55" ht="12.75" customHeight="1">
      <c r="A55" s="40" t="s">
        <v>196</v>
      </c>
      <c r="B55" s="41">
        <v>5.0</v>
      </c>
      <c r="C55" s="42">
        <v>230.63</v>
      </c>
      <c r="D55" s="42">
        <v>0.0</v>
      </c>
      <c r="E55" s="42">
        <f t="shared" si="4"/>
        <v>230.63</v>
      </c>
      <c r="I55" s="51"/>
    </row>
    <row r="56" ht="12.75" customHeight="1">
      <c r="A56" s="40" t="s">
        <v>156</v>
      </c>
      <c r="B56" s="41">
        <v>10.0</v>
      </c>
      <c r="C56" s="42">
        <v>62.45</v>
      </c>
      <c r="D56" s="42">
        <v>0.0</v>
      </c>
      <c r="E56" s="42">
        <f t="shared" si="4"/>
        <v>62.45</v>
      </c>
      <c r="I56" s="51"/>
    </row>
    <row r="57" ht="12.75" customHeight="1">
      <c r="A57" s="51" t="s">
        <v>197</v>
      </c>
      <c r="B57" s="62">
        <v>12.0</v>
      </c>
      <c r="C57" s="45">
        <v>370.03</v>
      </c>
      <c r="D57" s="45">
        <v>0.0</v>
      </c>
      <c r="E57" s="42">
        <f t="shared" si="4"/>
        <v>370.03</v>
      </c>
      <c r="I57" s="51"/>
    </row>
    <row r="58" ht="12.75" customHeight="1">
      <c r="A58" s="83" t="s">
        <v>158</v>
      </c>
      <c r="B58" s="77">
        <v>15.0</v>
      </c>
      <c r="C58" s="79">
        <v>277.84</v>
      </c>
      <c r="D58" s="79">
        <v>0.0</v>
      </c>
      <c r="E58" s="79">
        <f t="shared" si="4"/>
        <v>277.84</v>
      </c>
      <c r="I58" s="76" t="s">
        <v>415</v>
      </c>
    </row>
    <row r="59" ht="14.25" customHeight="1">
      <c r="A59" s="51" t="s">
        <v>199</v>
      </c>
      <c r="B59" s="62">
        <v>15.0</v>
      </c>
      <c r="C59" s="45">
        <v>235.06</v>
      </c>
      <c r="D59" s="42">
        <v>0.0</v>
      </c>
      <c r="E59" s="42">
        <f t="shared" si="4"/>
        <v>235.06</v>
      </c>
      <c r="I59" s="51"/>
    </row>
    <row r="60" ht="14.25" customHeight="1">
      <c r="A60" s="83" t="s">
        <v>200</v>
      </c>
      <c r="B60" s="77">
        <v>20.0</v>
      </c>
      <c r="C60" s="78">
        <v>2688.58</v>
      </c>
      <c r="D60" s="79">
        <v>0.0</v>
      </c>
      <c r="E60" s="79">
        <f t="shared" si="4"/>
        <v>2688.58</v>
      </c>
      <c r="I60" s="76" t="s">
        <v>420</v>
      </c>
    </row>
    <row r="61" ht="14.25" customHeight="1">
      <c r="A61" s="83" t="s">
        <v>202</v>
      </c>
      <c r="B61" s="77">
        <v>20.0</v>
      </c>
      <c r="C61" s="78">
        <v>3092.18</v>
      </c>
      <c r="D61" s="79">
        <v>0.0</v>
      </c>
      <c r="E61" s="79">
        <f t="shared" si="4"/>
        <v>3092.18</v>
      </c>
      <c r="I61" s="76" t="s">
        <v>420</v>
      </c>
    </row>
    <row r="62" ht="12.75" customHeight="1">
      <c r="A62" s="51" t="s">
        <v>203</v>
      </c>
      <c r="B62" s="41">
        <v>20.0</v>
      </c>
      <c r="C62" s="45">
        <v>4113.7</v>
      </c>
      <c r="D62" s="42">
        <v>0.0</v>
      </c>
      <c r="E62" s="42">
        <f t="shared" si="4"/>
        <v>4113.7</v>
      </c>
      <c r="I62" s="51"/>
    </row>
    <row r="63" ht="14.25" customHeight="1">
      <c r="A63" s="51" t="s">
        <v>163</v>
      </c>
      <c r="B63" s="41">
        <v>28.0</v>
      </c>
      <c r="C63" s="42">
        <v>400.0</v>
      </c>
      <c r="D63" s="42">
        <v>0.0</v>
      </c>
      <c r="E63" s="42">
        <f t="shared" si="4"/>
        <v>400</v>
      </c>
      <c r="I63" s="40"/>
    </row>
    <row r="64" ht="12.75" customHeight="1">
      <c r="A64" s="51" t="s">
        <v>164</v>
      </c>
      <c r="B64" s="41">
        <v>25.0</v>
      </c>
      <c r="C64" s="45">
        <v>85.74</v>
      </c>
      <c r="D64" s="42">
        <v>0.0</v>
      </c>
      <c r="E64" s="42">
        <f t="shared" si="4"/>
        <v>85.74</v>
      </c>
      <c r="I64" s="51"/>
    </row>
    <row r="65" ht="12.75" customHeight="1">
      <c r="A65" s="51" t="s">
        <v>165</v>
      </c>
      <c r="B65" s="41">
        <v>25.0</v>
      </c>
      <c r="C65" s="45">
        <v>88.07</v>
      </c>
      <c r="D65" s="42">
        <v>0.0</v>
      </c>
      <c r="E65" s="42">
        <f t="shared" si="4"/>
        <v>88.07</v>
      </c>
      <c r="I65" s="51"/>
    </row>
    <row r="66" ht="12.75" customHeight="1">
      <c r="A66" s="40" t="s">
        <v>204</v>
      </c>
      <c r="B66" s="41">
        <v>30.0</v>
      </c>
      <c r="C66" s="45">
        <v>1683.0</v>
      </c>
      <c r="D66" s="42">
        <v>0.0</v>
      </c>
      <c r="E66" s="42">
        <f t="shared" si="4"/>
        <v>1683</v>
      </c>
      <c r="I66" s="51"/>
    </row>
    <row r="67" ht="12.75" customHeight="1">
      <c r="A67" s="40" t="s">
        <v>206</v>
      </c>
      <c r="B67" s="41">
        <v>30.0</v>
      </c>
      <c r="C67" s="45">
        <v>1683.0</v>
      </c>
      <c r="D67" s="42">
        <v>0.0</v>
      </c>
      <c r="E67" s="42">
        <f t="shared" si="4"/>
        <v>1683</v>
      </c>
      <c r="I67" s="51"/>
    </row>
    <row r="68" ht="14.25" customHeight="1">
      <c r="A68" s="83" t="s">
        <v>207</v>
      </c>
      <c r="B68" s="77"/>
      <c r="C68" s="79">
        <f>20.05+2+8.17</f>
        <v>30.22</v>
      </c>
      <c r="D68" s="79">
        <v>0.0</v>
      </c>
      <c r="E68" s="79">
        <f t="shared" si="4"/>
        <v>30.22</v>
      </c>
      <c r="I68" s="40"/>
    </row>
    <row r="69" ht="14.25" customHeight="1">
      <c r="A69" s="40" t="s">
        <v>208</v>
      </c>
      <c r="B69" s="41" t="s">
        <v>16</v>
      </c>
      <c r="C69" s="42"/>
      <c r="D69" s="42">
        <v>0.0</v>
      </c>
      <c r="E69" s="42">
        <f t="shared" si="4"/>
        <v>0</v>
      </c>
      <c r="I69" s="40"/>
    </row>
    <row r="70" ht="14.25" customHeight="1">
      <c r="F70" s="89"/>
      <c r="G70" s="89"/>
      <c r="H70" s="89"/>
    </row>
    <row r="71" ht="14.25" customHeight="1">
      <c r="A71" s="34" t="s">
        <v>89</v>
      </c>
      <c r="B71" s="35"/>
      <c r="C71" s="35"/>
      <c r="D71" s="35"/>
      <c r="E71" s="35"/>
      <c r="F71" s="35"/>
      <c r="G71" s="35"/>
      <c r="H71" s="35"/>
      <c r="I71" s="36"/>
    </row>
    <row r="72" ht="12.75" customHeight="1">
      <c r="A72" s="51" t="s">
        <v>160</v>
      </c>
      <c r="B72" s="41">
        <v>3.0</v>
      </c>
      <c r="C72" s="45">
        <v>132.3</v>
      </c>
      <c r="D72" s="42">
        <v>0.0</v>
      </c>
      <c r="E72" s="42">
        <f t="shared" ref="E72:E90" si="5">C72-D72</f>
        <v>132.3</v>
      </c>
      <c r="F72" s="80">
        <f>SUM(E72:E90)</f>
        <v>12050.09</v>
      </c>
      <c r="G72" s="80"/>
      <c r="H72" s="80">
        <f>G72-F72</f>
        <v>-12050.09</v>
      </c>
      <c r="I72" s="51"/>
    </row>
    <row r="73" ht="12.75" customHeight="1">
      <c r="A73" s="51" t="s">
        <v>153</v>
      </c>
      <c r="B73" s="41">
        <v>4.0</v>
      </c>
      <c r="C73" s="126">
        <v>75.74</v>
      </c>
      <c r="D73" s="42">
        <v>0.0</v>
      </c>
      <c r="E73" s="42">
        <f t="shared" si="5"/>
        <v>75.74</v>
      </c>
      <c r="I73" s="51"/>
    </row>
    <row r="74" ht="12.75" customHeight="1">
      <c r="A74" s="40" t="s">
        <v>183</v>
      </c>
      <c r="B74" s="41">
        <v>5.0</v>
      </c>
      <c r="C74" s="42">
        <v>59.19</v>
      </c>
      <c r="D74" s="42">
        <v>0.0</v>
      </c>
      <c r="E74" s="42">
        <f t="shared" si="5"/>
        <v>59.19</v>
      </c>
      <c r="I74" s="51"/>
    </row>
    <row r="75" ht="12.75" customHeight="1">
      <c r="A75" s="40" t="s">
        <v>90</v>
      </c>
      <c r="B75" s="41">
        <v>5.0</v>
      </c>
      <c r="C75" s="45">
        <v>1880.75</v>
      </c>
      <c r="D75" s="42">
        <v>0.0</v>
      </c>
      <c r="E75" s="42">
        <f t="shared" si="5"/>
        <v>1880.75</v>
      </c>
      <c r="I75" s="51"/>
    </row>
    <row r="76" ht="12.75" customHeight="1">
      <c r="A76" s="83" t="s">
        <v>212</v>
      </c>
      <c r="B76" s="77" t="s">
        <v>16</v>
      </c>
      <c r="C76" s="79">
        <f>100.8</f>
        <v>100.8</v>
      </c>
      <c r="D76" s="79">
        <v>0.0</v>
      </c>
      <c r="E76" s="79">
        <f t="shared" si="5"/>
        <v>100.8</v>
      </c>
      <c r="I76" s="40"/>
    </row>
    <row r="77" ht="12.75" customHeight="1">
      <c r="A77" s="40" t="s">
        <v>213</v>
      </c>
      <c r="B77" s="41">
        <v>10.0</v>
      </c>
      <c r="C77" s="42">
        <v>3561.32</v>
      </c>
      <c r="D77" s="42">
        <v>0.0</v>
      </c>
      <c r="E77" s="42">
        <f t="shared" si="5"/>
        <v>3561.32</v>
      </c>
      <c r="I77" s="51"/>
    </row>
    <row r="78" ht="12.75" customHeight="1">
      <c r="A78" s="40" t="s">
        <v>156</v>
      </c>
      <c r="B78" s="41">
        <v>10.0</v>
      </c>
      <c r="C78" s="42">
        <v>93.67</v>
      </c>
      <c r="D78" s="42">
        <v>0.0</v>
      </c>
      <c r="E78" s="42">
        <f t="shared" si="5"/>
        <v>93.67</v>
      </c>
      <c r="I78" s="51"/>
    </row>
    <row r="79" ht="12.75" customHeight="1">
      <c r="A79" s="40" t="s">
        <v>215</v>
      </c>
      <c r="B79" s="41"/>
      <c r="C79" s="42">
        <v>20.0</v>
      </c>
      <c r="D79" s="42">
        <v>0.0</v>
      </c>
      <c r="E79" s="42">
        <f t="shared" si="5"/>
        <v>20</v>
      </c>
      <c r="I79" s="40"/>
    </row>
    <row r="80" ht="12.75" customHeight="1">
      <c r="A80" s="83" t="s">
        <v>158</v>
      </c>
      <c r="B80" s="77">
        <v>15.0</v>
      </c>
      <c r="C80" s="79">
        <v>277.84</v>
      </c>
      <c r="D80" s="79">
        <v>0.0</v>
      </c>
      <c r="E80" s="79">
        <f t="shared" si="5"/>
        <v>277.84</v>
      </c>
      <c r="I80" s="76" t="s">
        <v>415</v>
      </c>
    </row>
    <row r="81" ht="12.75" customHeight="1">
      <c r="A81" s="51" t="s">
        <v>217</v>
      </c>
      <c r="B81" s="41">
        <v>15.0</v>
      </c>
      <c r="C81" s="45">
        <v>201.25</v>
      </c>
      <c r="D81" s="42">
        <v>0.0</v>
      </c>
      <c r="E81" s="42">
        <f t="shared" si="5"/>
        <v>201.25</v>
      </c>
      <c r="I81" s="51"/>
    </row>
    <row r="82" ht="14.25" customHeight="1">
      <c r="A82" s="51" t="s">
        <v>218</v>
      </c>
      <c r="B82" s="41">
        <v>17.0</v>
      </c>
      <c r="C82" s="126">
        <v>88.44</v>
      </c>
      <c r="D82" s="42">
        <v>0.0</v>
      </c>
      <c r="E82" s="42">
        <f t="shared" si="5"/>
        <v>88.44</v>
      </c>
      <c r="I82" s="51"/>
    </row>
    <row r="83" ht="14.25" customHeight="1">
      <c r="A83" s="51" t="s">
        <v>219</v>
      </c>
      <c r="B83" s="41">
        <v>17.0</v>
      </c>
      <c r="C83" s="126">
        <v>91.08</v>
      </c>
      <c r="D83" s="42">
        <v>0.0</v>
      </c>
      <c r="E83" s="42">
        <f t="shared" si="5"/>
        <v>91.08</v>
      </c>
      <c r="I83" s="51"/>
    </row>
    <row r="84" ht="14.25" customHeight="1">
      <c r="A84" s="40" t="s">
        <v>220</v>
      </c>
      <c r="B84" s="41">
        <v>20.0</v>
      </c>
      <c r="C84" s="45">
        <v>255.28</v>
      </c>
      <c r="D84" s="42">
        <v>0.0</v>
      </c>
      <c r="E84" s="42">
        <f t="shared" si="5"/>
        <v>255.28</v>
      </c>
      <c r="I84" s="51"/>
    </row>
    <row r="85" ht="14.25" customHeight="1">
      <c r="A85" s="40" t="s">
        <v>222</v>
      </c>
      <c r="B85" s="41">
        <v>20.0</v>
      </c>
      <c r="C85" s="45">
        <v>170.48</v>
      </c>
      <c r="D85" s="42">
        <v>0.0</v>
      </c>
      <c r="E85" s="42">
        <f t="shared" si="5"/>
        <v>170.48</v>
      </c>
      <c r="I85" s="51"/>
    </row>
    <row r="86" ht="12.75" customHeight="1">
      <c r="A86" s="51" t="s">
        <v>223</v>
      </c>
      <c r="B86" s="41">
        <v>20.0</v>
      </c>
      <c r="C86" s="45">
        <v>2309.59</v>
      </c>
      <c r="D86" s="42">
        <v>0.0</v>
      </c>
      <c r="E86" s="42">
        <f t="shared" si="5"/>
        <v>2309.59</v>
      </c>
      <c r="I86" s="51"/>
    </row>
    <row r="87" ht="12.75" customHeight="1">
      <c r="A87" s="51" t="s">
        <v>163</v>
      </c>
      <c r="B87" s="41">
        <v>28.0</v>
      </c>
      <c r="C87" s="42">
        <v>400.0</v>
      </c>
      <c r="D87" s="42">
        <v>0.0</v>
      </c>
      <c r="E87" s="42">
        <f t="shared" si="5"/>
        <v>400</v>
      </c>
      <c r="I87" s="40"/>
    </row>
    <row r="88" ht="12.75" customHeight="1">
      <c r="A88" s="51" t="s">
        <v>224</v>
      </c>
      <c r="B88" s="41">
        <v>31.0</v>
      </c>
      <c r="C88" s="45">
        <v>1244.31</v>
      </c>
      <c r="D88" s="45">
        <v>0.0</v>
      </c>
      <c r="E88" s="42">
        <f t="shared" si="5"/>
        <v>1244.31</v>
      </c>
      <c r="I88" s="51"/>
    </row>
    <row r="89" ht="12.75" customHeight="1">
      <c r="A89" s="51" t="s">
        <v>225</v>
      </c>
      <c r="B89" s="41">
        <v>31.0</v>
      </c>
      <c r="C89" s="42">
        <v>1208.94</v>
      </c>
      <c r="D89" s="42">
        <v>120.89</v>
      </c>
      <c r="E89" s="42">
        <f t="shared" si="5"/>
        <v>1088.05</v>
      </c>
      <c r="I89" s="40"/>
    </row>
    <row r="90" ht="12.75" customHeight="1">
      <c r="A90" s="40" t="s">
        <v>226</v>
      </c>
      <c r="B90" s="41">
        <v>15.0</v>
      </c>
      <c r="C90" s="42">
        <v>0.0</v>
      </c>
      <c r="D90" s="42">
        <v>0.0</v>
      </c>
      <c r="E90" s="42">
        <f t="shared" si="5"/>
        <v>0</v>
      </c>
      <c r="I90" s="40"/>
    </row>
    <row r="91" ht="14.25" customHeight="1">
      <c r="F91" s="89"/>
      <c r="G91" s="89"/>
      <c r="H91" s="89"/>
    </row>
    <row r="92" ht="14.25" customHeight="1">
      <c r="A92" s="34" t="s">
        <v>92</v>
      </c>
      <c r="B92" s="35"/>
      <c r="C92" s="35"/>
      <c r="D92" s="35"/>
      <c r="E92" s="35"/>
      <c r="F92" s="35"/>
      <c r="G92" s="35"/>
      <c r="H92" s="35"/>
      <c r="I92" s="36"/>
    </row>
    <row r="93" ht="12.75" customHeight="1">
      <c r="A93" s="40" t="s">
        <v>227</v>
      </c>
      <c r="B93" s="41">
        <v>5.0</v>
      </c>
      <c r="C93" s="42">
        <f>4003</f>
        <v>4003</v>
      </c>
      <c r="D93" s="42">
        <v>0.0</v>
      </c>
      <c r="E93" s="42">
        <f t="shared" ref="E93:E110" si="6">C93-D93</f>
        <v>4003</v>
      </c>
      <c r="F93" s="80">
        <f>SUM(E93:E111)</f>
        <v>9204.29</v>
      </c>
      <c r="G93" s="80"/>
      <c r="H93" s="80">
        <f>G93-F93</f>
        <v>-9204.29</v>
      </c>
      <c r="I93" s="51"/>
    </row>
    <row r="94" ht="12.75" customHeight="1">
      <c r="A94" s="51" t="s">
        <v>229</v>
      </c>
      <c r="B94" s="41">
        <v>5.0</v>
      </c>
      <c r="C94" s="45">
        <v>207.25</v>
      </c>
      <c r="D94" s="42">
        <v>0.0</v>
      </c>
      <c r="E94" s="42">
        <f t="shared" si="6"/>
        <v>207.25</v>
      </c>
      <c r="I94" s="51"/>
    </row>
    <row r="95" ht="12.75" customHeight="1">
      <c r="A95" s="51" t="s">
        <v>93</v>
      </c>
      <c r="B95" s="41">
        <v>5.0</v>
      </c>
      <c r="C95" s="45">
        <v>1833.39</v>
      </c>
      <c r="D95" s="42">
        <v>0.0</v>
      </c>
      <c r="E95" s="42">
        <f t="shared" si="6"/>
        <v>1833.39</v>
      </c>
      <c r="I95" s="51"/>
    </row>
    <row r="96" ht="12.75" customHeight="1">
      <c r="A96" s="76" t="s">
        <v>231</v>
      </c>
      <c r="B96" s="77" t="s">
        <v>16</v>
      </c>
      <c r="C96" s="79">
        <f>100.8+100.8</f>
        <v>201.6</v>
      </c>
      <c r="D96" s="79">
        <v>0.0</v>
      </c>
      <c r="E96" s="79">
        <f t="shared" si="6"/>
        <v>201.6</v>
      </c>
      <c r="I96" s="40"/>
    </row>
    <row r="97" ht="12.75" customHeight="1">
      <c r="A97" s="51" t="s">
        <v>160</v>
      </c>
      <c r="B97" s="41">
        <v>8.0</v>
      </c>
      <c r="C97" s="45">
        <v>138.87</v>
      </c>
      <c r="D97" s="42">
        <v>0.0</v>
      </c>
      <c r="E97" s="42">
        <f t="shared" si="6"/>
        <v>138.87</v>
      </c>
      <c r="I97" s="51"/>
    </row>
    <row r="98" ht="12.75" customHeight="1">
      <c r="A98" s="51" t="s">
        <v>182</v>
      </c>
      <c r="B98" s="41">
        <v>5.0</v>
      </c>
      <c r="C98" s="45">
        <v>1065.81</v>
      </c>
      <c r="D98" s="42">
        <v>0.0</v>
      </c>
      <c r="E98" s="42">
        <f t="shared" si="6"/>
        <v>1065.81</v>
      </c>
      <c r="I98" s="51"/>
    </row>
    <row r="99" ht="12.75" customHeight="1">
      <c r="A99" s="40" t="s">
        <v>232</v>
      </c>
      <c r="B99" s="41">
        <v>5.0</v>
      </c>
      <c r="C99" s="42">
        <v>51.29</v>
      </c>
      <c r="D99" s="42">
        <v>0.0</v>
      </c>
      <c r="E99" s="42">
        <f t="shared" si="6"/>
        <v>51.29</v>
      </c>
      <c r="I99" s="51"/>
    </row>
    <row r="100" ht="12.75" customHeight="1">
      <c r="A100" s="40" t="s">
        <v>156</v>
      </c>
      <c r="B100" s="41">
        <v>10.0</v>
      </c>
      <c r="C100" s="42">
        <v>93.67</v>
      </c>
      <c r="D100" s="42">
        <v>0.0</v>
      </c>
      <c r="E100" s="42">
        <f t="shared" si="6"/>
        <v>93.67</v>
      </c>
      <c r="I100" s="51"/>
    </row>
    <row r="101" ht="12.75" customHeight="1">
      <c r="A101" s="51" t="s">
        <v>165</v>
      </c>
      <c r="B101" s="41">
        <v>13.0</v>
      </c>
      <c r="C101" s="45">
        <v>45.75</v>
      </c>
      <c r="D101" s="42">
        <v>0.0</v>
      </c>
      <c r="E101" s="42">
        <f t="shared" si="6"/>
        <v>45.75</v>
      </c>
      <c r="I101" s="51"/>
    </row>
    <row r="102" ht="12.75" customHeight="1">
      <c r="A102" s="51" t="s">
        <v>234</v>
      </c>
      <c r="B102" s="41">
        <v>15.0</v>
      </c>
      <c r="C102" s="45">
        <v>13.12</v>
      </c>
      <c r="D102" s="42">
        <v>0.0</v>
      </c>
      <c r="E102" s="42">
        <f t="shared" si="6"/>
        <v>13.12</v>
      </c>
      <c r="I102" s="51"/>
    </row>
    <row r="103" ht="12.75" customHeight="1">
      <c r="A103" s="40" t="s">
        <v>158</v>
      </c>
      <c r="B103" s="41">
        <v>15.0</v>
      </c>
      <c r="C103" s="42">
        <v>277.84</v>
      </c>
      <c r="D103" s="42">
        <v>0.0</v>
      </c>
      <c r="E103" s="42">
        <f t="shared" si="6"/>
        <v>277.84</v>
      </c>
      <c r="I103" s="51"/>
    </row>
    <row r="104" ht="14.25" customHeight="1">
      <c r="A104" s="40" t="s">
        <v>236</v>
      </c>
      <c r="B104" s="41">
        <v>20.0</v>
      </c>
      <c r="C104" s="45">
        <v>0.0</v>
      </c>
      <c r="D104" s="42">
        <v>0.0</v>
      </c>
      <c r="E104" s="42">
        <f t="shared" si="6"/>
        <v>0</v>
      </c>
      <c r="I104" s="40"/>
      <c r="J104" s="1"/>
    </row>
    <row r="105" ht="14.25" customHeight="1">
      <c r="A105" s="40" t="s">
        <v>237</v>
      </c>
      <c r="B105" s="41">
        <v>20.0</v>
      </c>
      <c r="C105" s="45">
        <v>0.0</v>
      </c>
      <c r="D105" s="42">
        <v>0.0</v>
      </c>
      <c r="E105" s="42">
        <f t="shared" si="6"/>
        <v>0</v>
      </c>
      <c r="I105" s="51"/>
    </row>
    <row r="106" ht="12.75" customHeight="1">
      <c r="A106" s="51" t="s">
        <v>239</v>
      </c>
      <c r="B106" s="41">
        <v>20.0</v>
      </c>
      <c r="C106" s="45">
        <v>717.22</v>
      </c>
      <c r="D106" s="42">
        <v>0.0</v>
      </c>
      <c r="E106" s="42">
        <f t="shared" si="6"/>
        <v>717.22</v>
      </c>
      <c r="I106" s="51"/>
    </row>
    <row r="107" ht="12.75" customHeight="1">
      <c r="A107" s="51" t="s">
        <v>163</v>
      </c>
      <c r="B107" s="41">
        <v>28.0</v>
      </c>
      <c r="C107" s="42">
        <v>400.0</v>
      </c>
      <c r="D107" s="42">
        <v>0.0</v>
      </c>
      <c r="E107" s="42">
        <f t="shared" si="6"/>
        <v>400</v>
      </c>
      <c r="I107" s="40"/>
    </row>
    <row r="108" ht="15.0" customHeight="1">
      <c r="A108" s="51" t="s">
        <v>241</v>
      </c>
      <c r="B108" s="41">
        <v>28.0</v>
      </c>
      <c r="C108" s="126">
        <v>77.59</v>
      </c>
      <c r="D108" s="42">
        <v>0.0</v>
      </c>
      <c r="E108" s="42">
        <f t="shared" si="6"/>
        <v>77.59</v>
      </c>
      <c r="I108" s="51"/>
    </row>
    <row r="109" ht="12.75" customHeight="1">
      <c r="A109" s="51" t="s">
        <v>242</v>
      </c>
      <c r="B109" s="41">
        <v>28.0</v>
      </c>
      <c r="C109" s="126">
        <v>77.89</v>
      </c>
      <c r="D109" s="42">
        <v>0.0</v>
      </c>
      <c r="E109" s="42">
        <f t="shared" si="6"/>
        <v>77.89</v>
      </c>
      <c r="I109" s="51"/>
    </row>
    <row r="110" ht="12.75" customHeight="1">
      <c r="A110" s="51" t="s">
        <v>166</v>
      </c>
      <c r="B110" s="41" t="s">
        <v>16</v>
      </c>
      <c r="C110" s="42"/>
      <c r="D110" s="42">
        <v>0.0</v>
      </c>
      <c r="E110" s="42">
        <f t="shared" si="6"/>
        <v>0</v>
      </c>
      <c r="I110" s="40"/>
    </row>
    <row r="111" ht="12.75" customHeight="1">
      <c r="B111" s="41"/>
      <c r="C111" s="42"/>
      <c r="D111" s="42"/>
      <c r="E111" s="42"/>
      <c r="F111" s="89"/>
      <c r="G111" s="89"/>
      <c r="H111" s="89"/>
    </row>
    <row r="112" ht="14.25" customHeight="1">
      <c r="A112" s="34" t="s">
        <v>94</v>
      </c>
      <c r="B112" s="35"/>
      <c r="C112" s="35"/>
      <c r="D112" s="35"/>
      <c r="E112" s="35"/>
      <c r="F112" s="35"/>
      <c r="G112" s="35"/>
      <c r="H112" s="35"/>
      <c r="I112" s="36"/>
    </row>
    <row r="113" ht="17.25" customHeight="1">
      <c r="A113" s="99" t="s">
        <v>243</v>
      </c>
      <c r="B113" s="37">
        <v>5.0</v>
      </c>
      <c r="C113" s="147">
        <v>3195.55</v>
      </c>
      <c r="D113" s="101">
        <v>0.0</v>
      </c>
      <c r="E113" s="101">
        <f t="shared" ref="E113:E126" si="7">C113-D113</f>
        <v>3195.55</v>
      </c>
      <c r="F113" s="80">
        <f>SUM(E113:E126)</f>
        <v>6475.34</v>
      </c>
      <c r="G113" s="80"/>
      <c r="H113" s="80">
        <f>G113-F113</f>
        <v>-6475.34</v>
      </c>
      <c r="I113" s="51"/>
      <c r="J113" s="99"/>
      <c r="K113" s="99"/>
      <c r="L113" s="99"/>
      <c r="M113" s="99"/>
      <c r="N113" s="99"/>
      <c r="O113" s="99"/>
      <c r="P113" s="99"/>
      <c r="Q113" s="99"/>
      <c r="R113" s="99"/>
      <c r="S113" s="99"/>
      <c r="T113" s="99"/>
      <c r="U113" s="99"/>
      <c r="V113" s="99"/>
      <c r="W113" s="99"/>
      <c r="X113" s="99"/>
      <c r="Y113" s="99"/>
      <c r="Z113" s="99"/>
      <c r="AA113" s="99"/>
      <c r="AB113" s="99"/>
    </row>
    <row r="114" ht="14.25" customHeight="1">
      <c r="A114" s="51" t="s">
        <v>421</v>
      </c>
      <c r="B114" s="41">
        <v>5.0</v>
      </c>
      <c r="C114" s="42">
        <v>1822.06</v>
      </c>
      <c r="D114" s="42">
        <v>0.0</v>
      </c>
      <c r="E114" s="42">
        <f t="shared" si="7"/>
        <v>1822.06</v>
      </c>
      <c r="I114" s="40"/>
    </row>
    <row r="115" ht="12.75" customHeight="1">
      <c r="A115" s="76" t="s">
        <v>422</v>
      </c>
      <c r="B115" s="77" t="s">
        <v>16</v>
      </c>
      <c r="C115" s="79">
        <f>191</f>
        <v>191</v>
      </c>
      <c r="D115" s="79">
        <v>0.0</v>
      </c>
      <c r="E115" s="79">
        <f t="shared" si="7"/>
        <v>191</v>
      </c>
      <c r="I115" s="40"/>
    </row>
    <row r="116" ht="12.75" customHeight="1">
      <c r="A116" s="40" t="s">
        <v>196</v>
      </c>
      <c r="B116" s="41">
        <v>5.0</v>
      </c>
      <c r="C116" s="42">
        <v>59.19</v>
      </c>
      <c r="D116" s="42">
        <v>0.0</v>
      </c>
      <c r="E116" s="42">
        <f t="shared" si="7"/>
        <v>59.19</v>
      </c>
      <c r="I116" s="51"/>
    </row>
    <row r="117" ht="12.75" customHeight="1">
      <c r="A117" s="40" t="s">
        <v>156</v>
      </c>
      <c r="B117" s="41">
        <v>10.0</v>
      </c>
      <c r="C117" s="42">
        <v>93.67</v>
      </c>
      <c r="D117" s="42">
        <v>0.0</v>
      </c>
      <c r="E117" s="42">
        <f t="shared" si="7"/>
        <v>93.67</v>
      </c>
      <c r="I117" s="51"/>
    </row>
    <row r="118" ht="12.75" customHeight="1">
      <c r="A118" s="83" t="s">
        <v>249</v>
      </c>
      <c r="B118" s="77">
        <v>15.0</v>
      </c>
      <c r="C118" s="78">
        <v>277.15</v>
      </c>
      <c r="D118" s="79">
        <v>0.0</v>
      </c>
      <c r="E118" s="79">
        <f t="shared" si="7"/>
        <v>277.15</v>
      </c>
      <c r="I118" s="76" t="s">
        <v>415</v>
      </c>
    </row>
    <row r="119" ht="14.25" customHeight="1">
      <c r="A119" s="51" t="s">
        <v>251</v>
      </c>
      <c r="B119" s="62"/>
      <c r="C119" s="42">
        <f>16.9</f>
        <v>16.9</v>
      </c>
      <c r="D119" s="45">
        <v>0.0</v>
      </c>
      <c r="E119" s="42">
        <f t="shared" si="7"/>
        <v>16.9</v>
      </c>
      <c r="I119" s="51"/>
    </row>
    <row r="120" ht="14.25" customHeight="1">
      <c r="A120" s="51" t="s">
        <v>141</v>
      </c>
      <c r="B120" s="41">
        <v>17.0</v>
      </c>
      <c r="C120" s="45">
        <v>111.79</v>
      </c>
      <c r="D120" s="42"/>
      <c r="E120" s="42">
        <f t="shared" si="7"/>
        <v>111.79</v>
      </c>
      <c r="I120" s="51"/>
    </row>
    <row r="121" ht="14.25" customHeight="1">
      <c r="A121" s="40" t="s">
        <v>254</v>
      </c>
      <c r="B121" s="41">
        <v>20.0</v>
      </c>
      <c r="C121" s="45">
        <v>0.0</v>
      </c>
      <c r="D121" s="42">
        <v>0.0</v>
      </c>
      <c r="E121" s="42">
        <f t="shared" si="7"/>
        <v>0</v>
      </c>
      <c r="I121" s="40"/>
    </row>
    <row r="122" ht="14.25" customHeight="1">
      <c r="A122" s="40" t="s">
        <v>255</v>
      </c>
      <c r="B122" s="41">
        <v>20.0</v>
      </c>
      <c r="C122" s="45">
        <v>0.0</v>
      </c>
      <c r="D122" s="42">
        <v>0.0</v>
      </c>
      <c r="E122" s="42">
        <f t="shared" si="7"/>
        <v>0</v>
      </c>
      <c r="I122" s="40"/>
    </row>
    <row r="123" ht="12.75" customHeight="1">
      <c r="A123" s="51" t="s">
        <v>256</v>
      </c>
      <c r="B123" s="62">
        <v>30.0</v>
      </c>
      <c r="C123" s="45">
        <v>308.03</v>
      </c>
      <c r="D123" s="42">
        <v>0.0</v>
      </c>
      <c r="E123" s="42">
        <f t="shared" si="7"/>
        <v>308.03</v>
      </c>
      <c r="I123" s="51"/>
    </row>
    <row r="124" ht="12.75" customHeight="1">
      <c r="A124" s="51" t="s">
        <v>258</v>
      </c>
      <c r="B124" s="41">
        <v>20.0</v>
      </c>
      <c r="C124" s="45">
        <v>0.0</v>
      </c>
      <c r="D124" s="42">
        <v>0.0</v>
      </c>
      <c r="E124" s="42">
        <f t="shared" si="7"/>
        <v>0</v>
      </c>
      <c r="I124" s="40"/>
    </row>
    <row r="125" ht="12.75" customHeight="1">
      <c r="A125" s="40" t="s">
        <v>259</v>
      </c>
      <c r="B125" s="41">
        <v>28.0</v>
      </c>
      <c r="C125" s="42">
        <v>400.0</v>
      </c>
      <c r="D125" s="42">
        <v>0.0</v>
      </c>
      <c r="E125" s="42">
        <f t="shared" si="7"/>
        <v>400</v>
      </c>
      <c r="I125" s="40"/>
    </row>
    <row r="126" ht="12.75" customHeight="1">
      <c r="A126" s="40" t="s">
        <v>260</v>
      </c>
      <c r="B126" s="41">
        <v>18.0</v>
      </c>
      <c r="C126" s="91">
        <v>0.0</v>
      </c>
      <c r="D126" s="42">
        <v>0.0</v>
      </c>
      <c r="E126" s="42">
        <f t="shared" si="7"/>
        <v>0</v>
      </c>
      <c r="I126" s="40"/>
    </row>
    <row r="127" ht="12.75" customHeight="1">
      <c r="C127" s="42"/>
      <c r="D127" s="42"/>
      <c r="E127" s="42"/>
    </row>
    <row r="128" ht="14.25" customHeight="1">
      <c r="A128" s="34" t="s">
        <v>261</v>
      </c>
      <c r="B128" s="35"/>
      <c r="C128" s="35"/>
      <c r="D128" s="35"/>
      <c r="E128" s="35"/>
      <c r="F128" s="35"/>
      <c r="G128" s="35"/>
      <c r="H128" s="35"/>
      <c r="I128" s="36"/>
    </row>
    <row r="129" ht="14.25" customHeight="1">
      <c r="A129" s="51" t="s">
        <v>160</v>
      </c>
      <c r="B129" s="41">
        <v>3.0</v>
      </c>
      <c r="C129" s="45">
        <v>334.86</v>
      </c>
      <c r="D129" s="42">
        <v>0.0</v>
      </c>
      <c r="E129" s="42">
        <f t="shared" ref="E129:E148" si="8">C129-D129</f>
        <v>334.86</v>
      </c>
      <c r="F129" s="100">
        <f>SUM(E129:E149)</f>
        <v>16926.08</v>
      </c>
      <c r="G129" s="100"/>
      <c r="H129" s="80">
        <f>G129-F129</f>
        <v>-16926.08</v>
      </c>
      <c r="I129" s="51"/>
    </row>
    <row r="130" ht="14.25" customHeight="1">
      <c r="A130" s="51" t="s">
        <v>153</v>
      </c>
      <c r="B130" s="41">
        <v>3.0</v>
      </c>
      <c r="C130" s="126">
        <v>170.8</v>
      </c>
      <c r="D130" s="42">
        <v>0.0</v>
      </c>
      <c r="E130" s="101">
        <f t="shared" si="8"/>
        <v>170.8</v>
      </c>
      <c r="I130" s="51"/>
    </row>
    <row r="131" ht="15.0" customHeight="1">
      <c r="A131" s="51" t="s">
        <v>263</v>
      </c>
      <c r="B131" s="41">
        <v>5.0</v>
      </c>
      <c r="C131" s="45">
        <v>1368.8</v>
      </c>
      <c r="D131" s="42">
        <v>0.0</v>
      </c>
      <c r="E131" s="42">
        <f t="shared" si="8"/>
        <v>1368.8</v>
      </c>
      <c r="I131" s="51"/>
    </row>
    <row r="132">
      <c r="A132" s="76" t="s">
        <v>264</v>
      </c>
      <c r="B132" s="82" t="s">
        <v>16</v>
      </c>
      <c r="C132" s="79">
        <f>130</f>
        <v>130</v>
      </c>
      <c r="D132" s="98">
        <v>0.0</v>
      </c>
      <c r="E132" s="98">
        <f t="shared" si="8"/>
        <v>130</v>
      </c>
      <c r="I132" s="40"/>
    </row>
    <row r="133">
      <c r="A133" s="40" t="s">
        <v>101</v>
      </c>
      <c r="B133" s="41">
        <v>5.0</v>
      </c>
      <c r="C133" s="45">
        <v>1904.44</v>
      </c>
      <c r="D133" s="42">
        <v>0.0</v>
      </c>
      <c r="E133" s="42">
        <f t="shared" si="8"/>
        <v>1904.44</v>
      </c>
      <c r="I133" s="51"/>
    </row>
    <row r="134">
      <c r="A134" s="83" t="s">
        <v>265</v>
      </c>
      <c r="B134" s="77" t="s">
        <v>16</v>
      </c>
      <c r="C134" s="79">
        <f>40.7+203.5</f>
        <v>244.2</v>
      </c>
      <c r="D134" s="79">
        <v>0.0</v>
      </c>
      <c r="E134" s="79">
        <f t="shared" si="8"/>
        <v>244.2</v>
      </c>
      <c r="I134" s="40"/>
    </row>
    <row r="135">
      <c r="A135" s="40" t="s">
        <v>196</v>
      </c>
      <c r="B135" s="41">
        <v>5.0</v>
      </c>
      <c r="C135" s="42">
        <v>51.29</v>
      </c>
      <c r="D135" s="42">
        <v>0.0</v>
      </c>
      <c r="E135" s="42">
        <f t="shared" si="8"/>
        <v>51.29</v>
      </c>
      <c r="I135" s="51"/>
    </row>
    <row r="136" ht="14.25" customHeight="1">
      <c r="A136" s="148" t="s">
        <v>269</v>
      </c>
      <c r="B136" s="37">
        <v>10.0</v>
      </c>
      <c r="C136" s="101">
        <v>1171.25</v>
      </c>
      <c r="D136" s="147">
        <v>0.0</v>
      </c>
      <c r="E136" s="101">
        <f t="shared" si="8"/>
        <v>1171.25</v>
      </c>
      <c r="I136" s="51"/>
    </row>
    <row r="137" ht="14.25" customHeight="1">
      <c r="A137" s="51" t="s">
        <v>141</v>
      </c>
      <c r="B137" s="41">
        <v>15.0</v>
      </c>
      <c r="C137" s="45">
        <v>143.0</v>
      </c>
      <c r="D137" s="42">
        <v>0.0</v>
      </c>
      <c r="E137" s="42">
        <f t="shared" si="8"/>
        <v>143</v>
      </c>
      <c r="I137" s="51"/>
    </row>
    <row r="138" ht="14.25" customHeight="1">
      <c r="A138" s="83" t="s">
        <v>270</v>
      </c>
      <c r="B138" s="77">
        <v>15.0</v>
      </c>
      <c r="C138" s="79">
        <v>189.11</v>
      </c>
      <c r="D138" s="79">
        <v>0.0</v>
      </c>
      <c r="E138" s="79">
        <f t="shared" si="8"/>
        <v>189.11</v>
      </c>
      <c r="I138" s="76" t="s">
        <v>415</v>
      </c>
    </row>
    <row r="139" ht="12.75" customHeight="1">
      <c r="A139" s="40" t="s">
        <v>272</v>
      </c>
      <c r="B139" s="62" t="s">
        <v>423</v>
      </c>
      <c r="C139" s="45">
        <v>244.08</v>
      </c>
      <c r="D139" s="42">
        <v>0.0</v>
      </c>
      <c r="E139" s="42">
        <f t="shared" si="8"/>
        <v>244.08</v>
      </c>
      <c r="I139" s="51"/>
    </row>
    <row r="140" ht="12.75" customHeight="1">
      <c r="A140" s="40" t="s">
        <v>274</v>
      </c>
      <c r="B140" s="41">
        <v>20.0</v>
      </c>
      <c r="C140" s="45">
        <v>168.14</v>
      </c>
      <c r="D140" s="42">
        <v>0.0</v>
      </c>
      <c r="E140" s="42">
        <f t="shared" si="8"/>
        <v>168.14</v>
      </c>
      <c r="I140" s="51"/>
    </row>
    <row r="141" ht="12.75" customHeight="1">
      <c r="A141" s="51" t="s">
        <v>275</v>
      </c>
      <c r="B141" s="41">
        <v>20.0</v>
      </c>
      <c r="C141" s="45">
        <v>1831.14</v>
      </c>
      <c r="D141" s="42">
        <v>0.0</v>
      </c>
      <c r="E141" s="42">
        <f t="shared" si="8"/>
        <v>1831.14</v>
      </c>
      <c r="I141" s="51"/>
    </row>
    <row r="142" ht="12.75" customHeight="1">
      <c r="A142" s="40" t="s">
        <v>276</v>
      </c>
      <c r="B142" s="41">
        <v>22.0</v>
      </c>
      <c r="C142" s="42">
        <v>8549.0</v>
      </c>
      <c r="D142" s="42">
        <v>0.0</v>
      </c>
      <c r="E142" s="42">
        <f t="shared" si="8"/>
        <v>8549</v>
      </c>
      <c r="I142" s="51"/>
    </row>
    <row r="143" ht="12.75" customHeight="1">
      <c r="A143" s="40" t="s">
        <v>278</v>
      </c>
      <c r="B143" s="41" t="s">
        <v>16</v>
      </c>
      <c r="C143" s="42">
        <v>0.0</v>
      </c>
      <c r="D143" s="42">
        <v>0.0</v>
      </c>
      <c r="E143" s="42">
        <f t="shared" si="8"/>
        <v>0</v>
      </c>
      <c r="I143" s="40"/>
    </row>
    <row r="144" ht="12.75" customHeight="1">
      <c r="A144" s="40" t="s">
        <v>259</v>
      </c>
      <c r="B144" s="41">
        <v>28.0</v>
      </c>
      <c r="C144" s="42">
        <v>400.0</v>
      </c>
      <c r="D144" s="42">
        <v>0.0</v>
      </c>
      <c r="E144" s="42">
        <f t="shared" si="8"/>
        <v>400</v>
      </c>
      <c r="I144" s="40"/>
    </row>
    <row r="145" ht="12.75" customHeight="1">
      <c r="A145" s="40" t="s">
        <v>279</v>
      </c>
      <c r="B145" s="41">
        <v>16.0</v>
      </c>
      <c r="C145" s="42">
        <v>13.0</v>
      </c>
      <c r="D145" s="42">
        <v>0.0</v>
      </c>
      <c r="E145" s="42">
        <f t="shared" si="8"/>
        <v>13</v>
      </c>
      <c r="I145" s="40"/>
    </row>
    <row r="146" ht="12.75" customHeight="1">
      <c r="A146" s="40" t="s">
        <v>207</v>
      </c>
      <c r="B146" s="41"/>
      <c r="C146" s="42">
        <f>2.97+10</f>
        <v>12.97</v>
      </c>
      <c r="D146" s="42">
        <v>0.0</v>
      </c>
      <c r="E146" s="42">
        <f t="shared" si="8"/>
        <v>12.97</v>
      </c>
      <c r="I146" s="40"/>
    </row>
    <row r="147" ht="12.75" customHeight="1">
      <c r="A147" s="40" t="s">
        <v>280</v>
      </c>
      <c r="B147" s="41" t="s">
        <v>16</v>
      </c>
      <c r="C147" s="104"/>
      <c r="D147" s="42">
        <v>0.0</v>
      </c>
      <c r="E147" s="42">
        <f t="shared" si="8"/>
        <v>0</v>
      </c>
      <c r="I147" s="40"/>
    </row>
    <row r="148" ht="12.75" customHeight="1">
      <c r="A148" s="40" t="s">
        <v>281</v>
      </c>
      <c r="B148" s="41" t="s">
        <v>16</v>
      </c>
      <c r="C148" s="42"/>
      <c r="D148" s="42">
        <v>0.0</v>
      </c>
      <c r="E148" s="42">
        <f t="shared" si="8"/>
        <v>0</v>
      </c>
      <c r="I148" s="40"/>
    </row>
    <row r="149" ht="12.75" customHeight="1">
      <c r="A149" s="105"/>
      <c r="B149" s="105"/>
      <c r="C149" s="106"/>
      <c r="D149" s="106"/>
      <c r="E149" s="106"/>
    </row>
    <row r="150" ht="12.75" customHeight="1">
      <c r="A150" s="34" t="s">
        <v>130</v>
      </c>
      <c r="B150" s="35"/>
      <c r="C150" s="35"/>
      <c r="D150" s="35"/>
      <c r="E150" s="35"/>
      <c r="F150" s="35"/>
      <c r="G150" s="35"/>
      <c r="H150" s="35"/>
      <c r="I150" s="36"/>
    </row>
    <row r="151" ht="16.5" customHeight="1">
      <c r="A151" s="51" t="s">
        <v>141</v>
      </c>
      <c r="B151" s="41">
        <v>8.0</v>
      </c>
      <c r="C151" s="45">
        <v>147.84</v>
      </c>
      <c r="D151" s="42">
        <v>0.0</v>
      </c>
      <c r="E151" s="42">
        <f t="shared" ref="E151:E161" si="9">C151-D151</f>
        <v>147.84</v>
      </c>
      <c r="F151" s="100">
        <f>SUM(E151:E161)</f>
        <v>1339.19</v>
      </c>
      <c r="G151" s="100"/>
      <c r="H151" s="100">
        <f>G151-F151</f>
        <v>-1339.19</v>
      </c>
      <c r="I151" s="51"/>
    </row>
    <row r="152" ht="12.75" customHeight="1">
      <c r="A152" s="40" t="s">
        <v>156</v>
      </c>
      <c r="B152" s="41">
        <v>10.0</v>
      </c>
      <c r="C152" s="45">
        <v>124.9</v>
      </c>
      <c r="D152" s="42">
        <v>0.0</v>
      </c>
      <c r="E152" s="42">
        <f t="shared" si="9"/>
        <v>124.9</v>
      </c>
      <c r="I152" s="51"/>
    </row>
    <row r="153" ht="12.75" customHeight="1">
      <c r="A153" s="40" t="s">
        <v>158</v>
      </c>
      <c r="B153" s="41">
        <v>15.0</v>
      </c>
      <c r="C153" s="42">
        <v>268.34</v>
      </c>
      <c r="D153" s="42">
        <v>0.0</v>
      </c>
      <c r="E153" s="42">
        <f t="shared" si="9"/>
        <v>268.34</v>
      </c>
      <c r="I153" s="51"/>
    </row>
    <row r="154" ht="12.75" customHeight="1">
      <c r="A154" s="51" t="s">
        <v>165</v>
      </c>
      <c r="B154" s="41">
        <v>17.0</v>
      </c>
      <c r="C154" s="45">
        <v>44.75</v>
      </c>
      <c r="D154" s="42">
        <v>0.0</v>
      </c>
      <c r="E154" s="42">
        <f t="shared" si="9"/>
        <v>44.75</v>
      </c>
      <c r="I154" s="51"/>
    </row>
    <row r="155" ht="12.75" customHeight="1">
      <c r="A155" s="51" t="s">
        <v>160</v>
      </c>
      <c r="B155" s="41">
        <v>18.0</v>
      </c>
      <c r="C155" s="45">
        <v>127.24</v>
      </c>
      <c r="D155" s="42">
        <v>0.0</v>
      </c>
      <c r="E155" s="42">
        <f t="shared" si="9"/>
        <v>127.24</v>
      </c>
      <c r="I155" s="51"/>
    </row>
    <row r="156" ht="12.75" customHeight="1">
      <c r="A156" s="40" t="s">
        <v>283</v>
      </c>
      <c r="B156" s="41">
        <v>20.0</v>
      </c>
      <c r="C156" s="42">
        <v>0.0</v>
      </c>
      <c r="D156" s="42">
        <v>0.0</v>
      </c>
      <c r="E156" s="42">
        <f t="shared" si="9"/>
        <v>0</v>
      </c>
      <c r="I156" s="40"/>
    </row>
    <row r="157" ht="12.75" customHeight="1">
      <c r="A157" s="40" t="s">
        <v>284</v>
      </c>
      <c r="B157" s="41">
        <v>20.0</v>
      </c>
      <c r="C157" s="42">
        <v>0.0</v>
      </c>
      <c r="D157" s="42">
        <v>0.0</v>
      </c>
      <c r="E157" s="42">
        <f t="shared" si="9"/>
        <v>0</v>
      </c>
      <c r="I157" s="40"/>
    </row>
    <row r="158" ht="12.75" customHeight="1">
      <c r="A158" s="51" t="s">
        <v>285</v>
      </c>
      <c r="B158" s="41">
        <v>20.0</v>
      </c>
      <c r="C158" s="45">
        <v>226.12</v>
      </c>
      <c r="D158" s="42">
        <v>0.0</v>
      </c>
      <c r="E158" s="42">
        <f t="shared" si="9"/>
        <v>226.12</v>
      </c>
      <c r="I158" s="51"/>
    </row>
    <row r="159" ht="12.75" customHeight="1">
      <c r="A159" s="51" t="s">
        <v>286</v>
      </c>
      <c r="B159" s="41">
        <v>24.0</v>
      </c>
      <c r="C159" s="42"/>
      <c r="D159" s="42">
        <v>0.0</v>
      </c>
      <c r="E159" s="42">
        <f t="shared" si="9"/>
        <v>0</v>
      </c>
      <c r="I159" s="40"/>
    </row>
    <row r="160" ht="12.75" customHeight="1">
      <c r="A160" s="40" t="s">
        <v>287</v>
      </c>
      <c r="B160" s="41">
        <v>28.0</v>
      </c>
      <c r="C160" s="42">
        <v>400.0</v>
      </c>
      <c r="D160" s="42">
        <v>0.0</v>
      </c>
      <c r="E160" s="42">
        <f t="shared" si="9"/>
        <v>400</v>
      </c>
      <c r="I160" s="40"/>
    </row>
    <row r="161" ht="12.75" customHeight="1">
      <c r="A161" s="40" t="s">
        <v>288</v>
      </c>
      <c r="B161" s="41"/>
      <c r="C161" s="42"/>
      <c r="D161" s="42">
        <v>0.0</v>
      </c>
      <c r="E161" s="42">
        <f t="shared" si="9"/>
        <v>0</v>
      </c>
      <c r="I161" s="40"/>
    </row>
    <row r="162" ht="14.25" customHeight="1">
      <c r="A162" s="107"/>
      <c r="B162" s="107"/>
      <c r="C162" s="107"/>
      <c r="D162" s="107"/>
      <c r="E162" s="107"/>
      <c r="F162" s="41"/>
      <c r="G162" s="41"/>
      <c r="H162" s="41"/>
      <c r="I162" s="41"/>
    </row>
    <row r="163" ht="14.25" customHeight="1">
      <c r="A163" s="34" t="s">
        <v>102</v>
      </c>
      <c r="B163" s="35"/>
      <c r="C163" s="35"/>
      <c r="D163" s="35"/>
      <c r="E163" s="35"/>
      <c r="F163" s="35"/>
      <c r="G163" s="35"/>
      <c r="H163" s="35"/>
      <c r="I163" s="36"/>
    </row>
    <row r="164" ht="14.25" customHeight="1">
      <c r="A164" s="40" t="s">
        <v>103</v>
      </c>
      <c r="B164" s="41">
        <v>5.0</v>
      </c>
      <c r="C164" s="45">
        <v>1347.62</v>
      </c>
      <c r="D164" s="42">
        <v>0.0</v>
      </c>
      <c r="E164" s="42">
        <f t="shared" ref="E164:E192" si="10">C164-D164</f>
        <v>1347.62</v>
      </c>
      <c r="F164" s="80">
        <f>SUM(E164:E192)</f>
        <v>36334.8</v>
      </c>
      <c r="G164" s="80"/>
      <c r="H164" s="80">
        <f>G164-F164</f>
        <v>-36334.8</v>
      </c>
      <c r="I164" s="51"/>
    </row>
    <row r="165" ht="14.25" customHeight="1">
      <c r="A165" s="83" t="s">
        <v>289</v>
      </c>
      <c r="B165" s="77" t="s">
        <v>16</v>
      </c>
      <c r="C165" s="79">
        <f>100.8+168</f>
        <v>268.8</v>
      </c>
      <c r="D165" s="79">
        <v>0.0</v>
      </c>
      <c r="E165" s="79">
        <f t="shared" si="10"/>
        <v>268.8</v>
      </c>
      <c r="I165" s="40"/>
    </row>
    <row r="166" ht="14.25" customHeight="1">
      <c r="A166" s="40" t="s">
        <v>105</v>
      </c>
      <c r="B166" s="41">
        <v>5.0</v>
      </c>
      <c r="C166" s="42">
        <v>2000.05</v>
      </c>
      <c r="D166" s="42">
        <v>0.0</v>
      </c>
      <c r="E166" s="42">
        <f t="shared" si="10"/>
        <v>2000.05</v>
      </c>
      <c r="I166" s="51"/>
    </row>
    <row r="167" ht="14.25" customHeight="1">
      <c r="A167" s="83" t="s">
        <v>292</v>
      </c>
      <c r="B167" s="77"/>
      <c r="C167" s="79">
        <f>122.1+203.5</f>
        <v>325.6</v>
      </c>
      <c r="D167" s="79">
        <v>0.0</v>
      </c>
      <c r="E167" s="79">
        <f t="shared" si="10"/>
        <v>325.6</v>
      </c>
      <c r="I167" s="40"/>
    </row>
    <row r="168" ht="14.25" customHeight="1">
      <c r="A168" s="40" t="s">
        <v>106</v>
      </c>
      <c r="B168" s="41">
        <v>5.0</v>
      </c>
      <c r="C168" s="42">
        <v>2000.05</v>
      </c>
      <c r="D168" s="42">
        <v>0.0</v>
      </c>
      <c r="E168" s="42">
        <f t="shared" si="10"/>
        <v>2000.05</v>
      </c>
      <c r="I168" s="51"/>
    </row>
    <row r="169" ht="14.25" customHeight="1">
      <c r="A169" s="83" t="s">
        <v>293</v>
      </c>
      <c r="B169" s="77"/>
      <c r="C169" s="79">
        <f>119.7+199.5</f>
        <v>319.2</v>
      </c>
      <c r="D169" s="79">
        <v>0.0</v>
      </c>
      <c r="E169" s="79">
        <f t="shared" si="10"/>
        <v>319.2</v>
      </c>
      <c r="I169" s="40"/>
    </row>
    <row r="170" ht="14.25" customHeight="1">
      <c r="A170" s="40" t="s">
        <v>107</v>
      </c>
      <c r="B170" s="41">
        <v>5.0</v>
      </c>
      <c r="C170" s="42">
        <v>2200.0</v>
      </c>
      <c r="D170" s="42">
        <v>0.0</v>
      </c>
      <c r="E170" s="42">
        <f t="shared" si="10"/>
        <v>2200</v>
      </c>
      <c r="I170" s="51"/>
    </row>
    <row r="171" ht="12.75" customHeight="1">
      <c r="A171" s="83" t="s">
        <v>294</v>
      </c>
      <c r="B171" s="77"/>
      <c r="C171" s="79">
        <f>79.8+199.5</f>
        <v>279.3</v>
      </c>
      <c r="D171" s="79">
        <v>0.0</v>
      </c>
      <c r="E171" s="79">
        <f t="shared" si="10"/>
        <v>279.3</v>
      </c>
      <c r="I171" s="40"/>
    </row>
    <row r="172" ht="12.75" customHeight="1">
      <c r="A172" s="40" t="s">
        <v>295</v>
      </c>
      <c r="B172" s="41">
        <v>5.0</v>
      </c>
      <c r="C172" s="45">
        <v>1800.18</v>
      </c>
      <c r="D172" s="42">
        <v>0.0</v>
      </c>
      <c r="E172" s="42">
        <f t="shared" si="10"/>
        <v>1800.18</v>
      </c>
      <c r="I172" s="51"/>
    </row>
    <row r="173" ht="12.75" customHeight="1">
      <c r="A173" s="83" t="s">
        <v>296</v>
      </c>
      <c r="B173" s="77"/>
      <c r="C173" s="79">
        <f>100.8+168</f>
        <v>268.8</v>
      </c>
      <c r="D173" s="79">
        <v>0.0</v>
      </c>
      <c r="E173" s="79">
        <f t="shared" si="10"/>
        <v>268.8</v>
      </c>
      <c r="I173" s="40"/>
    </row>
    <row r="174" ht="12.75" customHeight="1">
      <c r="A174" s="40" t="s">
        <v>297</v>
      </c>
      <c r="B174" s="41">
        <v>5.0</v>
      </c>
      <c r="C174" s="45">
        <v>2000.05</v>
      </c>
      <c r="D174" s="42">
        <v>0.0</v>
      </c>
      <c r="E174" s="42">
        <f t="shared" si="10"/>
        <v>2000.05</v>
      </c>
      <c r="I174" s="51"/>
    </row>
    <row r="175" ht="12.75" customHeight="1">
      <c r="A175" s="83" t="s">
        <v>298</v>
      </c>
      <c r="B175" s="77"/>
      <c r="C175" s="79">
        <f>119.7+199.5</f>
        <v>319.2</v>
      </c>
      <c r="D175" s="79">
        <v>0.0</v>
      </c>
      <c r="E175" s="79">
        <f t="shared" si="10"/>
        <v>319.2</v>
      </c>
      <c r="I175" s="40"/>
    </row>
    <row r="176" ht="12.75" customHeight="1">
      <c r="A176" s="51" t="s">
        <v>299</v>
      </c>
      <c r="B176" s="41">
        <v>5.0</v>
      </c>
      <c r="C176" s="45">
        <v>1918.6</v>
      </c>
      <c r="D176" s="42">
        <v>0.0</v>
      </c>
      <c r="E176" s="42">
        <f t="shared" si="10"/>
        <v>1918.6</v>
      </c>
      <c r="I176" s="51"/>
    </row>
    <row r="177" ht="12.75" customHeight="1">
      <c r="A177" s="76" t="s">
        <v>300</v>
      </c>
      <c r="B177" s="77"/>
      <c r="C177" s="79">
        <f>89.8+224.5</f>
        <v>314.3</v>
      </c>
      <c r="D177" s="79">
        <v>0.0</v>
      </c>
      <c r="E177" s="79">
        <f t="shared" si="10"/>
        <v>314.3</v>
      </c>
      <c r="I177" s="40"/>
    </row>
    <row r="178" ht="12.75" customHeight="1">
      <c r="A178" s="51" t="s">
        <v>301</v>
      </c>
      <c r="B178" s="41">
        <v>5.0</v>
      </c>
      <c r="C178" s="45">
        <v>1800.18</v>
      </c>
      <c r="D178" s="42">
        <v>0.0</v>
      </c>
      <c r="E178" s="42">
        <f t="shared" si="10"/>
        <v>1800.18</v>
      </c>
      <c r="I178" s="51"/>
    </row>
    <row r="179" ht="12.75" customHeight="1">
      <c r="A179" s="76" t="s">
        <v>302</v>
      </c>
      <c r="B179" s="77"/>
      <c r="C179" s="79">
        <f>132+220</f>
        <v>352</v>
      </c>
      <c r="D179" s="79">
        <v>0.0</v>
      </c>
      <c r="E179" s="79">
        <f t="shared" si="10"/>
        <v>352</v>
      </c>
      <c r="I179" s="40"/>
    </row>
    <row r="180" ht="12.75" customHeight="1">
      <c r="A180" s="51" t="s">
        <v>303</v>
      </c>
      <c r="B180" s="41">
        <v>5.0</v>
      </c>
      <c r="C180" s="42">
        <f>248+1553</f>
        <v>1801</v>
      </c>
      <c r="D180" s="42">
        <v>0.0</v>
      </c>
      <c r="E180" s="42">
        <f t="shared" si="10"/>
        <v>1801</v>
      </c>
      <c r="I180" s="51"/>
    </row>
    <row r="181" ht="12.75" customHeight="1">
      <c r="A181" s="76" t="s">
        <v>305</v>
      </c>
      <c r="B181" s="77"/>
      <c r="C181" s="79">
        <f>78+130</f>
        <v>208</v>
      </c>
      <c r="D181" s="79">
        <v>0.0</v>
      </c>
      <c r="E181" s="79">
        <f t="shared" si="10"/>
        <v>208</v>
      </c>
      <c r="I181" s="40"/>
    </row>
    <row r="182" ht="12.75" customHeight="1">
      <c r="A182" s="51" t="s">
        <v>306</v>
      </c>
      <c r="B182" s="41"/>
      <c r="C182" s="45">
        <v>1553.0</v>
      </c>
      <c r="D182" s="42">
        <v>0.0</v>
      </c>
      <c r="E182" s="42">
        <f t="shared" si="10"/>
        <v>1553</v>
      </c>
      <c r="I182" s="51"/>
    </row>
    <row r="183" ht="12.75" customHeight="1">
      <c r="A183" s="51" t="s">
        <v>307</v>
      </c>
      <c r="B183" s="41"/>
      <c r="C183" s="42">
        <f>263.4+263.4+50+169.5</f>
        <v>746.3</v>
      </c>
      <c r="D183" s="42">
        <v>0.0</v>
      </c>
      <c r="E183" s="42">
        <f t="shared" si="10"/>
        <v>746.3</v>
      </c>
      <c r="I183" s="40"/>
    </row>
    <row r="184" ht="12.75" customHeight="1">
      <c r="A184" s="40" t="s">
        <v>308</v>
      </c>
      <c r="B184" s="41"/>
      <c r="C184" s="45">
        <v>0.0</v>
      </c>
      <c r="D184" s="42">
        <v>0.0</v>
      </c>
      <c r="E184" s="42">
        <f t="shared" si="10"/>
        <v>0</v>
      </c>
      <c r="I184" s="40"/>
    </row>
    <row r="185" ht="12.75" customHeight="1">
      <c r="A185" s="83" t="s">
        <v>309</v>
      </c>
      <c r="B185" s="77"/>
      <c r="C185" s="78">
        <f>163.8+273</f>
        <v>436.8</v>
      </c>
      <c r="D185" s="79">
        <v>0.0</v>
      </c>
      <c r="E185" s="79">
        <f t="shared" si="10"/>
        <v>436.8</v>
      </c>
      <c r="I185" s="40"/>
    </row>
    <row r="186" ht="12.75" customHeight="1">
      <c r="A186" s="51" t="s">
        <v>113</v>
      </c>
      <c r="B186" s="41"/>
      <c r="C186" s="45">
        <v>1012.0</v>
      </c>
      <c r="D186" s="42">
        <v>0.0</v>
      </c>
      <c r="E186" s="42">
        <f t="shared" si="10"/>
        <v>1012</v>
      </c>
      <c r="I186" s="51"/>
    </row>
    <row r="187" ht="12.75" customHeight="1">
      <c r="A187" s="76" t="s">
        <v>424</v>
      </c>
      <c r="B187" s="77"/>
      <c r="C187" s="79">
        <f>78+130</f>
        <v>208</v>
      </c>
      <c r="D187" s="79">
        <v>0.0</v>
      </c>
      <c r="E187" s="79">
        <f t="shared" si="10"/>
        <v>208</v>
      </c>
      <c r="I187" s="40"/>
    </row>
    <row r="188" ht="12.75" customHeight="1">
      <c r="A188" s="40" t="s">
        <v>213</v>
      </c>
      <c r="B188" s="41">
        <v>10.0</v>
      </c>
      <c r="C188" s="45">
        <v>4000.0</v>
      </c>
      <c r="D188" s="42">
        <v>400.0</v>
      </c>
      <c r="E188" s="42">
        <f t="shared" si="10"/>
        <v>3600</v>
      </c>
      <c r="I188" s="51"/>
    </row>
    <row r="189" ht="14.25" customHeight="1">
      <c r="A189" s="51" t="s">
        <v>141</v>
      </c>
      <c r="B189" s="41">
        <v>15.0</v>
      </c>
      <c r="C189" s="45">
        <v>128.47</v>
      </c>
      <c r="E189" s="42">
        <f t="shared" si="10"/>
        <v>128.47</v>
      </c>
      <c r="I189" s="51"/>
    </row>
    <row r="190" ht="14.25" customHeight="1">
      <c r="A190" s="51" t="s">
        <v>165</v>
      </c>
      <c r="B190" s="41">
        <v>17.0</v>
      </c>
      <c r="C190" s="45">
        <v>44.24</v>
      </c>
      <c r="D190" s="42">
        <v>0.0</v>
      </c>
      <c r="E190" s="42">
        <f t="shared" si="10"/>
        <v>44.24</v>
      </c>
      <c r="I190" s="51"/>
    </row>
    <row r="191" ht="14.25" customHeight="1">
      <c r="A191" s="51" t="s">
        <v>314</v>
      </c>
      <c r="B191" s="41">
        <v>18.0</v>
      </c>
      <c r="C191" s="45">
        <v>4406.52</v>
      </c>
      <c r="D191" s="42">
        <v>0.0</v>
      </c>
      <c r="E191" s="42">
        <f t="shared" si="10"/>
        <v>4406.52</v>
      </c>
      <c r="I191" s="51"/>
    </row>
    <row r="192" ht="14.25" customHeight="1">
      <c r="A192" s="149" t="s">
        <v>315</v>
      </c>
      <c r="B192" s="73">
        <v>26.0</v>
      </c>
      <c r="C192" s="65">
        <v>4676.54</v>
      </c>
      <c r="D192" s="64">
        <v>0.0</v>
      </c>
      <c r="E192" s="150">
        <f t="shared" si="10"/>
        <v>4676.54</v>
      </c>
      <c r="I192" s="51"/>
    </row>
    <row r="193" ht="14.25" customHeight="1">
      <c r="B193" s="41"/>
      <c r="C193" s="42"/>
      <c r="D193" s="42"/>
      <c r="E193" s="42"/>
      <c r="I193" s="40"/>
    </row>
    <row r="194" ht="14.25" customHeight="1">
      <c r="A194" s="34" t="s">
        <v>318</v>
      </c>
      <c r="B194" s="35"/>
      <c r="C194" s="35"/>
      <c r="D194" s="35"/>
      <c r="E194" s="35"/>
      <c r="F194" s="35"/>
      <c r="G194" s="35"/>
      <c r="H194" s="35"/>
      <c r="I194" s="36"/>
    </row>
    <row r="195" ht="14.25" customHeight="1">
      <c r="A195" s="40" t="s">
        <v>319</v>
      </c>
      <c r="B195" s="41">
        <v>11.0</v>
      </c>
      <c r="C195" s="42">
        <v>750.0</v>
      </c>
      <c r="D195" s="42">
        <v>0.0</v>
      </c>
      <c r="E195" s="42">
        <f t="shared" ref="E195:E204" si="11">C195-D195</f>
        <v>750</v>
      </c>
      <c r="F195" s="114">
        <f>SUM(E195:E214)</f>
        <v>24324.4</v>
      </c>
      <c r="G195" s="114"/>
      <c r="H195" s="114">
        <f>G195-F195</f>
        <v>-24324.4</v>
      </c>
      <c r="I195" s="51"/>
    </row>
    <row r="196" ht="12.75" customHeight="1">
      <c r="A196" s="40" t="s">
        <v>320</v>
      </c>
      <c r="B196" s="41">
        <v>15.0</v>
      </c>
      <c r="C196" s="45">
        <v>2955.59</v>
      </c>
      <c r="D196" s="42">
        <v>0.0</v>
      </c>
      <c r="E196" s="42">
        <f t="shared" si="11"/>
        <v>2955.59</v>
      </c>
      <c r="I196" s="51"/>
    </row>
    <row r="197" ht="15.75" customHeight="1">
      <c r="A197" s="40" t="s">
        <v>321</v>
      </c>
      <c r="B197" s="41">
        <v>20.0</v>
      </c>
      <c r="C197" s="42">
        <v>256.25</v>
      </c>
      <c r="D197" s="42">
        <v>0.0</v>
      </c>
      <c r="E197" s="42">
        <f t="shared" si="11"/>
        <v>256.25</v>
      </c>
      <c r="I197" s="40"/>
    </row>
    <row r="198" ht="14.25" customHeight="1">
      <c r="A198" s="40" t="s">
        <v>322</v>
      </c>
      <c r="B198" s="41">
        <v>20.0</v>
      </c>
      <c r="C198" s="42">
        <v>256.25</v>
      </c>
      <c r="D198" s="42">
        <v>0.0</v>
      </c>
      <c r="E198" s="42">
        <f t="shared" si="11"/>
        <v>256.25</v>
      </c>
      <c r="I198" s="40"/>
    </row>
    <row r="199" ht="12.75" customHeight="1">
      <c r="A199" s="40" t="s">
        <v>323</v>
      </c>
      <c r="B199" s="41">
        <v>20.0</v>
      </c>
      <c r="C199" s="42">
        <v>256.25</v>
      </c>
      <c r="D199" s="42">
        <v>0.0</v>
      </c>
      <c r="E199" s="42">
        <f t="shared" si="11"/>
        <v>256.25</v>
      </c>
      <c r="I199" s="40"/>
    </row>
    <row r="200" ht="12.75" customHeight="1">
      <c r="A200" s="51" t="s">
        <v>324</v>
      </c>
      <c r="B200" s="41">
        <v>20.0</v>
      </c>
      <c r="C200" s="42">
        <v>256.25</v>
      </c>
      <c r="D200" s="42">
        <v>0.0</v>
      </c>
      <c r="E200" s="42">
        <f t="shared" si="11"/>
        <v>256.25</v>
      </c>
      <c r="I200" s="40"/>
    </row>
    <row r="201" ht="12.75" customHeight="1">
      <c r="A201" s="51" t="s">
        <v>325</v>
      </c>
      <c r="B201" s="41">
        <v>20.0</v>
      </c>
      <c r="C201" s="42">
        <v>256.25</v>
      </c>
      <c r="D201" s="42">
        <v>0.0</v>
      </c>
      <c r="E201" s="42">
        <f t="shared" si="11"/>
        <v>256.25</v>
      </c>
      <c r="I201" s="40"/>
    </row>
    <row r="202" ht="12.75" customHeight="1">
      <c r="A202" s="51" t="s">
        <v>326</v>
      </c>
      <c r="B202" s="41">
        <v>20.0</v>
      </c>
      <c r="C202" s="42">
        <v>256.25</v>
      </c>
      <c r="D202" s="42">
        <v>0.0</v>
      </c>
      <c r="E202" s="42">
        <f t="shared" si="11"/>
        <v>256.25</v>
      </c>
      <c r="I202" s="40"/>
    </row>
    <row r="203" ht="12.75" customHeight="1">
      <c r="A203" s="83" t="s">
        <v>327</v>
      </c>
      <c r="B203" s="77">
        <v>22.0</v>
      </c>
      <c r="C203" s="92">
        <v>59.9</v>
      </c>
      <c r="D203" s="79">
        <v>0.0</v>
      </c>
      <c r="E203" s="79">
        <f t="shared" si="11"/>
        <v>59.9</v>
      </c>
      <c r="I203" s="76" t="s">
        <v>425</v>
      </c>
    </row>
    <row r="204" ht="12.75" customHeight="1">
      <c r="A204" s="40" t="s">
        <v>329</v>
      </c>
      <c r="B204" s="41">
        <v>22.0</v>
      </c>
      <c r="C204" s="45">
        <v>1561.65</v>
      </c>
      <c r="D204" s="42">
        <v>0.0</v>
      </c>
      <c r="E204" s="42">
        <f t="shared" si="11"/>
        <v>1561.65</v>
      </c>
      <c r="I204" s="51"/>
    </row>
    <row r="205" ht="12.75" customHeight="1">
      <c r="A205" s="40" t="s">
        <v>330</v>
      </c>
      <c r="B205" s="41">
        <v>23.0</v>
      </c>
      <c r="C205" s="45">
        <v>6000.0</v>
      </c>
      <c r="D205" s="42">
        <v>0.0</v>
      </c>
      <c r="E205" s="45">
        <v>0.0</v>
      </c>
      <c r="I205" s="40"/>
    </row>
    <row r="206" ht="12.75" customHeight="1">
      <c r="A206" s="51" t="s">
        <v>331</v>
      </c>
      <c r="B206" s="41">
        <v>11.0</v>
      </c>
      <c r="C206" s="45">
        <v>6000.0</v>
      </c>
      <c r="D206" s="42">
        <v>0.0</v>
      </c>
      <c r="E206" s="45">
        <v>0.0</v>
      </c>
      <c r="I206" s="40"/>
    </row>
    <row r="207" ht="12.75" customHeight="1">
      <c r="A207" s="51" t="s">
        <v>332</v>
      </c>
      <c r="B207" s="41">
        <v>25.0</v>
      </c>
      <c r="C207" s="42">
        <v>800.0</v>
      </c>
      <c r="D207" s="42">
        <v>0.0</v>
      </c>
      <c r="E207" s="42">
        <f t="shared" ref="E207:E213" si="12">C207-D207</f>
        <v>800</v>
      </c>
      <c r="I207" s="40"/>
    </row>
    <row r="208" ht="14.25" customHeight="1">
      <c r="A208" s="51" t="s">
        <v>333</v>
      </c>
      <c r="B208" s="41">
        <v>25.0</v>
      </c>
      <c r="C208" s="42">
        <v>800.0</v>
      </c>
      <c r="D208" s="42">
        <v>0.0</v>
      </c>
      <c r="E208" s="42">
        <f t="shared" si="12"/>
        <v>800</v>
      </c>
      <c r="I208" s="51"/>
    </row>
    <row r="209" ht="14.25" customHeight="1">
      <c r="A209" s="51" t="s">
        <v>334</v>
      </c>
      <c r="B209" s="41">
        <v>25.0</v>
      </c>
      <c r="C209" s="42">
        <v>800.0</v>
      </c>
      <c r="D209" s="42">
        <v>0.0</v>
      </c>
      <c r="E209" s="42">
        <f t="shared" si="12"/>
        <v>800</v>
      </c>
      <c r="I209" s="51"/>
    </row>
    <row r="210" ht="14.25" customHeight="1">
      <c r="A210" s="51" t="s">
        <v>426</v>
      </c>
      <c r="B210" s="62">
        <v>10.0</v>
      </c>
      <c r="C210" s="45">
        <v>3119.87</v>
      </c>
      <c r="D210" s="42">
        <v>0.0</v>
      </c>
      <c r="E210" s="42">
        <f t="shared" si="12"/>
        <v>3119.87</v>
      </c>
      <c r="I210" s="51"/>
    </row>
    <row r="211" ht="14.25" customHeight="1">
      <c r="A211" s="51" t="s">
        <v>427</v>
      </c>
      <c r="B211" s="41">
        <v>25.0</v>
      </c>
      <c r="C211" s="45">
        <v>5908.7</v>
      </c>
      <c r="D211" s="42">
        <v>0.0</v>
      </c>
      <c r="E211" s="42">
        <f t="shared" si="12"/>
        <v>5908.7</v>
      </c>
      <c r="I211" s="51"/>
    </row>
    <row r="212" ht="14.25" customHeight="1">
      <c r="A212" s="51" t="s">
        <v>337</v>
      </c>
      <c r="B212" s="41">
        <v>30.0</v>
      </c>
      <c r="C212" s="42">
        <v>5851.19</v>
      </c>
      <c r="D212" s="42">
        <v>0.0</v>
      </c>
      <c r="E212" s="42">
        <f t="shared" si="12"/>
        <v>5851.19</v>
      </c>
      <c r="I212" s="51"/>
    </row>
    <row r="213" ht="14.25" customHeight="1">
      <c r="A213" s="51" t="s">
        <v>338</v>
      </c>
      <c r="B213" s="41">
        <v>22.0</v>
      </c>
      <c r="C213" s="45">
        <v>180.0</v>
      </c>
      <c r="D213" s="42">
        <v>0.0</v>
      </c>
      <c r="E213" s="42">
        <f t="shared" si="12"/>
        <v>180</v>
      </c>
      <c r="I213" s="51"/>
    </row>
    <row r="214" ht="14.25" customHeight="1">
      <c r="A214" s="40" t="s">
        <v>339</v>
      </c>
      <c r="B214" s="41"/>
      <c r="C214" s="42"/>
      <c r="D214" s="42">
        <v>0.0</v>
      </c>
      <c r="E214" s="42"/>
      <c r="I214" s="40"/>
    </row>
    <row r="215" ht="14.25" customHeight="1">
      <c r="A215" s="40"/>
      <c r="B215" s="41"/>
      <c r="C215" s="42"/>
      <c r="D215" s="42"/>
      <c r="E215" s="42"/>
      <c r="I215" s="40"/>
    </row>
    <row r="216" ht="14.25" customHeight="1">
      <c r="A216" s="34" t="s">
        <v>340</v>
      </c>
      <c r="B216" s="35"/>
      <c r="C216" s="35"/>
      <c r="D216" s="35"/>
      <c r="E216" s="35"/>
      <c r="F216" s="35"/>
      <c r="G216" s="35"/>
      <c r="H216" s="35"/>
      <c r="I216" s="36"/>
    </row>
    <row r="217" ht="14.25" customHeight="1">
      <c r="A217" s="51" t="s">
        <v>368</v>
      </c>
      <c r="B217" s="62"/>
      <c r="C217" s="45">
        <f>616.14</f>
        <v>616.14</v>
      </c>
      <c r="D217" s="42">
        <v>0.0</v>
      </c>
      <c r="E217" s="42">
        <f t="shared" ref="E217:E224" si="13">C217-D217</f>
        <v>616.14</v>
      </c>
      <c r="F217" s="114">
        <f>SUM(E217:E235)</f>
        <v>10268.71</v>
      </c>
      <c r="G217" s="114"/>
      <c r="H217" s="114">
        <f>G217-F217</f>
        <v>-10268.71</v>
      </c>
      <c r="I217" s="51"/>
    </row>
    <row r="218" ht="14.25" customHeight="1">
      <c r="A218" s="51" t="s">
        <v>428</v>
      </c>
      <c r="B218" s="62"/>
      <c r="C218" s="45">
        <f>2375.44</f>
        <v>2375.44</v>
      </c>
      <c r="D218" s="42">
        <v>0.0</v>
      </c>
      <c r="E218" s="42">
        <f t="shared" si="13"/>
        <v>2375.44</v>
      </c>
      <c r="I218" s="51"/>
    </row>
    <row r="219" ht="14.25" customHeight="1">
      <c r="A219" s="51" t="s">
        <v>429</v>
      </c>
      <c r="B219" s="62"/>
      <c r="C219" s="45">
        <v>1687.55</v>
      </c>
      <c r="D219" s="42">
        <v>0.0</v>
      </c>
      <c r="E219" s="42">
        <f t="shared" si="13"/>
        <v>1687.55</v>
      </c>
      <c r="I219" s="51"/>
    </row>
    <row r="220" ht="14.25" customHeight="1">
      <c r="A220" s="51" t="s">
        <v>430</v>
      </c>
      <c r="B220" s="62">
        <v>17.0</v>
      </c>
      <c r="C220" s="45">
        <v>1888.25</v>
      </c>
      <c r="D220" s="42">
        <v>0.0</v>
      </c>
      <c r="E220" s="42">
        <f t="shared" si="13"/>
        <v>1888.25</v>
      </c>
      <c r="I220" s="51"/>
    </row>
    <row r="221" ht="14.25" customHeight="1">
      <c r="A221" s="76" t="s">
        <v>431</v>
      </c>
      <c r="B221" s="94">
        <v>19.0</v>
      </c>
      <c r="C221" s="78">
        <v>300.0</v>
      </c>
      <c r="D221" s="79">
        <v>0.0</v>
      </c>
      <c r="E221" s="79">
        <f t="shared" si="13"/>
        <v>300</v>
      </c>
      <c r="I221" s="76" t="s">
        <v>432</v>
      </c>
    </row>
    <row r="222" ht="14.25" customHeight="1">
      <c r="A222" s="76" t="s">
        <v>433</v>
      </c>
      <c r="B222" s="94">
        <v>19.0</v>
      </c>
      <c r="C222" s="78">
        <v>612.01</v>
      </c>
      <c r="D222" s="79">
        <v>0.0</v>
      </c>
      <c r="E222" s="79">
        <f t="shared" si="13"/>
        <v>612.01</v>
      </c>
      <c r="I222" s="76" t="s">
        <v>432</v>
      </c>
    </row>
    <row r="223" ht="14.25" customHeight="1">
      <c r="A223" s="76" t="s">
        <v>434</v>
      </c>
      <c r="B223" s="94">
        <v>19.0</v>
      </c>
      <c r="C223" s="78">
        <v>413.88</v>
      </c>
      <c r="D223" s="79">
        <v>0.0</v>
      </c>
      <c r="E223" s="79">
        <f t="shared" si="13"/>
        <v>413.88</v>
      </c>
      <c r="I223" s="76" t="s">
        <v>432</v>
      </c>
    </row>
    <row r="224" ht="14.25" customHeight="1">
      <c r="A224" s="51" t="s">
        <v>435</v>
      </c>
      <c r="B224" s="62">
        <v>21.0</v>
      </c>
      <c r="C224" s="45">
        <f>2375.44</f>
        <v>2375.44</v>
      </c>
      <c r="D224" s="42">
        <v>0.0</v>
      </c>
      <c r="E224" s="42">
        <f t="shared" si="13"/>
        <v>2375.44</v>
      </c>
      <c r="I224" s="51"/>
    </row>
    <row r="225" ht="14.25" customHeight="1">
      <c r="A225" s="51"/>
      <c r="B225" s="62"/>
      <c r="C225" s="45"/>
      <c r="D225" s="42"/>
      <c r="E225" s="42"/>
      <c r="I225" s="51"/>
    </row>
    <row r="226" ht="14.25" customHeight="1">
      <c r="A226" s="51"/>
      <c r="B226" s="62"/>
      <c r="C226" s="45"/>
      <c r="D226" s="45"/>
      <c r="E226" s="42"/>
      <c r="I226" s="51"/>
    </row>
    <row r="227" ht="14.25" customHeight="1">
      <c r="A227" s="51"/>
      <c r="B227" s="62"/>
      <c r="C227" s="45"/>
      <c r="D227" s="45"/>
      <c r="E227" s="42"/>
      <c r="I227" s="51"/>
    </row>
    <row r="228" ht="14.25" customHeight="1">
      <c r="A228" s="51"/>
      <c r="B228" s="62"/>
      <c r="C228" s="45"/>
      <c r="D228" s="42"/>
      <c r="E228" s="42"/>
      <c r="I228" s="51"/>
    </row>
    <row r="229" ht="14.25" customHeight="1">
      <c r="A229" s="51"/>
      <c r="B229" s="62"/>
      <c r="C229" s="45"/>
      <c r="D229" s="45"/>
      <c r="E229" s="42"/>
      <c r="I229" s="51"/>
    </row>
    <row r="230" ht="14.25" customHeight="1">
      <c r="A230" s="51"/>
      <c r="B230" s="41"/>
      <c r="C230" s="45"/>
      <c r="D230" s="42"/>
      <c r="E230" s="42"/>
      <c r="I230" s="51"/>
    </row>
    <row r="231" ht="14.25" customHeight="1">
      <c r="A231" s="51"/>
      <c r="B231" s="62"/>
      <c r="C231" s="45"/>
      <c r="D231" s="45"/>
      <c r="E231" s="42"/>
      <c r="I231" s="51"/>
    </row>
    <row r="232" ht="14.25" customHeight="1">
      <c r="A232" s="51"/>
      <c r="B232" s="41"/>
      <c r="C232" s="45"/>
      <c r="D232" s="42"/>
      <c r="E232" s="42"/>
      <c r="I232" s="51"/>
    </row>
    <row r="233" ht="14.25" customHeight="1">
      <c r="A233" s="51"/>
      <c r="B233" s="62"/>
      <c r="C233" s="45"/>
      <c r="D233" s="42"/>
      <c r="E233" s="42"/>
      <c r="I233" s="51"/>
    </row>
    <row r="234" ht="14.25" customHeight="1">
      <c r="A234" s="51"/>
      <c r="B234" s="62"/>
      <c r="C234" s="45"/>
      <c r="D234" s="45"/>
      <c r="E234" s="42"/>
      <c r="I234" s="51"/>
    </row>
    <row r="235" ht="14.25" customHeight="1">
      <c r="A235" s="51"/>
      <c r="B235" s="62"/>
      <c r="C235" s="45"/>
      <c r="D235" s="42"/>
      <c r="E235" s="42"/>
      <c r="I235" s="40"/>
    </row>
    <row r="236" ht="14.25" customHeight="1">
      <c r="A236" s="40"/>
      <c r="B236" s="41"/>
      <c r="C236" s="42"/>
      <c r="D236" s="42"/>
      <c r="E236" s="42"/>
      <c r="I236" s="40"/>
    </row>
    <row r="237" ht="14.25" customHeight="1">
      <c r="A237" s="34" t="s">
        <v>369</v>
      </c>
      <c r="B237" s="35"/>
      <c r="C237" s="35"/>
      <c r="D237" s="35"/>
      <c r="E237" s="35"/>
      <c r="F237" s="35"/>
      <c r="G237" s="35"/>
      <c r="H237" s="35"/>
      <c r="I237" s="36"/>
    </row>
    <row r="238" ht="12.75" customHeight="1">
      <c r="A238" s="51" t="s">
        <v>393</v>
      </c>
      <c r="B238" s="41"/>
      <c r="C238" s="45">
        <v>2134.0</v>
      </c>
      <c r="D238" s="45">
        <v>0.0</v>
      </c>
      <c r="E238" s="42">
        <f t="shared" ref="E238:E248" si="14">C238-D238</f>
        <v>2134</v>
      </c>
      <c r="F238" s="100">
        <f>SUM(E238:E283)</f>
        <v>5347.35</v>
      </c>
      <c r="G238" s="100"/>
      <c r="H238" s="100">
        <f>G238-F238</f>
        <v>-5347.35</v>
      </c>
      <c r="I238" s="51"/>
    </row>
    <row r="239" ht="12.75" customHeight="1">
      <c r="A239" s="115" t="s">
        <v>436</v>
      </c>
      <c r="B239" s="77"/>
      <c r="C239" s="78">
        <v>1666.68</v>
      </c>
      <c r="D239" s="78">
        <v>0.0</v>
      </c>
      <c r="E239" s="79">
        <f t="shared" si="14"/>
        <v>1666.68</v>
      </c>
      <c r="I239" s="76" t="s">
        <v>425</v>
      </c>
    </row>
    <row r="240" ht="12.75" customHeight="1">
      <c r="A240" s="76" t="s">
        <v>437</v>
      </c>
      <c r="B240" s="77"/>
      <c r="C240" s="78">
        <v>115.0</v>
      </c>
      <c r="D240" s="78">
        <v>0.0</v>
      </c>
      <c r="E240" s="79">
        <f t="shared" si="14"/>
        <v>115</v>
      </c>
      <c r="I240" s="76" t="s">
        <v>438</v>
      </c>
    </row>
    <row r="241" ht="12.75" customHeight="1">
      <c r="A241" s="76" t="s">
        <v>439</v>
      </c>
      <c r="B241" s="77"/>
      <c r="C241" s="78">
        <v>220.0</v>
      </c>
      <c r="D241" s="78">
        <v>0.0</v>
      </c>
      <c r="E241" s="79">
        <f t="shared" si="14"/>
        <v>220</v>
      </c>
      <c r="I241" s="76" t="s">
        <v>425</v>
      </c>
    </row>
    <row r="242" ht="15.0" customHeight="1">
      <c r="A242" s="76" t="s">
        <v>440</v>
      </c>
      <c r="B242" s="77"/>
      <c r="C242" s="78">
        <v>400.0</v>
      </c>
      <c r="D242" s="78">
        <v>0.0</v>
      </c>
      <c r="E242" s="79">
        <f t="shared" si="14"/>
        <v>400</v>
      </c>
      <c r="I242" s="76" t="s">
        <v>425</v>
      </c>
    </row>
    <row r="243" ht="15.0" customHeight="1">
      <c r="A243" s="76" t="s">
        <v>441</v>
      </c>
      <c r="B243" s="77"/>
      <c r="C243" s="78">
        <v>50.0</v>
      </c>
      <c r="D243" s="78">
        <v>0.0</v>
      </c>
      <c r="E243" s="79">
        <f t="shared" si="14"/>
        <v>50</v>
      </c>
      <c r="I243" s="76" t="s">
        <v>420</v>
      </c>
    </row>
    <row r="244" ht="15.75" customHeight="1">
      <c r="A244" s="76" t="s">
        <v>442</v>
      </c>
      <c r="B244" s="77"/>
      <c r="C244" s="78">
        <v>30.0</v>
      </c>
      <c r="D244" s="78">
        <v>0.0</v>
      </c>
      <c r="E244" s="79">
        <f t="shared" si="14"/>
        <v>30</v>
      </c>
      <c r="I244" s="76" t="s">
        <v>420</v>
      </c>
    </row>
    <row r="245" ht="12.75" customHeight="1">
      <c r="A245" s="76" t="s">
        <v>443</v>
      </c>
      <c r="B245" s="77"/>
      <c r="C245" s="78">
        <v>50.0</v>
      </c>
      <c r="D245" s="78">
        <v>0.0</v>
      </c>
      <c r="E245" s="79">
        <f t="shared" si="14"/>
        <v>50</v>
      </c>
      <c r="I245" s="76" t="s">
        <v>420</v>
      </c>
    </row>
    <row r="246" ht="12.75" customHeight="1">
      <c r="A246" s="76" t="s">
        <v>444</v>
      </c>
      <c r="B246" s="77"/>
      <c r="C246" s="78">
        <v>300.0</v>
      </c>
      <c r="D246" s="78">
        <v>0.0</v>
      </c>
      <c r="E246" s="79">
        <f t="shared" si="14"/>
        <v>300</v>
      </c>
      <c r="I246" s="76" t="s">
        <v>432</v>
      </c>
    </row>
    <row r="247" ht="12.75" customHeight="1">
      <c r="A247" s="76" t="s">
        <v>445</v>
      </c>
      <c r="B247" s="77"/>
      <c r="C247" s="78">
        <v>215.0</v>
      </c>
      <c r="D247" s="78">
        <v>0.0</v>
      </c>
      <c r="E247" s="79">
        <f t="shared" si="14"/>
        <v>215</v>
      </c>
      <c r="I247" s="76" t="s">
        <v>432</v>
      </c>
    </row>
    <row r="248" ht="12.75" customHeight="1">
      <c r="A248" s="110" t="s">
        <v>446</v>
      </c>
      <c r="B248" s="77"/>
      <c r="C248" s="78">
        <v>166.67</v>
      </c>
      <c r="D248" s="78">
        <v>0.0</v>
      </c>
      <c r="E248" s="79">
        <f t="shared" si="14"/>
        <v>166.67</v>
      </c>
      <c r="I248" s="76" t="s">
        <v>415</v>
      </c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</row>
    <row r="249" ht="12.75" customHeight="1">
      <c r="A249" s="149"/>
      <c r="B249" s="41"/>
      <c r="C249" s="45"/>
      <c r="D249" s="45"/>
      <c r="E249" s="42"/>
      <c r="I249" s="51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</row>
    <row r="250" ht="12.75" customHeight="1">
      <c r="A250" s="149"/>
      <c r="B250" s="41"/>
      <c r="C250" s="45"/>
      <c r="D250" s="45"/>
      <c r="E250" s="42"/>
      <c r="I250" s="51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</row>
    <row r="251" ht="12.75" customHeight="1">
      <c r="A251" s="149"/>
      <c r="B251" s="41"/>
      <c r="C251" s="45"/>
      <c r="D251" s="45"/>
      <c r="E251" s="42"/>
      <c r="I251" s="51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</row>
    <row r="252" ht="12.75" customHeight="1">
      <c r="A252" s="149"/>
      <c r="B252" s="41"/>
      <c r="C252" s="45"/>
      <c r="D252" s="45"/>
      <c r="E252" s="42"/>
      <c r="I252" s="51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</row>
    <row r="253" ht="12.75" customHeight="1">
      <c r="A253" s="51"/>
      <c r="B253" s="41"/>
      <c r="C253" s="45"/>
      <c r="D253" s="45"/>
      <c r="E253" s="42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</row>
    <row r="254" ht="12.75" customHeight="1">
      <c r="A254" s="51"/>
      <c r="B254" s="62"/>
      <c r="C254" s="45"/>
      <c r="D254" s="45"/>
      <c r="E254" s="42"/>
      <c r="I254" s="51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</row>
    <row r="255" ht="12.75" customHeight="1">
      <c r="A255" s="40"/>
      <c r="B255" s="41"/>
      <c r="C255" s="42"/>
      <c r="D255" s="42"/>
      <c r="E255" s="42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</row>
    <row r="256" ht="12.75" customHeight="1">
      <c r="A256" s="40"/>
      <c r="B256" s="41"/>
      <c r="C256" s="42"/>
      <c r="D256" s="42"/>
      <c r="E256" s="42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</row>
    <row r="257" ht="12.75" customHeight="1">
      <c r="A257" s="40"/>
      <c r="B257" s="41"/>
      <c r="C257" s="42"/>
      <c r="D257" s="42"/>
      <c r="E257" s="42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</row>
    <row r="258" ht="12.75" customHeight="1">
      <c r="A258" s="40"/>
      <c r="B258" s="41"/>
      <c r="C258" s="42"/>
      <c r="D258" s="42"/>
      <c r="E258" s="42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</row>
    <row r="259" ht="15.0" customHeight="1">
      <c r="A259" s="40"/>
      <c r="B259" s="41"/>
      <c r="C259" s="42"/>
      <c r="D259" s="42"/>
      <c r="E259" s="42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</row>
    <row r="260" ht="12.75" customHeight="1">
      <c r="A260" s="40"/>
      <c r="B260" s="41"/>
      <c r="C260" s="42"/>
      <c r="D260" s="42"/>
      <c r="E260" s="42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</row>
    <row r="261" ht="12.75" customHeight="1">
      <c r="A261" s="40"/>
      <c r="B261" s="41"/>
      <c r="C261" s="42"/>
      <c r="D261" s="42"/>
      <c r="E261" s="42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</row>
    <row r="262" ht="12.75" customHeight="1">
      <c r="A262" s="40"/>
      <c r="B262" s="41"/>
      <c r="C262" s="42"/>
      <c r="D262" s="42"/>
      <c r="E262" s="42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</row>
    <row r="263" ht="12.75" customHeight="1">
      <c r="A263" s="40"/>
      <c r="B263" s="41"/>
      <c r="C263" s="42"/>
      <c r="D263" s="42"/>
      <c r="E263" s="42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</row>
    <row r="264" ht="12.75" customHeight="1">
      <c r="A264" s="40"/>
      <c r="B264" s="41"/>
      <c r="C264" s="42"/>
      <c r="D264" s="42"/>
      <c r="E264" s="42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</row>
    <row r="265" ht="12.75" customHeight="1">
      <c r="A265" s="40"/>
      <c r="B265" s="41"/>
      <c r="C265" s="42"/>
      <c r="D265" s="42"/>
      <c r="E265" s="42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</row>
    <row r="266" ht="12.75" customHeight="1">
      <c r="A266" s="40"/>
      <c r="B266" s="41"/>
      <c r="C266" s="42"/>
      <c r="D266" s="42"/>
      <c r="E266" s="42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</row>
    <row r="267" ht="12.75" customHeight="1">
      <c r="A267" s="40"/>
      <c r="B267" s="41"/>
      <c r="C267" s="42"/>
      <c r="D267" s="42"/>
      <c r="E267" s="42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</row>
    <row r="268" ht="12.75" customHeight="1">
      <c r="A268" s="40"/>
      <c r="B268" s="41"/>
      <c r="C268" s="42"/>
      <c r="D268" s="42"/>
      <c r="E268" s="42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</row>
    <row r="269" ht="12.75" customHeight="1">
      <c r="A269" s="40"/>
      <c r="B269" s="41"/>
      <c r="C269" s="42"/>
      <c r="D269" s="42"/>
      <c r="E269" s="42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</row>
    <row r="270" ht="12.75" customHeight="1">
      <c r="A270" s="40"/>
      <c r="B270" s="41"/>
      <c r="C270" s="42"/>
      <c r="D270" s="42"/>
      <c r="E270" s="42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</row>
    <row r="271" ht="12.75" customHeight="1">
      <c r="A271" s="40"/>
      <c r="B271" s="41"/>
      <c r="C271" s="42"/>
      <c r="D271" s="42"/>
      <c r="E271" s="42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</row>
    <row r="272" ht="12.75" customHeight="1">
      <c r="A272" s="40"/>
      <c r="B272" s="41"/>
      <c r="C272" s="42"/>
      <c r="D272" s="42"/>
      <c r="E272" s="42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</row>
    <row r="273" ht="12.75" customHeight="1">
      <c r="A273" s="40"/>
      <c r="B273" s="41"/>
      <c r="C273" s="42"/>
      <c r="D273" s="42"/>
      <c r="E273" s="42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</row>
    <row r="274" ht="12.75" customHeight="1">
      <c r="A274" s="40"/>
      <c r="B274" s="41"/>
      <c r="C274" s="42"/>
      <c r="D274" s="42"/>
      <c r="E274" s="42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</row>
    <row r="275" ht="12.75" customHeight="1">
      <c r="A275" s="40"/>
      <c r="B275" s="41"/>
      <c r="C275" s="42"/>
      <c r="D275" s="42"/>
      <c r="E275" s="42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</row>
    <row r="276" ht="12.75" customHeight="1">
      <c r="A276" s="40"/>
      <c r="B276" s="41"/>
      <c r="C276" s="42"/>
      <c r="D276" s="42"/>
      <c r="E276" s="42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</row>
    <row r="277" ht="12.0" customHeight="1">
      <c r="A277" s="40"/>
      <c r="B277" s="41"/>
      <c r="C277" s="42"/>
      <c r="D277" s="42"/>
      <c r="E277" s="42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</row>
    <row r="278" ht="12.0" customHeight="1">
      <c r="A278" s="40"/>
      <c r="B278" s="41"/>
      <c r="C278" s="42"/>
      <c r="D278" s="42"/>
      <c r="E278" s="42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</row>
    <row r="279" ht="12.0" customHeight="1">
      <c r="A279" s="40"/>
      <c r="B279" s="41"/>
      <c r="C279" s="42"/>
      <c r="D279" s="42"/>
      <c r="E279" s="42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</row>
    <row r="280" ht="12.0" customHeight="1">
      <c r="A280" s="40"/>
      <c r="B280" s="41"/>
      <c r="C280" s="42"/>
      <c r="D280" s="42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</row>
    <row r="281" ht="12.0" customHeight="1">
      <c r="A281" s="40"/>
      <c r="B281" s="41"/>
      <c r="C281" s="42"/>
      <c r="D281" s="42"/>
      <c r="E281" s="42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</row>
    <row r="282" ht="12.0" customHeight="1">
      <c r="A282" s="40"/>
      <c r="B282" s="41"/>
      <c r="C282" s="42"/>
      <c r="D282" s="42"/>
      <c r="E282" s="42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</row>
    <row r="283" ht="18.75" customHeight="1">
      <c r="A283" s="40"/>
      <c r="B283" s="41"/>
      <c r="C283" s="42"/>
      <c r="D283" s="42"/>
      <c r="E283" s="42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</row>
    <row r="284" ht="12.75" customHeight="1">
      <c r="A284" s="40"/>
      <c r="B284" s="41"/>
      <c r="C284" s="42"/>
      <c r="D284" s="42"/>
      <c r="E284" s="42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</row>
    <row r="285" ht="12.75" customHeight="1">
      <c r="A285" s="116" t="s">
        <v>447</v>
      </c>
      <c r="B285" s="9"/>
      <c r="C285" s="9"/>
      <c r="D285" s="10"/>
      <c r="E285" s="117">
        <f t="shared" ref="E285:H285" si="15">SUM(E4:E284)</f>
        <v>161776.87</v>
      </c>
      <c r="F285" s="118">
        <f t="shared" si="15"/>
        <v>161776.87</v>
      </c>
      <c r="G285" s="118">
        <f t="shared" si="15"/>
        <v>0</v>
      </c>
      <c r="H285" s="118">
        <f t="shared" si="15"/>
        <v>-161776.87</v>
      </c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</row>
    <row r="286" ht="14.25" customHeight="1">
      <c r="A286" s="40"/>
      <c r="B286" s="40"/>
      <c r="C286" s="40"/>
      <c r="D286" s="42"/>
      <c r="E286" s="42"/>
      <c r="F286" s="42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</row>
    <row r="287" ht="23.25" customHeight="1">
      <c r="G287" s="119">
        <f>G285*100/E285</f>
        <v>0</v>
      </c>
    </row>
    <row r="288" ht="14.25" customHeight="1">
      <c r="G288" s="120"/>
    </row>
    <row r="289" ht="23.25" customHeight="1">
      <c r="A289" s="18"/>
      <c r="B289" s="18"/>
      <c r="C289" s="18"/>
      <c r="D289" s="121" t="s">
        <v>448</v>
      </c>
      <c r="G289" s="121" t="s">
        <v>398</v>
      </c>
      <c r="H289" s="121" t="s">
        <v>399</v>
      </c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</row>
    <row r="290" ht="18.0" customHeight="1">
      <c r="D290" s="18" t="s">
        <v>400</v>
      </c>
      <c r="E290" s="122">
        <f>F4</f>
        <v>12059.02</v>
      </c>
      <c r="G290" s="123">
        <v>18000.0</v>
      </c>
      <c r="H290" s="124">
        <v>40000.0</v>
      </c>
      <c r="I290" s="125">
        <f t="shared" ref="I290:I296" si="16">H290-G290</f>
        <v>22000</v>
      </c>
    </row>
    <row r="291" ht="19.5" customHeight="1">
      <c r="D291" s="18" t="s">
        <v>401</v>
      </c>
      <c r="E291" s="122">
        <f>F26</f>
        <v>2357.08</v>
      </c>
      <c r="G291" s="126">
        <v>2338.0</v>
      </c>
      <c r="H291" s="125"/>
      <c r="I291" s="125">
        <f t="shared" si="16"/>
        <v>-2338</v>
      </c>
    </row>
    <row r="292" ht="18.75" customHeight="1">
      <c r="D292" s="18" t="s">
        <v>402</v>
      </c>
      <c r="E292" s="122">
        <f>F42</f>
        <v>25090.52</v>
      </c>
      <c r="G292" s="126">
        <v>26318.0</v>
      </c>
      <c r="H292" s="124">
        <v>44000.0</v>
      </c>
      <c r="I292" s="125">
        <f t="shared" si="16"/>
        <v>17682</v>
      </c>
    </row>
    <row r="293" ht="18.75" customHeight="1">
      <c r="D293" s="18" t="s">
        <v>403</v>
      </c>
      <c r="E293" s="122">
        <f>F72</f>
        <v>12050.09</v>
      </c>
      <c r="G293" s="126">
        <v>11320.0</v>
      </c>
      <c r="H293" s="124">
        <v>26000.0</v>
      </c>
      <c r="I293" s="125">
        <f t="shared" si="16"/>
        <v>14680</v>
      </c>
    </row>
    <row r="294" ht="19.5" customHeight="1">
      <c r="D294" s="18" t="s">
        <v>17</v>
      </c>
      <c r="E294" s="122">
        <f>F93</f>
        <v>9204.29</v>
      </c>
      <c r="G294" s="126">
        <v>9640.0</v>
      </c>
      <c r="H294" s="124">
        <v>21000.0</v>
      </c>
      <c r="I294" s="125">
        <f t="shared" si="16"/>
        <v>11360</v>
      </c>
    </row>
    <row r="295" ht="21.75" customHeight="1">
      <c r="D295" s="18" t="s">
        <v>14</v>
      </c>
      <c r="E295" s="122">
        <f>F113</f>
        <v>6475.34</v>
      </c>
      <c r="G295" s="126">
        <v>8706.0</v>
      </c>
      <c r="H295" s="124">
        <v>22000.0</v>
      </c>
      <c r="I295" s="125">
        <f t="shared" si="16"/>
        <v>13294</v>
      </c>
    </row>
    <row r="296" ht="21.0" customHeight="1">
      <c r="D296" s="18" t="s">
        <v>20</v>
      </c>
      <c r="E296" s="122">
        <f>F129</f>
        <v>16926.08</v>
      </c>
      <c r="G296" s="126">
        <v>18640.0</v>
      </c>
      <c r="H296" s="124">
        <v>64000.0</v>
      </c>
      <c r="I296" s="125">
        <f t="shared" si="16"/>
        <v>45360</v>
      </c>
    </row>
    <row r="297" ht="21.0" customHeight="1">
      <c r="D297" s="18" t="s">
        <v>404</v>
      </c>
      <c r="E297" s="122">
        <f>F151</f>
        <v>1339.19</v>
      </c>
      <c r="G297" s="126">
        <v>0.0</v>
      </c>
      <c r="H297" s="125"/>
    </row>
    <row r="298" ht="21.0" customHeight="1">
      <c r="D298" s="18" t="s">
        <v>23</v>
      </c>
      <c r="E298" s="122">
        <f>F164</f>
        <v>36334.8</v>
      </c>
      <c r="G298" s="126">
        <v>45000.0</v>
      </c>
      <c r="H298" s="125"/>
    </row>
    <row r="299" ht="33.75" customHeight="1">
      <c r="D299" s="127" t="s">
        <v>405</v>
      </c>
      <c r="E299" s="122">
        <f>F195</f>
        <v>24324.4</v>
      </c>
      <c r="G299" s="126">
        <v>21000.0</v>
      </c>
      <c r="H299" s="125"/>
    </row>
    <row r="300" ht="21.75" customHeight="1">
      <c r="D300" s="127" t="s">
        <v>340</v>
      </c>
      <c r="E300" s="122">
        <f>F217</f>
        <v>10268.71</v>
      </c>
      <c r="G300" s="126">
        <v>20000.0</v>
      </c>
      <c r="H300" s="125"/>
    </row>
    <row r="301" ht="29.25" customHeight="1">
      <c r="D301" s="127" t="s">
        <v>369</v>
      </c>
      <c r="E301" s="122">
        <f>F238</f>
        <v>5347.35</v>
      </c>
      <c r="G301" s="126">
        <v>8000.0</v>
      </c>
      <c r="H301" s="125"/>
    </row>
    <row r="302" ht="14.25" customHeight="1">
      <c r="E302" s="47"/>
    </row>
    <row r="303" ht="27.0" customHeight="1">
      <c r="D303" s="128" t="s">
        <v>406</v>
      </c>
      <c r="E303" s="129">
        <f>SUM(E290:E302)</f>
        <v>161776.87</v>
      </c>
      <c r="G303" s="118">
        <f t="shared" ref="G303:H303" si="17">SUM(G290:G301)</f>
        <v>188962</v>
      </c>
      <c r="H303" s="125">
        <f t="shared" si="17"/>
        <v>217000</v>
      </c>
      <c r="I303" s="125">
        <f>H303-G303</f>
        <v>28038</v>
      </c>
    </row>
    <row r="304" ht="14.25" customHeight="1"/>
    <row r="305" ht="14.25" customHeight="1"/>
    <row r="306" ht="14.25" customHeight="1"/>
    <row r="307" ht="14.25" customHeight="1">
      <c r="E307" s="44"/>
    </row>
    <row r="308" ht="14.25" customHeight="1"/>
    <row r="309" ht="14.25" customHeight="1">
      <c r="E309" s="1"/>
    </row>
    <row r="310" ht="25.5" customHeight="1">
      <c r="A310" s="130" t="s">
        <v>407</v>
      </c>
      <c r="B310" s="131"/>
      <c r="C310" s="131"/>
      <c r="D310" s="131"/>
      <c r="E310" s="131"/>
      <c r="F310" s="131"/>
      <c r="G310" s="131"/>
      <c r="H310" s="131"/>
      <c r="I310" s="132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</row>
    <row r="311" ht="12.75" customHeight="1">
      <c r="A311" s="133" t="s">
        <v>408</v>
      </c>
      <c r="B311" s="41"/>
      <c r="C311" s="42"/>
      <c r="D311" s="42">
        <v>0.0</v>
      </c>
      <c r="E311" s="42">
        <f t="shared" ref="E311:E317" si="18">C311-D311</f>
        <v>0</v>
      </c>
      <c r="F311" s="100">
        <f>SUM(E311:E317)</f>
        <v>0</v>
      </c>
      <c r="G311" s="100"/>
      <c r="H311" s="100"/>
      <c r="I311" s="134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</row>
    <row r="312" ht="12.75" customHeight="1">
      <c r="A312" s="133"/>
      <c r="B312" s="41"/>
      <c r="C312" s="42"/>
      <c r="D312" s="42">
        <v>0.0</v>
      </c>
      <c r="E312" s="42">
        <f t="shared" si="18"/>
        <v>0</v>
      </c>
      <c r="I312" s="134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</row>
    <row r="313" ht="12.75" customHeight="1">
      <c r="A313" s="133"/>
      <c r="B313" s="41"/>
      <c r="C313" s="42"/>
      <c r="D313" s="42">
        <v>0.0</v>
      </c>
      <c r="E313" s="42">
        <f t="shared" si="18"/>
        <v>0</v>
      </c>
      <c r="I313" s="134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</row>
    <row r="314" ht="12.75" customHeight="1">
      <c r="A314" s="133"/>
      <c r="B314" s="41"/>
      <c r="C314" s="42"/>
      <c r="D314" s="42">
        <v>0.0</v>
      </c>
      <c r="E314" s="42">
        <f t="shared" si="18"/>
        <v>0</v>
      </c>
      <c r="I314" s="134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</row>
    <row r="315" ht="12.75" customHeight="1">
      <c r="A315" s="133"/>
      <c r="B315" s="41"/>
      <c r="C315" s="42"/>
      <c r="D315" s="42">
        <v>0.0</v>
      </c>
      <c r="E315" s="42">
        <f t="shared" si="18"/>
        <v>0</v>
      </c>
      <c r="I315" s="134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</row>
    <row r="316" ht="12.75" customHeight="1">
      <c r="A316" s="133"/>
      <c r="B316" s="41"/>
      <c r="C316" s="42"/>
      <c r="D316" s="42">
        <v>0.0</v>
      </c>
      <c r="E316" s="42">
        <f t="shared" si="18"/>
        <v>0</v>
      </c>
      <c r="I316" s="134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</row>
    <row r="317" ht="12.75" customHeight="1">
      <c r="A317" s="135"/>
      <c r="B317" s="136"/>
      <c r="C317" s="137"/>
      <c r="D317" s="137">
        <v>0.0</v>
      </c>
      <c r="E317" s="137">
        <f t="shared" si="18"/>
        <v>0</v>
      </c>
      <c r="F317" s="138"/>
      <c r="G317" s="138"/>
      <c r="H317" s="138"/>
      <c r="I317" s="139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</row>
    <row r="318" ht="12.75" customHeight="1">
      <c r="A318" s="40"/>
      <c r="B318" s="41"/>
      <c r="C318" s="42"/>
      <c r="D318" s="42"/>
      <c r="E318" s="42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</row>
    <row r="319" ht="12.75" customHeight="1">
      <c r="A319" s="140"/>
      <c r="B319" s="140"/>
      <c r="C319" s="140"/>
      <c r="D319" s="140"/>
      <c r="E319" s="118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</row>
    <row r="320" ht="14.25" customHeight="1"/>
    <row r="321" ht="34.5" customHeight="1">
      <c r="A321" s="18"/>
      <c r="B321" s="18"/>
      <c r="C321" s="18"/>
      <c r="D321" s="18"/>
      <c r="E321" s="141" t="s">
        <v>409</v>
      </c>
      <c r="G321" s="142">
        <f>G285+G311</f>
        <v>0</v>
      </c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</row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  <row r="1043" ht="14.25" customHeight="1"/>
    <row r="1044" ht="14.25" customHeight="1"/>
    <row r="1045" ht="14.25" customHeight="1"/>
    <row r="1046" ht="14.25" customHeight="1"/>
    <row r="1047" ht="14.25" customHeight="1"/>
    <row r="1048" ht="14.25" customHeight="1"/>
    <row r="1049" ht="14.25" customHeight="1"/>
    <row r="1050" ht="14.25" customHeight="1"/>
    <row r="1051" ht="14.25" customHeight="1"/>
    <row r="1052" ht="14.25" customHeight="1"/>
    <row r="1053" ht="14.25" customHeight="1"/>
    <row r="1054" ht="14.25" customHeight="1"/>
    <row r="1055" ht="14.25" customHeight="1"/>
    <row r="1056" ht="14.25" customHeight="1"/>
    <row r="1057" ht="14.25" customHeight="1"/>
    <row r="1058" ht="14.25" customHeight="1"/>
    <row r="1059" ht="14.25" customHeight="1"/>
    <row r="1060" ht="14.25" customHeight="1"/>
    <row r="1061" ht="14.25" customHeight="1"/>
    <row r="1062" ht="14.25" customHeight="1"/>
    <row r="1063" ht="14.25" customHeight="1"/>
    <row r="1064" ht="14.25" customHeight="1"/>
    <row r="1065" ht="14.25" customHeight="1"/>
    <row r="1066" ht="14.25" customHeight="1"/>
    <row r="1067" ht="14.25" customHeight="1"/>
    <row r="1068" ht="14.25" customHeight="1"/>
    <row r="1069" ht="14.25" customHeight="1"/>
    <row r="1070" ht="14.25" customHeight="1"/>
    <row r="1071" ht="14.25" customHeight="1"/>
    <row r="1072" ht="14.25" customHeight="1"/>
    <row r="1073" ht="14.25" customHeight="1"/>
    <row r="1074" ht="14.25" customHeight="1"/>
    <row r="1075" ht="14.25" customHeight="1"/>
    <row r="1076" ht="14.25" customHeight="1"/>
    <row r="1077" ht="14.25" customHeight="1"/>
    <row r="1078" ht="14.25" customHeight="1"/>
    <row r="1079" ht="14.25" customHeight="1"/>
    <row r="1080" ht="14.25" customHeight="1"/>
    <row r="1081" ht="14.25" customHeight="1"/>
    <row r="1082" ht="14.25" customHeight="1"/>
    <row r="1083" ht="14.25" customHeight="1"/>
    <row r="1084" ht="14.25" customHeight="1"/>
    <row r="1085" ht="14.25" customHeight="1"/>
    <row r="1086" ht="14.25" customHeight="1"/>
    <row r="1087" ht="14.25" customHeight="1"/>
    <row r="1088" ht="14.25" customHeight="1"/>
    <row r="1089" ht="14.25" customHeight="1"/>
    <row r="1090" ht="14.25" customHeight="1"/>
    <row r="1091" ht="14.25" customHeight="1"/>
    <row r="1092" ht="14.25" customHeight="1"/>
    <row r="1093" ht="14.25" customHeight="1"/>
    <row r="1094" ht="14.25" customHeight="1"/>
    <row r="1095" ht="14.25" customHeight="1"/>
    <row r="1096" ht="14.25" customHeight="1"/>
    <row r="1097" ht="14.25" customHeight="1"/>
    <row r="1098" ht="14.25" customHeight="1"/>
    <row r="1099" ht="14.25" customHeight="1"/>
    <row r="1100" ht="14.25" customHeight="1"/>
    <row r="1101" ht="14.25" customHeight="1"/>
    <row r="1102" ht="14.25" customHeight="1"/>
    <row r="1103" ht="14.25" customHeight="1"/>
    <row r="1104" ht="14.25" customHeight="1"/>
    <row r="1105" ht="14.25" customHeight="1"/>
    <row r="1106" ht="14.25" customHeight="1"/>
    <row r="1107" ht="14.25" customHeight="1"/>
    <row r="1108" ht="14.25" customHeight="1"/>
    <row r="1109" ht="14.25" customHeight="1"/>
    <row r="1110" ht="14.25" customHeight="1"/>
    <row r="1111" ht="14.25" customHeight="1"/>
    <row r="1112" ht="14.25" customHeight="1"/>
    <row r="1113" ht="14.25" customHeight="1"/>
    <row r="1114" ht="14.25" customHeight="1"/>
    <row r="1115" ht="14.25" customHeight="1"/>
    <row r="1116" ht="14.25" customHeight="1"/>
    <row r="1117" ht="14.25" customHeight="1"/>
    <row r="1118" ht="14.25" customHeight="1"/>
    <row r="1119" ht="14.25" customHeight="1"/>
    <row r="1120" ht="14.25" customHeight="1"/>
    <row r="1121" ht="14.25" customHeight="1"/>
    <row r="1122" ht="14.25" customHeight="1"/>
    <row r="1123" ht="14.25" customHeight="1"/>
    <row r="1124" ht="14.25" customHeight="1"/>
    <row r="1125" ht="14.25" customHeight="1"/>
    <row r="1126" ht="14.25" customHeight="1"/>
    <row r="1127" ht="14.25" customHeight="1"/>
    <row r="1128" ht="14.25" customHeight="1"/>
    <row r="1129" ht="14.25" customHeight="1"/>
    <row r="1130" ht="14.25" customHeight="1"/>
    <row r="1131" ht="14.25" customHeight="1"/>
    <row r="1132" ht="14.25" customHeight="1"/>
    <row r="1133" ht="14.25" customHeight="1"/>
    <row r="1134" ht="14.25" customHeight="1"/>
    <row r="1135" ht="14.25" customHeight="1"/>
    <row r="1136" ht="14.25" customHeight="1"/>
    <row r="1137" ht="14.25" customHeight="1"/>
    <row r="1138" ht="14.25" customHeight="1"/>
    <row r="1139" ht="14.25" customHeight="1"/>
    <row r="1140" ht="14.25" customHeight="1"/>
    <row r="1141" ht="14.25" customHeight="1"/>
    <row r="1142" ht="14.25" customHeight="1"/>
    <row r="1143" ht="14.25" customHeight="1"/>
    <row r="1144" ht="14.25" customHeight="1"/>
    <row r="1145" ht="14.25" customHeight="1"/>
    <row r="1146" ht="14.25" customHeight="1"/>
    <row r="1147" ht="14.25" customHeight="1"/>
    <row r="1148" ht="14.25" customHeight="1"/>
    <row r="1149" ht="14.25" customHeight="1"/>
  </sheetData>
  <mergeCells count="70">
    <mergeCell ref="A237:I237"/>
    <mergeCell ref="A285:D285"/>
    <mergeCell ref="D289:F289"/>
    <mergeCell ref="E290:F290"/>
    <mergeCell ref="E291:F291"/>
    <mergeCell ref="E292:F292"/>
    <mergeCell ref="E293:F293"/>
    <mergeCell ref="E301:F301"/>
    <mergeCell ref="E302:F302"/>
    <mergeCell ref="E303:F303"/>
    <mergeCell ref="A310:I310"/>
    <mergeCell ref="F311:F317"/>
    <mergeCell ref="G311:G317"/>
    <mergeCell ref="H311:H317"/>
    <mergeCell ref="E321:F321"/>
    <mergeCell ref="E294:F294"/>
    <mergeCell ref="E295:F295"/>
    <mergeCell ref="E296:F296"/>
    <mergeCell ref="E297:F297"/>
    <mergeCell ref="E298:F298"/>
    <mergeCell ref="E299:F299"/>
    <mergeCell ref="E300:F300"/>
    <mergeCell ref="A41:I41"/>
    <mergeCell ref="A71:I71"/>
    <mergeCell ref="A92:I92"/>
    <mergeCell ref="A112:I112"/>
    <mergeCell ref="A128:I128"/>
    <mergeCell ref="A1:I1"/>
    <mergeCell ref="A3:I3"/>
    <mergeCell ref="F4:F24"/>
    <mergeCell ref="G4:G24"/>
    <mergeCell ref="H4:H24"/>
    <mergeCell ref="A25:I25"/>
    <mergeCell ref="F26:F40"/>
    <mergeCell ref="G26:G40"/>
    <mergeCell ref="H26:H40"/>
    <mergeCell ref="F42:F70"/>
    <mergeCell ref="G42:G70"/>
    <mergeCell ref="H42:H70"/>
    <mergeCell ref="G72:G91"/>
    <mergeCell ref="H72:H91"/>
    <mergeCell ref="F129:F149"/>
    <mergeCell ref="G129:G149"/>
    <mergeCell ref="H129:H149"/>
    <mergeCell ref="A150:I150"/>
    <mergeCell ref="F151:F161"/>
    <mergeCell ref="G151:G161"/>
    <mergeCell ref="H151:H161"/>
    <mergeCell ref="A163:I163"/>
    <mergeCell ref="F72:F91"/>
    <mergeCell ref="F93:F111"/>
    <mergeCell ref="G93:G111"/>
    <mergeCell ref="H93:H111"/>
    <mergeCell ref="F113:F127"/>
    <mergeCell ref="G113:G127"/>
    <mergeCell ref="H113:H127"/>
    <mergeCell ref="F195:F215"/>
    <mergeCell ref="F217:F236"/>
    <mergeCell ref="G217:G236"/>
    <mergeCell ref="H217:H236"/>
    <mergeCell ref="F238:F284"/>
    <mergeCell ref="G238:G284"/>
    <mergeCell ref="H238:H284"/>
    <mergeCell ref="F164:F193"/>
    <mergeCell ref="G164:G193"/>
    <mergeCell ref="H164:H193"/>
    <mergeCell ref="A194:I194"/>
    <mergeCell ref="G195:G215"/>
    <mergeCell ref="H195:H215"/>
    <mergeCell ref="A216:I216"/>
  </mergeCells>
  <printOptions/>
  <pageMargins bottom="0.7874015748031497" footer="0.0" header="0.0" left="0.5118110236220472" right="0.5118110236220472" top="0.7874015748031497"/>
  <pageSetup paperSize="9" scale="72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2023-09-11T17:36:09Z</dcterms:created>
  <dc:creator>KANANDA</dc:creator>
</cp:coreProperties>
</file>