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aturamento " sheetId="2" r:id="rId6"/>
    <sheet state="visible" name="Fev" sheetId="3" r:id="rId7"/>
    <sheet state="visible" name="Meta faturamento 2025" sheetId="4" r:id="rId8"/>
    <sheet state="visible" name="Mar" sheetId="5" r:id="rId9"/>
    <sheet state="visible" name="Abr" sheetId="6" r:id="rId10"/>
    <sheet state="visible" name="Mai" sheetId="7" r:id="rId11"/>
    <sheet state="visible" name="Jun" sheetId="8" r:id="rId12"/>
    <sheet state="visible" name="Jul" sheetId="9" r:id="rId13"/>
    <sheet state="visible" name="Ago" sheetId="10" r:id="rId14"/>
    <sheet state="visible" name="Set" sheetId="11" r:id="rId15"/>
    <sheet state="visible" name="Out" sheetId="12" r:id="rId16"/>
    <sheet state="visible" name="Nov" sheetId="13" r:id="rId17"/>
    <sheet state="visible" name="Dez" sheetId="14" r:id="rId18"/>
    <sheet state="visible" name="Mod 1" sheetId="15" r:id="rId19"/>
    <sheet state="visible" name="Custos" sheetId="16" r:id="rId20"/>
    <sheet state="visible" name="Noro" sheetId="17" r:id="rId21"/>
    <sheet state="visible" name="procura lojas 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tc={9b61f05e-2bbb-457a-b7b8-f5d4dd6aa100}</author>
    <author>tc={d1950850-17d5-4816-b174-631a694b4b96}</author>
  </authors>
  <commentList>
    <comment authorId="0" xr:uid="{9b61f05e-2bbb-457a-b7b8-f5d4dd6aa100}" ref="W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Início campanha de 10% de desconto
</t>
      </text>
    </comment>
    <comment authorId="1" xr:uid="{d1950850-17d5-4816-b174-631a694b4b96}" ref="Y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36,00 de desconto não lançado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tc={459b59f9-8c63-47b7-8008-1d22288a17f1}</author>
    <author>tc={74d88c9e-21c5-419f-997b-9b8cf6f17ca8}</author>
    <author>tc={74f5946d-ff10-4d18-89e6-c2cf8a23d23b}</author>
    <author>tc={faa51f6b-a06e-4062-853d-e0c2a8565e74}</author>
    <author>tc={feb0594c-dc4b-4577-a1ae-40f6ba96cc9f}</author>
  </authors>
  <commentList>
    <comment authorId="0" xr:uid="{459b59f9-8c63-47b7-8008-1d22288a17f1}" ref="AE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Sistema novo
</t>
      </text>
    </comment>
    <comment authorId="1" xr:uid="{74d88c9e-21c5-419f-997b-9b8cf6f17ca8}" ref="X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Plano faltou
</t>
      </text>
    </comment>
    <comment authorId="2" xr:uid="{74f5946d-ff10-4d18-89e6-c2cf8a23d23b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Desconto das peças da Igreja, padre não autorizou
</t>
      </text>
    </comment>
    <comment authorId="3" xr:uid="{faa51f6b-a06e-4062-853d-e0c2a8565e74}" ref="AE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Sistema novo
</t>
      </text>
    </comment>
    <comment authorId="4" xr:uid="{feb0594c-dc4b-4577-a1ae-40f6ba96cc9f}" ref="AJ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tem essa informação no sistema novo
</t>
      </text>
    </comment>
  </commentList>
</comments>
</file>

<file path=xl/sharedStrings.xml><?xml version="1.0" encoding="utf-8"?>
<sst xmlns="http://schemas.openxmlformats.org/spreadsheetml/2006/main" count="15644" uniqueCount="323">
  <si>
    <t xml:space="preserve">Dia </t>
  </si>
  <si>
    <t xml:space="preserve">Lojas </t>
  </si>
  <si>
    <t xml:space="preserve">Faturamento dia </t>
  </si>
  <si>
    <t xml:space="preserve">Não pago dia </t>
  </si>
  <si>
    <t>Recebido dia</t>
  </si>
  <si>
    <t>Não pago Acumulado</t>
  </si>
  <si>
    <t xml:space="preserve">Peças </t>
  </si>
  <si>
    <t xml:space="preserve">Faturamento </t>
  </si>
  <si>
    <t>Recebido</t>
  </si>
  <si>
    <t xml:space="preserve">Segunda-feira </t>
  </si>
  <si>
    <t xml:space="preserve">Lago Norte </t>
  </si>
  <si>
    <t xml:space="preserve">Faturamento Total das Segundas-feiras </t>
  </si>
  <si>
    <t xml:space="preserve">202 Norte </t>
  </si>
  <si>
    <t>213 / Sof</t>
  </si>
  <si>
    <t xml:space="preserve">213 Norte </t>
  </si>
  <si>
    <t>307 Norte</t>
  </si>
  <si>
    <t xml:space="preserve">307 Norte </t>
  </si>
  <si>
    <t xml:space="preserve">313 Norte </t>
  </si>
  <si>
    <t xml:space="preserve">314 Sul </t>
  </si>
  <si>
    <t>Sudoeste</t>
  </si>
  <si>
    <t xml:space="preserve">Sudoeste </t>
  </si>
  <si>
    <t xml:space="preserve">Noroeste </t>
  </si>
  <si>
    <t>Noroeste</t>
  </si>
  <si>
    <t xml:space="preserve">Total: </t>
  </si>
  <si>
    <t>Faturado dia real</t>
  </si>
  <si>
    <t>Fat. Real</t>
  </si>
  <si>
    <t xml:space="preserve">Recebido dia real </t>
  </si>
  <si>
    <t xml:space="preserve">Terça-feira </t>
  </si>
  <si>
    <t xml:space="preserve">Faturamento Total das Terças-feiras </t>
  </si>
  <si>
    <t>314 Sul</t>
  </si>
  <si>
    <t xml:space="preserve">Quarta-feira </t>
  </si>
  <si>
    <t xml:space="preserve">Faturamento Total das Quartas-feiras </t>
  </si>
  <si>
    <t>202 Norte</t>
  </si>
  <si>
    <t>213 Norte</t>
  </si>
  <si>
    <t xml:space="preserve">Quinta-feira </t>
  </si>
  <si>
    <t>01/01/2025 - Feriado</t>
  </si>
  <si>
    <t xml:space="preserve">Faturamento Total das Quintas-feiras </t>
  </si>
  <si>
    <t xml:space="preserve">Sexta-feira </t>
  </si>
  <si>
    <t xml:space="preserve">Faturamento Total das Sextas-feiras </t>
  </si>
  <si>
    <t xml:space="preserve">Sábado </t>
  </si>
  <si>
    <t xml:space="preserve">Faturamento Total dos Sábados </t>
  </si>
  <si>
    <t>Domingo</t>
  </si>
  <si>
    <t>Faturamento Total dos Domingos</t>
  </si>
  <si>
    <t>Noroeste -Dani</t>
  </si>
  <si>
    <t xml:space="preserve">Faturamento 4° semana Janeiro </t>
  </si>
  <si>
    <t xml:space="preserve">Faturamento 4 1/2° semana Janeiro </t>
  </si>
  <si>
    <t xml:space="preserve">Recebido </t>
  </si>
  <si>
    <t xml:space="preserve">Fat. Real </t>
  </si>
  <si>
    <t>Recebido Real</t>
  </si>
  <si>
    <t>N° Total de Peças</t>
  </si>
  <si>
    <t xml:space="preserve">Faturamento por Loja na 1° Semana </t>
  </si>
  <si>
    <t xml:space="preserve">Faturamento por Loja na 2° Semana </t>
  </si>
  <si>
    <t xml:space="preserve">Faturamento por Loja na 3° Semana </t>
  </si>
  <si>
    <t xml:space="preserve">Faturamento por Loja na 4° Semana </t>
  </si>
  <si>
    <t xml:space="preserve">Faturamento por Loja na 4°  1/2 Semana </t>
  </si>
  <si>
    <t xml:space="preserve">Recebimento </t>
  </si>
  <si>
    <t xml:space="preserve">Real da  semana </t>
  </si>
  <si>
    <t>Total:</t>
  </si>
  <si>
    <t xml:space="preserve">Média diária </t>
  </si>
  <si>
    <t>meta 6.500,00 gerar o gráfico com linha fixa dessa meta</t>
  </si>
  <si>
    <t xml:space="preserve">Faturamento Total do Mês por Loja </t>
  </si>
  <si>
    <t xml:space="preserve">Dados das lojas </t>
  </si>
  <si>
    <t>Lojas</t>
  </si>
  <si>
    <t>Fat. Total</t>
  </si>
  <si>
    <t>Não pago total</t>
  </si>
  <si>
    <t>Recebimento</t>
  </si>
  <si>
    <t>Loja</t>
  </si>
  <si>
    <t xml:space="preserve">Faturado total mês </t>
  </si>
  <si>
    <t xml:space="preserve">Custo do mês </t>
  </si>
  <si>
    <t xml:space="preserve">Data que se pagou </t>
  </si>
  <si>
    <t xml:space="preserve">Quanto vai faturar no mês </t>
  </si>
  <si>
    <t>Lago</t>
  </si>
  <si>
    <t>202 N</t>
  </si>
  <si>
    <t>213 N</t>
  </si>
  <si>
    <t>307 N</t>
  </si>
  <si>
    <t>313 N</t>
  </si>
  <si>
    <t>314 S</t>
  </si>
  <si>
    <t>Sud</t>
  </si>
  <si>
    <t>Noro</t>
  </si>
  <si>
    <t>Sof</t>
  </si>
  <si>
    <t>Insumos</t>
  </si>
  <si>
    <t xml:space="preserve">Extras </t>
  </si>
  <si>
    <t>Avulso</t>
  </si>
  <si>
    <t xml:space="preserve">Faturamento Consolidado do Mês </t>
  </si>
  <si>
    <t xml:space="preserve">Caixa </t>
  </si>
  <si>
    <t xml:space="preserve">Faturado mês </t>
  </si>
  <si>
    <t xml:space="preserve">Não pago mês </t>
  </si>
  <si>
    <t xml:space="preserve">Fat pela média </t>
  </si>
  <si>
    <t xml:space="preserve">Recebimento mês </t>
  </si>
  <si>
    <t xml:space="preserve">Fat. Real mês </t>
  </si>
  <si>
    <t xml:space="preserve">Recebido Real </t>
  </si>
  <si>
    <t xml:space="preserve">Total Peças </t>
  </si>
  <si>
    <t>Rec Real + Não pago</t>
  </si>
  <si>
    <t>média diária de faturamento</t>
  </si>
  <si>
    <t>média diária não pago</t>
  </si>
  <si>
    <t>média diária de faturamento real</t>
  </si>
  <si>
    <t xml:space="preserve">média diária de variável até o dia </t>
  </si>
  <si>
    <t xml:space="preserve">preciso de 5 informações rápidas </t>
  </si>
  <si>
    <t xml:space="preserve">QUADRO DE ANOTAÇÕES </t>
  </si>
  <si>
    <t xml:space="preserve">Observação </t>
  </si>
  <si>
    <t>Quem vai fazer</t>
  </si>
  <si>
    <t>Feito   S/N</t>
  </si>
  <si>
    <t>01/02</t>
  </si>
  <si>
    <t>Geral</t>
  </si>
  <si>
    <t>Falta</t>
  </si>
  <si>
    <t xml:space="preserve">Pedido de materiais </t>
  </si>
  <si>
    <t xml:space="preserve">Faltou </t>
  </si>
  <si>
    <t>Observação</t>
  </si>
  <si>
    <t>Geral 2</t>
  </si>
  <si>
    <t xml:space="preserve">Pagamento Água </t>
  </si>
  <si>
    <t>Pagamento Aluguel</t>
  </si>
  <si>
    <t xml:space="preserve">Pagamento Condomínio </t>
  </si>
  <si>
    <t>Pagamento Energia</t>
  </si>
  <si>
    <t>Comprar</t>
  </si>
  <si>
    <t>Fechamento Caixa</t>
  </si>
  <si>
    <t>Fechamento de Folha</t>
  </si>
  <si>
    <t>FATURAMENTO NOROESTE JUNHO - POR ATENDENTE</t>
  </si>
  <si>
    <t>Dani</t>
  </si>
  <si>
    <t>Ingrid</t>
  </si>
  <si>
    <t>Vendas no Sistema 2023</t>
  </si>
  <si>
    <t>Setembro</t>
  </si>
  <si>
    <t>Outubro</t>
  </si>
  <si>
    <t xml:space="preserve">Novembro </t>
  </si>
  <si>
    <t>Dezembro</t>
  </si>
  <si>
    <t>Total Ano:</t>
  </si>
  <si>
    <t>Vendas no Sistema 2024</t>
  </si>
  <si>
    <t xml:space="preserve">Janeiro </t>
  </si>
  <si>
    <t xml:space="preserve">Fevereiro </t>
  </si>
  <si>
    <t>Março</t>
  </si>
  <si>
    <t>Abril</t>
  </si>
  <si>
    <t>Maio</t>
  </si>
  <si>
    <t>Junho</t>
  </si>
  <si>
    <t>Julho</t>
  </si>
  <si>
    <t>Agosto</t>
  </si>
  <si>
    <t>Novembro</t>
  </si>
  <si>
    <t xml:space="preserve">Média do ano </t>
  </si>
  <si>
    <t xml:space="preserve">Total Mês </t>
  </si>
  <si>
    <t>Vendas no Sistema 2025</t>
  </si>
  <si>
    <t>Vendas no Sistema 2026</t>
  </si>
  <si>
    <t>213 Norte / SOF</t>
  </si>
  <si>
    <t>Quantidade de peças por mês em 2026</t>
  </si>
  <si>
    <t>julho</t>
  </si>
  <si>
    <t>Quantidade de peças por mês em 2025</t>
  </si>
  <si>
    <t>ok, para esse mês meta de 10% e como referência pegamos maio. Próximo mês meta de 15% até chegar em 30%</t>
  </si>
  <si>
    <t>loja 02 no Noroeste, 4 meses de carência, apos o habite-se e</t>
  </si>
  <si>
    <t xml:space="preserve">ar condicionado Lago Norte, 12 vezes na Amazon </t>
  </si>
  <si>
    <t>aumento sudoeste, aumentar a partir amanhã terça 07/05</t>
  </si>
  <si>
    <t xml:space="preserve">fazer novas publicações em grupos dos bairros, investir mais no Google </t>
  </si>
  <si>
    <t xml:space="preserve">cancelar a Cactus </t>
  </si>
  <si>
    <t xml:space="preserve">7 máquinas ficam em 2.000,00. Fazer mais para frente </t>
  </si>
  <si>
    <t xml:space="preserve">inventário 307 para levantar valores não pagos </t>
  </si>
  <si>
    <t xml:space="preserve">Brisas do Lago, reunião dia 07/05 foi remarcada </t>
  </si>
  <si>
    <t xml:space="preserve">Metas de vendas </t>
  </si>
  <si>
    <t>Faturamento Maio</t>
  </si>
  <si>
    <t>Meta 10%</t>
  </si>
  <si>
    <t>Regras para o sorteio:</t>
  </si>
  <si>
    <t xml:space="preserve">o sorteio será feito no dia 11/03 em live do Instagram e será utilizado o programa x para o sorteio </t>
  </si>
  <si>
    <t>Dúvidas :</t>
  </si>
  <si>
    <t>o programa pode indicar comentários repetidos não sortear esses ?</t>
  </si>
  <si>
    <t>1. Do dia 14/02 até 28/02</t>
  </si>
  <si>
    <t>o programa pode sortear nosso cometário de validação ?</t>
  </si>
  <si>
    <t xml:space="preserve">2. Comentar no Post da campanha </t>
  </si>
  <si>
    <t xml:space="preserve">3. inserir nome n° TK loja </t>
  </si>
  <si>
    <t xml:space="preserve">4. Validação da Lavaggio </t>
  </si>
  <si>
    <t xml:space="preserve">5. somente um comentário será validado </t>
  </si>
  <si>
    <t>6. se sortear o comentário de validação vale a pessoa que comentou</t>
  </si>
  <si>
    <t xml:space="preserve">  </t>
  </si>
  <si>
    <t>Meta Faturamento Maio</t>
  </si>
  <si>
    <t>Fat. Anterior</t>
  </si>
  <si>
    <t>% a aumentar</t>
  </si>
  <si>
    <t>Meta Mês</t>
  </si>
  <si>
    <t>Valor faturado até o momento (dentro do mês)</t>
  </si>
  <si>
    <t>Valor que falta para atingir a meta</t>
  </si>
  <si>
    <t>Valor a ser faturado no dia para atingir a meta</t>
  </si>
  <si>
    <t>202N</t>
  </si>
  <si>
    <t>213N</t>
  </si>
  <si>
    <t>307N</t>
  </si>
  <si>
    <t>313N</t>
  </si>
  <si>
    <t>Meta Faturamento Junho</t>
  </si>
  <si>
    <t>Meta batida (receberá 100% = 1% do faturamento)</t>
  </si>
  <si>
    <t>Receberá valor proporcional, 94,56% = 0,9456% do faturamento.</t>
  </si>
  <si>
    <t>Meta Dani</t>
  </si>
  <si>
    <t>R$ 21.890,98</t>
  </si>
  <si>
    <t>Meta Ingrid</t>
  </si>
  <si>
    <t>R$ 17.090,24</t>
  </si>
  <si>
    <t>Luana</t>
  </si>
  <si>
    <t>Meta Faturamento Julho</t>
  </si>
  <si>
    <t>Meta Faturamento Agosto</t>
  </si>
  <si>
    <t>314S</t>
  </si>
  <si>
    <t>Meta Faturamento Setembro</t>
  </si>
  <si>
    <t>Valor a aumentar</t>
  </si>
  <si>
    <t>Meta Faturamento Outubro</t>
  </si>
  <si>
    <t>% atingido</t>
  </si>
  <si>
    <t>Meta Faturamento Novembro</t>
  </si>
  <si>
    <t>Meta Faturamento Dezembro</t>
  </si>
  <si>
    <t>Valor real a aumentar</t>
  </si>
  <si>
    <t>Meta Faturamento Janeiro</t>
  </si>
  <si>
    <t xml:space="preserve">Meta não pago Acumulado </t>
  </si>
  <si>
    <t xml:space="preserve">Meta de Faturamento </t>
  </si>
  <si>
    <t>Total</t>
  </si>
  <si>
    <t xml:space="preserve">Total </t>
  </si>
  <si>
    <t xml:space="preserve">sempre no final do atendimento falar é débito </t>
  </si>
  <si>
    <t xml:space="preserve">cobrar cliente </t>
  </si>
  <si>
    <t>não passar de 3 meses</t>
  </si>
  <si>
    <t xml:space="preserve">se passar vamos mandar para o galpão </t>
  </si>
  <si>
    <t xml:space="preserve">tem um texto </t>
  </si>
  <si>
    <t>ok</t>
  </si>
  <si>
    <t>substituir atedente acha ruim, Daí e Marilia deixam aumentar o não pago</t>
  </si>
  <si>
    <t>disse que da, tem 3 clientes com valores altos</t>
  </si>
  <si>
    <t>não reclamou, pia arrumada</t>
  </si>
  <si>
    <t xml:space="preserve">ok, tk para cancelar </t>
  </si>
  <si>
    <t>acumulado fez objeção, mas vai tentar (lembrou da cortina). Clientes não dar CPF</t>
  </si>
  <si>
    <t>314 s</t>
  </si>
  <si>
    <t>21 dez comprovaram pago hoje, tranquilo</t>
  </si>
  <si>
    <t>tranquilo. tem cortina do mês 7, mandar o texto o cliente não pagou. TK em aberto</t>
  </si>
  <si>
    <t>falaram de clientes novos, não pago Acumulado vão iniciar na segunda, falaram de viagem dos clientes</t>
  </si>
  <si>
    <t xml:space="preserve">Meta Faturamento Fevereiro </t>
  </si>
  <si>
    <t>202N - ok</t>
  </si>
  <si>
    <t xml:space="preserve">Mês parado, mais pardo que janeiro. Não reclamaram de atraso </t>
  </si>
  <si>
    <t>213N - ok</t>
  </si>
  <si>
    <t xml:space="preserve">mandou áudio </t>
  </si>
  <si>
    <t xml:space="preserve">Áudio, atraso na entrega. Os mais velhos não voltam. Cliente novo não voltou por causa do atraso </t>
  </si>
  <si>
    <t xml:space="preserve">307N - ok </t>
  </si>
  <si>
    <t>falta rel</t>
  </si>
  <si>
    <t xml:space="preserve">Comércio está fraco, na 307 teve muito pacote em Jan e esse mês estão usando e devem iniciar as renovações. Estão reclamando da demora, do prazo. </t>
  </si>
  <si>
    <t>Clientes do mês passado reclamando de atraso, eram clientes novos. só alguns estão retornando. Clientes fixos ainda não retornaram. A atendente anterior encaminhou para outras lojas. Tem contato dos clientes novos, trouxeram 25 a 30</t>
  </si>
  <si>
    <t>314S - ok</t>
  </si>
  <si>
    <t xml:space="preserve">Clientes entenderam os atrasos, ter promoção 2 dias da semana, irmão dela trabalha em alto peças e falou de movimento ruim. Clientes antigos que não voltaram, os novos estão voltando. Melhorar passadoria </t>
  </si>
  <si>
    <t>Lago - ok</t>
  </si>
  <si>
    <t xml:space="preserve">clientes novos, fechando pacotes, reclamaram do prazo de edredom, falou da Daí foi confusa e não sabem o que fazer </t>
  </si>
  <si>
    <t xml:space="preserve">Atraso das peças, reclamação do tempo de entrega. Depois do aumento dos pacotes o movimento diminuiu. O que mais pega é o atraso </t>
  </si>
  <si>
    <t>Sudoeste - ok</t>
  </si>
  <si>
    <t xml:space="preserve">Atraso nas peças e clientes recorrentes sem ir. Clientes mais velhos, não teve clientes novos </t>
  </si>
  <si>
    <t xml:space="preserve">pacote de mesa, cama e banho </t>
  </si>
  <si>
    <t xml:space="preserve">edredom </t>
  </si>
  <si>
    <t>Meta Faturamento Março</t>
  </si>
  <si>
    <t xml:space="preserve">314 sul </t>
  </si>
  <si>
    <t>Elogio de clientes e vão continuar. 2 falaram da passadoria e vinco na calça</t>
  </si>
  <si>
    <t xml:space="preserve">Clientes OAB reclamando </t>
  </si>
  <si>
    <t xml:space="preserve">Lago </t>
  </si>
  <si>
    <t xml:space="preserve">Porta está solta, cliente puxou de ums vez </t>
  </si>
  <si>
    <t>Meta Faturamento Abril</t>
  </si>
  <si>
    <t>Marilia</t>
  </si>
  <si>
    <t>Dayanne</t>
  </si>
  <si>
    <t>Jheyne</t>
  </si>
  <si>
    <t>Giovana</t>
  </si>
  <si>
    <t>Ana</t>
  </si>
  <si>
    <t>Brunna</t>
  </si>
  <si>
    <t>26 dias trabalhados</t>
  </si>
  <si>
    <t>Marília trabalhou até 16/05</t>
  </si>
  <si>
    <t>Ingrid Dutra 8 dias de atestado</t>
  </si>
  <si>
    <t>Possível de ser alcançada</t>
  </si>
  <si>
    <t>Noro 2</t>
  </si>
  <si>
    <t>Sonhando bem alto</t>
  </si>
  <si>
    <t>Custos</t>
  </si>
  <si>
    <t>Lucro/prejuízo</t>
  </si>
  <si>
    <t>Noro 1</t>
  </si>
  <si>
    <t>Passar a 202 para o Noroeste</t>
  </si>
  <si>
    <t>SOF</t>
  </si>
  <si>
    <t>Passar a 314 para o SOF</t>
  </si>
  <si>
    <t>Contas fixas</t>
  </si>
  <si>
    <t>Extras</t>
  </si>
  <si>
    <t>04/03/2025 - Carnaval</t>
  </si>
  <si>
    <t>rastreador da Van</t>
  </si>
  <si>
    <t xml:space="preserve">caso Lucilene </t>
  </si>
  <si>
    <r>
      <rPr>
        <rFont val="Arial"/>
        <strike/>
        <color theme="1"/>
      </rPr>
      <t>213 Norte</t>
    </r>
    <r>
      <rPr>
        <rFont val="Arial"/>
        <strike/>
        <color theme="1"/>
      </rPr>
      <t xml:space="preserve"> </t>
    </r>
  </si>
  <si>
    <t xml:space="preserve">18/04/2025 - Feriado </t>
  </si>
  <si>
    <t xml:space="preserve">Faturamento 1° semana Janeiro </t>
  </si>
  <si>
    <t xml:space="preserve">Faturamento 2° semana Janeiro </t>
  </si>
  <si>
    <t xml:space="preserve">Faturamento 3° semana Janeiro </t>
  </si>
  <si>
    <t xml:space="preserve">Faturamento 5° semana Janeiro </t>
  </si>
  <si>
    <t xml:space="preserve">Lucro por loja </t>
  </si>
  <si>
    <t xml:space="preserve">lucro </t>
  </si>
  <si>
    <t>Atualizado em</t>
  </si>
  <si>
    <t xml:space="preserve">despesa </t>
  </si>
  <si>
    <t>19/06 às 11:11</t>
  </si>
  <si>
    <t>213 Norte/SOF</t>
  </si>
  <si>
    <t>213 N/SOF</t>
  </si>
  <si>
    <t xml:space="preserve">Receita líquida por loja </t>
  </si>
  <si>
    <t xml:space="preserve">Despesa SOF, insumos e etc </t>
  </si>
  <si>
    <t xml:space="preserve">202 Norte - Dani </t>
  </si>
  <si>
    <t>213 N / Sof</t>
  </si>
  <si>
    <t xml:space="preserve">Lago Norte - Geovana </t>
  </si>
  <si>
    <t xml:space="preserve">307 Norte - Marília </t>
  </si>
  <si>
    <t>313 Norte - Dani</t>
  </si>
  <si>
    <t>313 Norte - Ana</t>
  </si>
  <si>
    <t>314 Sul - Larissa</t>
  </si>
  <si>
    <t>314 Sul - novata</t>
  </si>
  <si>
    <t>15/11/2025 - Feriado</t>
  </si>
  <si>
    <t>313 Norte</t>
  </si>
  <si>
    <t>314 Sul - Fechou</t>
  </si>
  <si>
    <t xml:space="preserve">24/12/2025 - 1/2 expediente </t>
  </si>
  <si>
    <t>31/12/25 com Natal</t>
  </si>
  <si>
    <t xml:space="preserve">Sodoeste </t>
  </si>
  <si>
    <t>Faturamento 1° semana Fevereiro</t>
  </si>
  <si>
    <t xml:space="preserve">Faturamento 2° semana Fevereiro </t>
  </si>
  <si>
    <t xml:space="preserve">Faturamento 3° semana Fevereiro </t>
  </si>
  <si>
    <t xml:space="preserve">Faturamento 4° semana Fevereiro </t>
  </si>
  <si>
    <t xml:space="preserve">Custos dia a dia das lojas </t>
  </si>
  <si>
    <t>Aluguel</t>
  </si>
  <si>
    <t xml:space="preserve">Condomínio </t>
  </si>
  <si>
    <t xml:space="preserve">Salário </t>
  </si>
  <si>
    <t>FGTS</t>
  </si>
  <si>
    <t>IPTU</t>
  </si>
  <si>
    <t>RESULTADO MAIO NOROESTE</t>
  </si>
  <si>
    <t>R$ 19.900,89</t>
  </si>
  <si>
    <t>R$ 1.990,09</t>
  </si>
  <si>
    <t>R$ 15.536,58</t>
  </si>
  <si>
    <t>R$ 1.553,66</t>
  </si>
  <si>
    <t xml:space="preserve">Terno completo </t>
  </si>
  <si>
    <t xml:space="preserve">Camisa Social </t>
  </si>
  <si>
    <t xml:space="preserve">Vestido </t>
  </si>
  <si>
    <t xml:space="preserve">Blazer </t>
  </si>
  <si>
    <t xml:space="preserve">Edredom </t>
  </si>
  <si>
    <t xml:space="preserve">Lençol </t>
  </si>
  <si>
    <t xml:space="preserve">Tênis </t>
  </si>
  <si>
    <t>perguntar Bruna</t>
  </si>
  <si>
    <t>terno completo</t>
  </si>
  <si>
    <t xml:space="preserve">lençol </t>
  </si>
  <si>
    <t>camisa social</t>
  </si>
  <si>
    <t xml:space="preserve">vestido </t>
  </si>
  <si>
    <t>blazer</t>
  </si>
  <si>
    <t xml:space="preserve">tênis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</si>
</sst>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"/>
    <numFmt numFmtId="165" formatCode="dd/mm/yy"/>
    <numFmt numFmtId="166" formatCode="[$R$ -416]#,##0.00"/>
    <numFmt numFmtId="167" formatCode="d/m/yyyy"/>
    <numFmt numFmtId="168" formatCode="_([$R$ -416]* #,##0.00_);_([$R$ -416]* \(#,##0.00\);_([$R$ -416]* &quot;-&quot;??_);_(@_)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FFFFFF"/>
      <name val="Arial"/>
      <scheme val="minor"/>
    </font>
    <font>
      <color rgb="FFF3F3F3"/>
      <name val="Arial"/>
      <scheme val="minor"/>
    </font>
    <font>
      <sz val="8.0"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9.0"/>
      <color theme="1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rgb="FFFF0000"/>
      <name val="Arial"/>
      <scheme val="minor"/>
    </font>
    <font>
      <strike/>
      <color theme="1"/>
      <name val="Arial"/>
      <scheme val="minor"/>
    </font>
    <font>
      <b/>
      <color rgb="FFF3F3F3"/>
      <name val="Arial"/>
      <scheme val="minor"/>
    </font>
    <font>
      <b/>
      <color rgb="FFFFFFFF"/>
      <name val="Arial"/>
      <scheme val="minor"/>
    </font>
    <font>
      <b/>
      <sz val="12.0"/>
      <color rgb="FF000000"/>
      <name val="Calibri"/>
    </font>
  </fonts>
  <fills count="3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CC0000"/>
        <bgColor rgb="FFCC0000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990000"/>
        <bgColor rgb="FF990000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B7E1CD"/>
        <bgColor rgb="FFB7E1CD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shrinkToFit="0" wrapText="0"/>
    </xf>
    <xf borderId="1" fillId="2" fontId="1" numFmtId="4" xfId="0" applyAlignment="1" applyBorder="1" applyFont="1" applyNumberFormat="1">
      <alignment readingOrder="0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 textRotation="90" vertical="center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2" fillId="0" fontId="2" numFmtId="164" xfId="0" applyAlignment="1" applyBorder="1" applyFont="1" applyNumberFormat="1">
      <alignment horizontal="center" readingOrder="0" vertical="center"/>
    </xf>
    <xf borderId="1" fillId="4" fontId="2" numFmtId="4" xfId="0" applyAlignment="1" applyBorder="1" applyFill="1" applyFont="1" applyNumberFormat="1">
      <alignment readingOrder="0"/>
    </xf>
    <xf borderId="1" fillId="5" fontId="2" numFmtId="4" xfId="0" applyAlignment="1" applyBorder="1" applyFill="1" applyFont="1" applyNumberForma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4" xfId="0" applyAlignment="1" applyBorder="1" applyFill="1" applyFont="1" applyNumberFormat="1">
      <alignment readingOrder="0"/>
    </xf>
    <xf borderId="1" fillId="8" fontId="2" numFmtId="4" xfId="0" applyAlignment="1" applyBorder="1" applyFill="1" applyFont="1" applyNumberFormat="1">
      <alignment readingOrder="0"/>
    </xf>
    <xf borderId="2" fillId="3" fontId="2" numFmtId="0" xfId="0" applyAlignment="1" applyBorder="1" applyFont="1">
      <alignment horizontal="center" readingOrder="0" shrinkToFit="0" textRotation="90" vertical="center" wrapText="1"/>
    </xf>
    <xf borderId="3" fillId="0" fontId="3" numFmtId="0" xfId="0" applyBorder="1" applyFont="1"/>
    <xf borderId="1" fillId="9" fontId="2" numFmtId="4" xfId="0" applyAlignment="1" applyBorder="1" applyFill="1" applyFont="1" applyNumberFormat="1">
      <alignment readingOrder="0"/>
    </xf>
    <xf borderId="1" fillId="10" fontId="2" numFmtId="4" xfId="0" applyAlignment="1" applyBorder="1" applyFill="1" applyFont="1" applyNumberFormat="1">
      <alignment readingOrder="0"/>
    </xf>
    <xf borderId="1" fillId="11" fontId="2" numFmtId="3" xfId="0" applyAlignment="1" applyBorder="1" applyFill="1" applyFont="1" applyNumberFormat="1">
      <alignment readingOrder="0"/>
    </xf>
    <xf borderId="1" fillId="12" fontId="2" numFmtId="4" xfId="0" applyAlignment="1" applyBorder="1" applyFill="1" applyFont="1" applyNumberFormat="1">
      <alignment readingOrder="0"/>
    </xf>
    <xf borderId="1" fillId="13" fontId="4" numFmtId="4" xfId="0" applyAlignment="1" applyBorder="1" applyFill="1" applyFont="1" applyNumberFormat="1">
      <alignment readingOrder="0"/>
    </xf>
    <xf borderId="0" fillId="11" fontId="2" numFmtId="3" xfId="0" applyAlignment="1" applyFont="1" applyNumberFormat="1">
      <alignment readingOrder="0"/>
    </xf>
    <xf borderId="4" fillId="0" fontId="2" numFmtId="0" xfId="0" applyAlignment="1" applyBorder="1" applyFont="1">
      <alignment readingOrder="0"/>
    </xf>
    <xf borderId="4" fillId="6" fontId="2" numFmtId="0" xfId="0" applyAlignment="1" applyBorder="1" applyFont="1">
      <alignment readingOrder="0"/>
    </xf>
    <xf borderId="4" fillId="14" fontId="1" numFmtId="0" xfId="0" applyAlignment="1" applyBorder="1" applyFill="1" applyFont="1">
      <alignment horizontal="center" readingOrder="0"/>
    </xf>
    <xf borderId="1" fillId="4" fontId="1" numFmtId="4" xfId="0" applyAlignment="1" applyBorder="1" applyFont="1" applyNumberFormat="1">
      <alignment shrinkToFit="0" wrapText="1"/>
    </xf>
    <xf borderId="1" fillId="10" fontId="1" numFmtId="4" xfId="0" applyAlignment="1" applyBorder="1" applyFont="1" applyNumberFormat="1">
      <alignment shrinkToFit="0" wrapText="1"/>
    </xf>
    <xf borderId="1" fillId="8" fontId="1" numFmtId="4" xfId="0" applyAlignment="1" applyBorder="1" applyFont="1" applyNumberFormat="1">
      <alignment shrinkToFit="0" wrapText="1"/>
    </xf>
    <xf borderId="1" fillId="9" fontId="1" numFmtId="4" xfId="0" applyAlignment="1" applyBorder="1" applyFont="1" applyNumberFormat="1">
      <alignment shrinkToFit="0" wrapText="1"/>
    </xf>
    <xf borderId="1" fillId="15" fontId="1" numFmtId="3" xfId="0" applyAlignment="1" applyBorder="1" applyFill="1" applyFont="1" applyNumberFormat="1">
      <alignment shrinkToFit="0" wrapText="1"/>
    </xf>
    <xf borderId="1" fillId="16" fontId="1" numFmtId="4" xfId="0" applyAlignment="1" applyBorder="1" applyFill="1" applyFont="1" applyNumberFormat="1">
      <alignment shrinkToFit="0" wrapText="1"/>
    </xf>
    <xf borderId="1" fillId="5" fontId="1" numFmtId="4" xfId="0" applyAlignment="1" applyBorder="1" applyFont="1" applyNumberFormat="1">
      <alignment shrinkToFit="0" wrapText="1"/>
    </xf>
    <xf borderId="1" fillId="17" fontId="1" numFmtId="4" xfId="0" applyAlignment="1" applyBorder="1" applyFill="1" applyFont="1" applyNumberFormat="1">
      <alignment shrinkToFit="0" wrapText="1"/>
    </xf>
    <xf borderId="1" fillId="18" fontId="1" numFmtId="4" xfId="0" applyAlignment="1" applyBorder="1" applyFill="1" applyFont="1" applyNumberFormat="1">
      <alignment shrinkToFit="0" wrapText="1"/>
    </xf>
    <xf borderId="1" fillId="19" fontId="1" numFmtId="3" xfId="0" applyAlignment="1" applyBorder="1" applyFill="1" applyFont="1" applyNumberFormat="1">
      <alignment shrinkToFit="0" wrapText="1"/>
    </xf>
    <xf borderId="1" fillId="20" fontId="1" numFmtId="4" xfId="0" applyAlignment="1" applyBorder="1" applyFill="1" applyFont="1" applyNumberFormat="1">
      <alignment shrinkToFit="0" wrapText="1"/>
    </xf>
    <xf borderId="1" fillId="21" fontId="1" numFmtId="4" xfId="0" applyAlignment="1" applyBorder="1" applyFill="1" applyFont="1" applyNumberFormat="1">
      <alignment shrinkToFit="0" wrapText="1"/>
    </xf>
    <xf borderId="1" fillId="4" fontId="1" numFmtId="4" xfId="0" applyBorder="1" applyFont="1" applyNumberFormat="1"/>
    <xf borderId="1" fillId="10" fontId="1" numFmtId="4" xfId="0" applyBorder="1" applyFont="1" applyNumberFormat="1"/>
    <xf borderId="1" fillId="8" fontId="1" numFmtId="4" xfId="0" applyBorder="1" applyFont="1" applyNumberFormat="1"/>
    <xf borderId="1" fillId="15" fontId="1" numFmtId="3" xfId="0" applyBorder="1" applyFont="1" applyNumberFormat="1"/>
    <xf borderId="4" fillId="7" fontId="1" numFmtId="0" xfId="0" applyAlignment="1" applyBorder="1" applyFont="1">
      <alignment readingOrder="0"/>
    </xf>
    <xf borderId="4" fillId="7" fontId="1" numFmtId="4" xfId="0" applyAlignment="1" applyBorder="1" applyFont="1" applyNumberFormat="1">
      <alignment horizontal="center" readingOrder="0" shrinkToFit="0" wrapText="1"/>
    </xf>
    <xf borderId="5" fillId="0" fontId="3" numFmtId="0" xfId="0" applyBorder="1" applyFont="1"/>
    <xf borderId="6" fillId="0" fontId="3" numFmtId="0" xfId="0" applyBorder="1" applyFont="1"/>
    <xf borderId="1" fillId="0" fontId="2" numFmtId="0" xfId="0" applyBorder="1" applyFont="1"/>
    <xf borderId="4" fillId="7" fontId="1" numFmtId="4" xfId="0" applyAlignment="1" applyBorder="1" applyFont="1" applyNumberFormat="1">
      <alignment horizontal="center" readingOrder="0"/>
    </xf>
    <xf borderId="1" fillId="0" fontId="2" numFmtId="4" xfId="0" applyBorder="1" applyFont="1" applyNumberFormat="1"/>
    <xf borderId="1" fillId="0" fontId="2" numFmtId="3" xfId="0" applyBorder="1" applyFont="1" applyNumberFormat="1"/>
    <xf borderId="7" fillId="0" fontId="3" numFmtId="0" xfId="0" applyBorder="1" applyFont="1"/>
    <xf borderId="0" fillId="0" fontId="1" numFmtId="0" xfId="0" applyAlignment="1" applyFont="1">
      <alignment horizontal="center" readingOrder="0"/>
    </xf>
    <xf borderId="0" fillId="0" fontId="2" numFmtId="4" xfId="0" applyFont="1" applyNumberFormat="1"/>
    <xf borderId="4" fillId="22" fontId="1" numFmtId="0" xfId="0" applyAlignment="1" applyBorder="1" applyFill="1" applyFont="1">
      <alignment readingOrder="0"/>
    </xf>
    <xf borderId="4" fillId="22" fontId="1" numFmtId="4" xfId="0" applyAlignment="1" applyBorder="1" applyFont="1" applyNumberFormat="1">
      <alignment horizontal="center" readingOrder="0" shrinkToFit="0" wrapText="1"/>
    </xf>
    <xf borderId="0" fillId="3" fontId="2" numFmtId="0" xfId="0" applyAlignment="1" applyFont="1">
      <alignment horizontal="center" readingOrder="0" shrinkToFit="0" textRotation="90" vertical="center" wrapText="1"/>
    </xf>
    <xf borderId="1" fillId="7" fontId="1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 textRotation="90" vertical="center"/>
    </xf>
    <xf borderId="1" fillId="12" fontId="1" numFmtId="4" xfId="0" applyAlignment="1" applyBorder="1" applyFont="1" applyNumberFormat="1">
      <alignment shrinkToFit="0" wrapText="1"/>
    </xf>
    <xf borderId="2" fillId="23" fontId="2" numFmtId="0" xfId="0" applyAlignment="1" applyBorder="1" applyFill="1" applyFont="1">
      <alignment horizontal="center" readingOrder="0" textRotation="90" vertical="center"/>
    </xf>
    <xf borderId="1" fillId="11" fontId="2" numFmtId="0" xfId="0" applyAlignment="1" applyBorder="1" applyFont="1">
      <alignment readingOrder="0"/>
    </xf>
    <xf borderId="1" fillId="11" fontId="2" numFmtId="4" xfId="0" applyAlignment="1" applyBorder="1" applyFont="1" applyNumberFormat="1">
      <alignment readingOrder="0"/>
    </xf>
    <xf borderId="4" fillId="11" fontId="2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1" fillId="13" fontId="5" numFmtId="4" xfId="0" applyAlignment="1" applyBorder="1" applyFont="1" applyNumberFormat="1">
      <alignment readingOrder="0"/>
    </xf>
    <xf borderId="1" fillId="10" fontId="2" numFmtId="3" xfId="0" applyAlignment="1" applyBorder="1" applyFont="1" applyNumberFormat="1">
      <alignment readingOrder="0"/>
    </xf>
    <xf borderId="0" fillId="9" fontId="2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1" fillId="24" fontId="4" numFmtId="4" xfId="0" applyAlignment="1" applyBorder="1" applyFill="1" applyFont="1" applyNumberFormat="1">
      <alignment readingOrder="0"/>
    </xf>
    <xf borderId="0" fillId="7" fontId="1" numFmtId="0" xfId="0" applyAlignment="1" applyFont="1">
      <alignment readingOrder="0"/>
    </xf>
    <xf borderId="0" fillId="7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4" fillId="2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4" fillId="4" fontId="2" numFmtId="4" xfId="0" applyBorder="1" applyFont="1" applyNumberFormat="1"/>
    <xf borderId="4" fillId="10" fontId="2" numFmtId="4" xfId="0" applyBorder="1" applyFont="1" applyNumberFormat="1"/>
    <xf borderId="4" fillId="8" fontId="2" numFmtId="4" xfId="0" applyBorder="1" applyFont="1" applyNumberFormat="1"/>
    <xf borderId="4" fillId="7" fontId="2" numFmtId="4" xfId="0" applyBorder="1" applyFont="1" applyNumberFormat="1"/>
    <xf borderId="4" fillId="22" fontId="2" numFmtId="4" xfId="0" applyBorder="1" applyFont="1" applyNumberFormat="1"/>
    <xf borderId="4" fillId="15" fontId="2" numFmtId="3" xfId="0" applyBorder="1" applyFont="1" applyNumberFormat="1"/>
    <xf borderId="1" fillId="0" fontId="2" numFmtId="4" xfId="0" applyAlignment="1" applyBorder="1" applyFont="1" applyNumberFormat="1">
      <alignment readingOrder="0" shrinkToFit="0" wrapText="1"/>
    </xf>
    <xf borderId="1" fillId="7" fontId="2" numFmtId="4" xfId="0" applyBorder="1" applyFont="1" applyNumberFormat="1"/>
    <xf borderId="1" fillId="0" fontId="2" numFmtId="3" xfId="0" applyAlignment="1" applyBorder="1" applyFont="1" applyNumberFormat="1">
      <alignment readingOrder="0" shrinkToFit="0" wrapText="1"/>
    </xf>
    <xf borderId="1" fillId="3" fontId="1" numFmtId="0" xfId="0" applyAlignment="1" applyBorder="1" applyFont="1">
      <alignment readingOrder="0"/>
    </xf>
    <xf borderId="1" fillId="25" fontId="1" numFmtId="4" xfId="0" applyBorder="1" applyFill="1" applyFont="1" applyNumberFormat="1"/>
    <xf borderId="1" fillId="3" fontId="1" numFmtId="4" xfId="0" applyAlignment="1" applyBorder="1" applyFont="1" applyNumberFormat="1">
      <alignment readingOrder="0"/>
    </xf>
    <xf borderId="1" fillId="12" fontId="1" numFmtId="4" xfId="0" applyBorder="1" applyFont="1" applyNumberFormat="1"/>
    <xf borderId="1" fillId="5" fontId="1" numFmtId="4" xfId="0" applyBorder="1" applyFont="1" applyNumberFormat="1"/>
    <xf borderId="1" fillId="17" fontId="1" numFmtId="4" xfId="0" applyBorder="1" applyFont="1" applyNumberFormat="1"/>
    <xf borderId="1" fillId="19" fontId="1" numFmtId="3" xfId="0" applyBorder="1" applyFont="1" applyNumberFormat="1"/>
    <xf borderId="0" fillId="0" fontId="1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1" fillId="26" fontId="1" numFmtId="0" xfId="0" applyAlignment="1" applyBorder="1" applyFill="1" applyFont="1">
      <alignment readingOrder="0"/>
    </xf>
    <xf borderId="1" fillId="26" fontId="1" numFmtId="0" xfId="0" applyAlignment="1" applyBorder="1" applyFont="1">
      <alignment horizontal="center" readingOrder="0" shrinkToFit="0" wrapText="1"/>
    </xf>
    <xf borderId="1" fillId="26" fontId="1" numFmtId="166" xfId="0" applyAlignment="1" applyBorder="1" applyFont="1" applyNumberFormat="1">
      <alignment readingOrder="0"/>
    </xf>
    <xf borderId="1" fillId="4" fontId="2" numFmtId="4" xfId="0" applyBorder="1" applyFont="1" applyNumberFormat="1"/>
    <xf borderId="1" fillId="10" fontId="2" numFmtId="4" xfId="0" applyBorder="1" applyFont="1" applyNumberFormat="1"/>
    <xf borderId="1" fillId="8" fontId="2" numFmtId="4" xfId="0" applyBorder="1" applyFont="1" applyNumberFormat="1"/>
    <xf borderId="1" fillId="15" fontId="2" numFmtId="3" xfId="0" applyBorder="1" applyFont="1" applyNumberFormat="1"/>
    <xf borderId="1" fillId="0" fontId="2" numFmtId="0" xfId="0" applyAlignment="1" applyBorder="1" applyFont="1">
      <alignment horizontal="right" readingOrder="0"/>
    </xf>
    <xf borderId="1" fillId="0" fontId="2" numFmtId="166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2" numFmtId="166" xfId="0" applyBorder="1" applyFont="1" applyNumberFormat="1"/>
    <xf borderId="1" fillId="4" fontId="2" numFmtId="166" xfId="0" applyAlignment="1" applyBorder="1" applyFont="1" applyNumberFormat="1">
      <alignment readingOrder="0"/>
    </xf>
    <xf borderId="1" fillId="15" fontId="2" numFmtId="3" xfId="0" applyAlignment="1" applyBorder="1" applyFont="1" applyNumberFormat="1">
      <alignment readingOrder="0"/>
    </xf>
    <xf borderId="1" fillId="0" fontId="6" numFmtId="0" xfId="0" applyAlignment="1" applyBorder="1" applyFont="1">
      <alignment horizontal="right" readingOrder="0"/>
    </xf>
    <xf borderId="1" fillId="26" fontId="1" numFmtId="0" xfId="0" applyAlignment="1" applyBorder="1" applyFont="1">
      <alignment horizontal="right" readingOrder="0"/>
    </xf>
    <xf borderId="1" fillId="26" fontId="1" numFmtId="166" xfId="0" applyBorder="1" applyFont="1" applyNumberFormat="1"/>
    <xf borderId="1" fillId="26" fontId="1" numFmtId="0" xfId="0" applyBorder="1" applyFont="1"/>
    <xf borderId="1" fillId="0" fontId="1" numFmtId="166" xfId="0" applyBorder="1" applyFont="1" applyNumberFormat="1"/>
    <xf borderId="1" fillId="26" fontId="2" numFmtId="0" xfId="0" applyAlignment="1" applyBorder="1" applyFont="1">
      <alignment readingOrder="0" shrinkToFit="0" wrapText="1"/>
    </xf>
    <xf borderId="4" fillId="11" fontId="2" numFmtId="4" xfId="0" applyBorder="1" applyFont="1" applyNumberFormat="1"/>
    <xf borderId="0" fillId="0" fontId="2" numFmtId="0" xfId="0" applyAlignment="1" applyFont="1">
      <alignment readingOrder="0" shrinkToFit="0" wrapText="1"/>
    </xf>
    <xf borderId="1" fillId="2" fontId="1" numFmtId="0" xfId="0" applyAlignment="1" applyBorder="1" applyFont="1">
      <alignment horizontal="center" readingOrder="0"/>
    </xf>
    <xf borderId="1" fillId="2" fontId="1" numFmtId="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readingOrder="0" shrinkToFit="0" wrapText="1"/>
    </xf>
    <xf borderId="4" fillId="0" fontId="2" numFmtId="0" xfId="0" applyBorder="1" applyFont="1"/>
    <xf borderId="4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4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textRotation="90" vertical="center"/>
    </xf>
    <xf borderId="0" fillId="0" fontId="2" numFmtId="0" xfId="0" applyAlignment="1" applyFont="1">
      <alignment shrinkToFit="0" wrapText="1"/>
    </xf>
    <xf borderId="0" fillId="0" fontId="2" numFmtId="166" xfId="0" applyFont="1" applyNumberFormat="1"/>
    <xf borderId="1" fillId="3" fontId="2" numFmtId="0" xfId="0" applyAlignment="1" applyBorder="1" applyFon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1" fillId="27" fontId="1" numFmtId="0" xfId="0" applyAlignment="1" applyBorder="1" applyFill="1" applyFont="1">
      <alignment readingOrder="0"/>
    </xf>
    <xf borderId="1" fillId="27" fontId="1" numFmtId="4" xfId="0" applyBorder="1" applyFont="1" applyNumberFormat="1"/>
    <xf borderId="1" fillId="26" fontId="1" numFmtId="0" xfId="0" applyAlignment="1" applyBorder="1" applyFont="1">
      <alignment horizontal="left" readingOrder="0"/>
    </xf>
    <xf borderId="4" fillId="26" fontId="1" numFmtId="4" xfId="0" applyAlignment="1" applyBorder="1" applyFont="1" applyNumberFormat="1">
      <alignment horizontal="center"/>
    </xf>
    <xf borderId="1" fillId="3" fontId="2" numFmtId="0" xfId="0" applyAlignment="1" applyBorder="1" applyFont="1">
      <alignment horizontal="left" readingOrder="0"/>
    </xf>
    <xf borderId="1" fillId="0" fontId="2" numFmtId="4" xfId="0" applyAlignment="1" applyBorder="1" applyFont="1" applyNumberFormat="1">
      <alignment horizontal="right" readingOrder="0"/>
    </xf>
    <xf borderId="4" fillId="2" fontId="1" numFmtId="0" xfId="0" applyAlignment="1" applyBorder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4" xfId="0" applyAlignment="1" applyFont="1" applyNumberFormat="1">
      <alignment horizontal="right" readingOrder="0"/>
    </xf>
    <xf borderId="1" fillId="16" fontId="1" numFmtId="4" xfId="0" applyBorder="1" applyFont="1" applyNumberFormat="1"/>
    <xf borderId="0" fillId="0" fontId="1" numFmtId="4" xfId="0" applyFont="1" applyNumberFormat="1"/>
    <xf borderId="0" fillId="0" fontId="1" numFmtId="0" xfId="0" applyAlignment="1" applyFont="1">
      <alignment horizontal="center"/>
    </xf>
    <xf borderId="0" fillId="0" fontId="7" numFmtId="4" xfId="0" applyAlignment="1" applyFont="1" applyNumberFormat="1">
      <alignment horizontal="right" vertical="bottom"/>
    </xf>
    <xf borderId="1" fillId="28" fontId="2" numFmtId="0" xfId="0" applyAlignment="1" applyBorder="1" applyFill="1" applyFont="1">
      <alignment horizontal="left" readingOrder="0"/>
    </xf>
    <xf borderId="0" fillId="0" fontId="7" numFmtId="4" xfId="0" applyAlignment="1" applyFont="1" applyNumberFormat="1">
      <alignment vertical="bottom"/>
    </xf>
    <xf borderId="0" fillId="0" fontId="8" numFmtId="4" xfId="0" applyAlignment="1" applyFont="1" applyNumberFormat="1">
      <alignment horizontal="right" vertical="bottom"/>
    </xf>
    <xf borderId="0" fillId="0" fontId="2" numFmtId="0" xfId="0" applyFont="1"/>
    <xf borderId="1" fillId="0" fontId="2" numFmtId="3" xfId="0" applyAlignment="1" applyBorder="1" applyFont="1" applyNumberFormat="1">
      <alignment horizontal="right" readingOrder="0"/>
    </xf>
    <xf borderId="1" fillId="4" fontId="1" numFmtId="3" xfId="0" applyBorder="1" applyFont="1" applyNumberFormat="1"/>
    <xf borderId="1" fillId="27" fontId="1" numFmtId="3" xfId="0" applyBorder="1" applyFont="1" applyNumberFormat="1"/>
    <xf borderId="4" fillId="26" fontId="1" numFmtId="3" xfId="0" applyAlignment="1" applyBorder="1" applyFont="1" applyNumberFormat="1">
      <alignment horizontal="center"/>
    </xf>
    <xf borderId="4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1" fillId="2" fontId="9" numFmtId="0" xfId="0" applyAlignment="1" applyBorder="1" applyFont="1">
      <alignment horizontal="center" readingOrder="0" shrinkToFit="0" wrapText="1"/>
    </xf>
    <xf borderId="1" fillId="2" fontId="9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readingOrder="0"/>
    </xf>
    <xf borderId="0" fillId="0" fontId="2" numFmtId="3" xfId="0" applyAlignment="1" applyFont="1" applyNumberFormat="1">
      <alignment readingOrder="0"/>
    </xf>
    <xf borderId="1" fillId="29" fontId="2" numFmtId="0" xfId="0" applyAlignment="1" applyBorder="1" applyFill="1" applyFont="1">
      <alignment readingOrder="0"/>
    </xf>
    <xf borderId="1" fillId="29" fontId="2" numFmtId="4" xfId="0" applyAlignment="1" applyBorder="1" applyFont="1" applyNumberFormat="1">
      <alignment readingOrder="0"/>
    </xf>
    <xf borderId="1" fillId="29" fontId="2" numFmtId="3" xfId="0" applyAlignment="1" applyBorder="1" applyFont="1" applyNumberFormat="1">
      <alignment readingOrder="0"/>
    </xf>
    <xf borderId="2" fillId="23" fontId="2" numFmtId="164" xfId="0" applyAlignment="1" applyBorder="1" applyFont="1" applyNumberForma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readingOrder="0" textRotation="0" vertical="center"/>
    </xf>
    <xf borderId="1" fillId="30" fontId="2" numFmtId="4" xfId="0" applyAlignment="1" applyBorder="1" applyFill="1" applyFont="1" applyNumberFormat="1">
      <alignment readingOrder="0"/>
    </xf>
    <xf borderId="1" fillId="18" fontId="2" numFmtId="0" xfId="0" applyAlignment="1" applyBorder="1" applyFont="1">
      <alignment readingOrder="0"/>
    </xf>
    <xf borderId="1" fillId="17" fontId="2" numFmtId="4" xfId="0" applyAlignment="1" applyBorder="1" applyFont="1" applyNumberFormat="1">
      <alignment readingOrder="0"/>
    </xf>
    <xf borderId="2" fillId="28" fontId="2" numFmtId="164" xfId="0" applyAlignment="1" applyBorder="1" applyFont="1" applyNumberFormat="1">
      <alignment horizontal="center" readingOrder="0" vertical="center"/>
    </xf>
    <xf borderId="1" fillId="9" fontId="2" numFmtId="0" xfId="0" applyAlignment="1" applyBorder="1" applyFont="1">
      <alignment readingOrder="0"/>
    </xf>
    <xf borderId="1" fillId="9" fontId="2" numFmtId="0" xfId="0" applyAlignment="1" applyBorder="1" applyFont="1">
      <alignment readingOrder="0" shrinkToFit="0" wrapText="1"/>
    </xf>
    <xf borderId="0" fillId="9" fontId="2" numFmtId="0" xfId="0" applyAlignment="1" applyFont="1">
      <alignment readingOrder="0" shrinkToFit="0" wrapText="1"/>
    </xf>
    <xf borderId="1" fillId="9" fontId="2" numFmtId="4" xfId="0" applyBorder="1" applyFont="1" applyNumberFormat="1"/>
    <xf borderId="1" fillId="9" fontId="2" numFmtId="0" xfId="0" applyAlignment="1" applyBorder="1" applyFont="1">
      <alignment shrinkToFit="0" wrapText="1"/>
    </xf>
    <xf borderId="1" fillId="9" fontId="2" numFmtId="0" xfId="0" applyBorder="1" applyFont="1"/>
    <xf borderId="0" fillId="0" fontId="10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1" fillId="0" fontId="12" numFmtId="0" xfId="0" applyAlignment="1" applyBorder="1" applyFont="1">
      <alignment horizontal="center" readingOrder="0" shrinkToFit="0" wrapText="0"/>
    </xf>
    <xf borderId="6" fillId="0" fontId="12" numFmtId="0" xfId="0" applyAlignment="1" applyBorder="1" applyFont="1">
      <alignment horizontal="center" readingOrder="0" shrinkToFit="0" wrapText="0"/>
    </xf>
    <xf borderId="6" fillId="0" fontId="12" numFmtId="0" xfId="0" applyAlignment="1" applyBorder="1" applyFont="1">
      <alignment horizontal="center" shrinkToFit="0" wrapText="0"/>
    </xf>
    <xf borderId="5" fillId="0" fontId="12" numFmtId="0" xfId="0" applyAlignment="1" applyBorder="1" applyFont="1">
      <alignment horizontal="center" readingOrder="0" shrinkToFit="0" wrapText="1"/>
    </xf>
    <xf borderId="6" fillId="0" fontId="3" numFmtId="0" xfId="0" applyBorder="1" applyFont="1"/>
    <xf borderId="6" fillId="0" fontId="12" numFmtId="0" xfId="0" applyAlignment="1" applyBorder="1" applyFont="1">
      <alignment horizontal="center" readingOrder="0" shrinkToFit="0" vertical="bottom" wrapText="1"/>
    </xf>
    <xf borderId="8" fillId="0" fontId="11" numFmtId="0" xfId="0" applyAlignment="1" applyBorder="1" applyFont="1">
      <alignment shrinkToFit="0" vertical="bottom" wrapText="0"/>
    </xf>
    <xf borderId="9" fillId="0" fontId="11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center" readingOrder="0" shrinkToFit="0" vertical="center" wrapText="0"/>
    </xf>
    <xf borderId="6" fillId="0" fontId="11" numFmtId="4" xfId="0" applyAlignment="1" applyBorder="1" applyFont="1" applyNumberFormat="1">
      <alignment horizontal="center" readingOrder="0" shrinkToFit="0" vertical="center" wrapText="0"/>
    </xf>
    <xf borderId="6" fillId="0" fontId="11" numFmtId="9" xfId="0" applyAlignment="1" applyBorder="1" applyFont="1" applyNumberFormat="1">
      <alignment horizontal="center" readingOrder="0" shrinkToFit="0" vertical="center" wrapText="0"/>
    </xf>
    <xf borderId="6" fillId="0" fontId="11" numFmtId="168" xfId="0" applyAlignment="1" applyBorder="1" applyFont="1" applyNumberFormat="1">
      <alignment horizontal="center" readingOrder="0" shrinkToFit="0" vertical="center" wrapText="0"/>
    </xf>
    <xf borderId="5" fillId="31" fontId="11" numFmtId="4" xfId="0" applyAlignment="1" applyBorder="1" applyFill="1" applyFont="1" applyNumberFormat="1">
      <alignment horizontal="center" readingOrder="0" shrinkToFit="0" vertical="center" wrapText="0"/>
    </xf>
    <xf borderId="6" fillId="28" fontId="11" numFmtId="4" xfId="0" applyAlignment="1" applyBorder="1" applyFont="1" applyNumberFormat="1">
      <alignment horizontal="center" readingOrder="0" shrinkToFit="0" vertical="center" wrapText="0"/>
    </xf>
    <xf borderId="6" fillId="32" fontId="11" numFmtId="168" xfId="0" applyAlignment="1" applyBorder="1" applyFill="1" applyFont="1" applyNumberFormat="1">
      <alignment horizontal="center" readingOrder="0" shrinkToFit="0" vertical="center" wrapText="0"/>
    </xf>
    <xf borderId="7" fillId="0" fontId="12" numFmtId="0" xfId="0" applyAlignment="1" applyBorder="1" applyFont="1">
      <alignment horizontal="center" readingOrder="0" shrinkToFit="0" vertical="center" wrapText="0"/>
    </xf>
    <xf borderId="10" fillId="0" fontId="11" numFmtId="9" xfId="0" applyAlignment="1" applyBorder="1" applyFont="1" applyNumberFormat="1">
      <alignment horizontal="center" readingOrder="0" shrinkToFit="0" vertical="center" wrapText="0"/>
    </xf>
    <xf borderId="6" fillId="0" fontId="11" numFmtId="166" xfId="0" applyAlignment="1" applyBorder="1" applyFont="1" applyNumberFormat="1">
      <alignment horizontal="center" readingOrder="0" shrinkToFit="0" vertical="center" wrapText="0"/>
    </xf>
    <xf borderId="5" fillId="31" fontId="11" numFmtId="166" xfId="0" applyAlignment="1" applyBorder="1" applyFont="1" applyNumberFormat="1">
      <alignment horizontal="center" readingOrder="0" shrinkToFit="0" vertical="center" wrapText="0"/>
    </xf>
    <xf borderId="6" fillId="28" fontId="11" numFmtId="166" xfId="0" applyAlignment="1" applyBorder="1" applyFont="1" applyNumberFormat="1">
      <alignment horizontal="center" readingOrder="0" shrinkToFit="0" vertical="center" wrapText="0"/>
    </xf>
    <xf borderId="0" fillId="0" fontId="2" numFmtId="9" xfId="0" applyAlignment="1" applyFont="1" applyNumberFormat="1">
      <alignment readingOrder="0"/>
    </xf>
    <xf borderId="0" fillId="0" fontId="11" numFmtId="0" xfId="0" applyAlignment="1" applyFont="1">
      <alignment horizontal="center" readingOrder="0" shrinkToFit="0" vertical="bottom" wrapText="0"/>
    </xf>
    <xf borderId="0" fillId="0" fontId="2" numFmtId="166" xfId="0" applyAlignment="1" applyFont="1" applyNumberFormat="1">
      <alignment readingOrder="0"/>
    </xf>
    <xf borderId="0" fillId="0" fontId="2" numFmtId="166" xfId="0" applyAlignment="1" applyFont="1" applyNumberFormat="1">
      <alignment horizontal="center"/>
    </xf>
    <xf borderId="6" fillId="28" fontId="11" numFmtId="166" xfId="0" applyAlignment="1" applyBorder="1" applyFont="1" applyNumberFormat="1">
      <alignment horizontal="center" readingOrder="0" shrinkToFit="0" vertical="center" wrapText="0"/>
    </xf>
    <xf borderId="0" fillId="0" fontId="2" numFmtId="10" xfId="0" applyFont="1" applyNumberFormat="1"/>
    <xf borderId="1" fillId="0" fontId="2" numFmtId="166" xfId="0" applyAlignment="1" applyBorder="1" applyFont="1" applyNumberFormat="1">
      <alignment horizontal="center" readingOrder="0"/>
    </xf>
    <xf borderId="1" fillId="0" fontId="11" numFmtId="9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/>
    </xf>
    <xf borderId="1" fillId="0" fontId="2" numFmtId="166" xfId="0" applyAlignment="1" applyBorder="1" applyFont="1" applyNumberFormat="1">
      <alignment horizontal="center"/>
    </xf>
    <xf borderId="6" fillId="0" fontId="12" numFmtId="0" xfId="0" applyAlignment="1" applyBorder="1" applyFont="1">
      <alignment horizontal="center" readingOrder="0" shrinkToFit="0" wrapText="1"/>
    </xf>
    <xf borderId="6" fillId="0" fontId="11" numFmtId="166" xfId="0" applyAlignment="1" applyBorder="1" applyFont="1" applyNumberFormat="1">
      <alignment horizontal="center" readingOrder="0" shrinkToFit="0" vertical="center" wrapText="0"/>
    </xf>
    <xf borderId="0" fillId="18" fontId="2" numFmtId="10" xfId="0" applyFont="1" applyNumberFormat="1"/>
    <xf borderId="0" fillId="28" fontId="2" numFmtId="10" xfId="0" applyFont="1" applyNumberFormat="1"/>
    <xf borderId="0" fillId="0" fontId="2" numFmtId="166" xfId="0" applyAlignment="1" applyFont="1" applyNumberFormat="1">
      <alignment horizontal="center" readingOrder="0"/>
    </xf>
    <xf borderId="0" fillId="6" fontId="2" numFmtId="10" xfId="0" applyFont="1" applyNumberFormat="1"/>
    <xf borderId="6" fillId="0" fontId="1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/>
    </xf>
    <xf borderId="0" fillId="0" fontId="2" numFmtId="10" xfId="0" applyAlignment="1" applyFont="1" applyNumberFormat="1">
      <alignment horizontal="center"/>
    </xf>
    <xf borderId="0" fillId="18" fontId="2" numFmtId="166" xfId="0" applyAlignment="1" applyFont="1" applyNumberFormat="1">
      <alignment horizontal="center"/>
    </xf>
    <xf borderId="0" fillId="18" fontId="2" numFmtId="0" xfId="0" applyAlignment="1" applyFon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6" fillId="25" fontId="11" numFmtId="166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right"/>
    </xf>
    <xf borderId="0" fillId="9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/>
    </xf>
    <xf borderId="6" fillId="0" fontId="12" numFmtId="0" xfId="0" applyAlignment="1" applyBorder="1" applyFont="1">
      <alignment horizontal="center" readingOrder="0" shrinkToFit="0" vertical="center" wrapText="0"/>
    </xf>
    <xf borderId="6" fillId="0" fontId="12" numFmtId="0" xfId="0" applyAlignment="1" applyBorder="1" applyFont="1">
      <alignment horizontal="center" shrinkToFit="0" vertical="center" wrapText="0"/>
    </xf>
    <xf borderId="5" fillId="0" fontId="1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33" fontId="2" numFmtId="10" xfId="0" applyAlignment="1" applyFill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8" fontId="2" numFmtId="10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  <xf borderId="0" fillId="7" fontId="2" numFmtId="10" xfId="0" applyAlignment="1" applyFont="1" applyNumberFormat="1">
      <alignment horizontal="center" readingOrder="0"/>
    </xf>
    <xf borderId="4" fillId="0" fontId="12" numFmtId="0" xfId="0" applyAlignment="1" applyBorder="1" applyFont="1">
      <alignment horizontal="center" readingOrder="0" shrinkToFit="0" vertical="center" wrapText="0"/>
    </xf>
    <xf borderId="1" fillId="6" fontId="12" numFmtId="0" xfId="0" applyAlignment="1" applyBorder="1" applyFont="1">
      <alignment horizontal="center" readingOrder="0" shrinkToFit="0" vertical="center" wrapText="0"/>
    </xf>
    <xf borderId="6" fillId="4" fontId="11" numFmtId="166" xfId="0" applyAlignment="1" applyBorder="1" applyFont="1" applyNumberFormat="1">
      <alignment horizontal="center" readingOrder="0" shrinkToFit="0" vertical="center" wrapText="0"/>
    </xf>
    <xf borderId="0" fillId="4" fontId="2" numFmtId="0" xfId="0" applyAlignment="1" applyFont="1">
      <alignment readingOrder="0"/>
    </xf>
    <xf borderId="11" fillId="0" fontId="12" numFmtId="0" xfId="0" applyAlignment="1" applyBorder="1" applyFont="1">
      <alignment horizontal="center" readingOrder="0" shrinkToFit="0" vertical="center" wrapText="0"/>
    </xf>
    <xf borderId="7" fillId="6" fontId="12" numFmtId="0" xfId="0" applyAlignment="1" applyBorder="1" applyFont="1">
      <alignment horizontal="center" readingOrder="0" shrinkToFit="0" vertical="center" wrapText="0"/>
    </xf>
    <xf borderId="0" fillId="0" fontId="2" numFmtId="166" xfId="0" applyFont="1" applyNumberFormat="1"/>
    <xf borderId="1" fillId="0" fontId="1" numFmtId="166" xfId="0" applyBorder="1" applyFont="1" applyNumberFormat="1"/>
    <xf borderId="0" fillId="7" fontId="2" numFmtId="0" xfId="0" applyAlignment="1" applyFont="1">
      <alignment readingOrder="0"/>
    </xf>
    <xf borderId="0" fillId="6" fontId="2" numFmtId="10" xfId="0" applyAlignment="1" applyFont="1" applyNumberFormat="1">
      <alignment horizontal="center" readingOrder="0"/>
    </xf>
    <xf borderId="4" fillId="6" fontId="12" numFmtId="0" xfId="0" applyAlignment="1" applyBorder="1" applyFont="1">
      <alignment horizontal="center" readingOrder="0" shrinkToFit="0" vertical="center" wrapText="0"/>
    </xf>
    <xf borderId="11" fillId="6" fontId="12" numFmtId="0" xfId="0" applyAlignment="1" applyBorder="1" applyFont="1">
      <alignment horizontal="center" readingOrder="0" shrinkToFit="0" vertical="center" wrapText="0"/>
    </xf>
    <xf borderId="7" fillId="9" fontId="12" numFmtId="0" xfId="0" applyAlignment="1" applyBorder="1" applyFont="1">
      <alignment horizontal="center" readingOrder="0" shrinkToFit="0" vertical="center" wrapText="0"/>
    </xf>
    <xf borderId="1" fillId="7" fontId="12" numFmtId="0" xfId="0" applyAlignment="1" applyBorder="1" applyFont="1">
      <alignment horizontal="center" readingOrder="0" shrinkToFit="0" vertical="center" wrapText="0"/>
    </xf>
    <xf borderId="7" fillId="7" fontId="12" numFmtId="0" xfId="0" applyAlignment="1" applyBorder="1" applyFont="1">
      <alignment horizontal="center" readingOrder="0" shrinkToFit="0" vertical="center" wrapText="0"/>
    </xf>
    <xf borderId="0" fillId="0" fontId="2" numFmtId="2" xfId="0" applyFont="1" applyNumberFormat="1"/>
    <xf borderId="0" fillId="7" fontId="2" numFmtId="2" xfId="0" applyFont="1" applyNumberFormat="1"/>
    <xf borderId="0" fillId="33" fontId="2" numFmtId="0" xfId="0" applyAlignment="1" applyFont="1">
      <alignment readingOrder="0"/>
    </xf>
    <xf borderId="0" fillId="33" fontId="2" numFmtId="166" xfId="0" applyAlignment="1" applyFont="1" applyNumberFormat="1">
      <alignment readingOrder="0"/>
    </xf>
    <xf borderId="0" fillId="28" fontId="2" numFmtId="166" xfId="0" applyAlignment="1" applyFont="1" applyNumberFormat="1">
      <alignment readingOrder="0"/>
    </xf>
    <xf borderId="6" fillId="33" fontId="11" numFmtId="166" xfId="0" applyAlignment="1" applyBorder="1" applyFont="1" applyNumberFormat="1">
      <alignment horizontal="center" readingOrder="0" shrinkToFit="0" vertical="center" wrapText="0"/>
    </xf>
    <xf borderId="0" fillId="10" fontId="2" numFmtId="0" xfId="0" applyFont="1"/>
    <xf borderId="0" fillId="10" fontId="2" numFmtId="166" xfId="0" applyAlignment="1" applyFont="1" applyNumberFormat="1">
      <alignment readingOrder="0"/>
    </xf>
    <xf borderId="6" fillId="31" fontId="11" numFmtId="166" xfId="0" applyAlignment="1" applyBorder="1" applyFont="1" applyNumberFormat="1">
      <alignment horizontal="center" readingOrder="0" shrinkToFit="0" vertical="center" wrapText="0"/>
    </xf>
    <xf borderId="1" fillId="7" fontId="2" numFmtId="166" xfId="0" applyAlignment="1" applyBorder="1" applyFont="1" applyNumberFormat="1">
      <alignment readingOrder="0"/>
    </xf>
    <xf borderId="1" fillId="23" fontId="2" numFmtId="166" xfId="0" applyAlignment="1" applyBorder="1" applyFont="1" applyNumberFormat="1">
      <alignment readingOrder="0"/>
    </xf>
    <xf borderId="1" fillId="28" fontId="2" numFmtId="166" xfId="0" applyAlignment="1" applyBorder="1" applyFont="1" applyNumberFormat="1">
      <alignment readingOrder="0"/>
    </xf>
    <xf borderId="1" fillId="25" fontId="2" numFmtId="166" xfId="0" applyAlignment="1" applyBorder="1" applyFont="1" applyNumberFormat="1">
      <alignment readingOrder="0"/>
    </xf>
    <xf borderId="0" fillId="0" fontId="1" numFmtId="166" xfId="0" applyFont="1" applyNumberFormat="1"/>
    <xf borderId="0" fillId="7" fontId="2" numFmtId="166" xfId="0" applyAlignment="1" applyFont="1" applyNumberFormat="1">
      <alignment readingOrder="0"/>
    </xf>
    <xf borderId="8" fillId="0" fontId="12" numFmtId="0" xfId="0" applyAlignment="1" applyBorder="1" applyFont="1">
      <alignment horizontal="center" readingOrder="0" shrinkToFit="0" vertical="center" wrapText="0"/>
    </xf>
    <xf borderId="12" fillId="0" fontId="11" numFmtId="166" xfId="0" applyAlignment="1" applyBorder="1" applyFont="1" applyNumberForma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1" fillId="7" fontId="12" numFmtId="0" xfId="0" applyAlignment="1" applyBorder="1" applyFont="1">
      <alignment horizontal="center" readingOrder="0" shrinkToFit="0" vertical="center" wrapText="0"/>
    </xf>
    <xf borderId="1" fillId="0" fontId="11" numFmtId="166" xfId="0" applyAlignment="1" applyBorder="1" applyFont="1" applyNumberFormat="1">
      <alignment horizontal="center" readingOrder="0" shrinkToFit="0" vertical="center" wrapText="0"/>
    </xf>
    <xf borderId="0" fillId="25" fontId="2" numFmtId="166" xfId="0" applyAlignment="1" applyFont="1" applyNumberFormat="1">
      <alignment horizontal="center" readingOrder="0"/>
    </xf>
    <xf borderId="4" fillId="7" fontId="12" numFmtId="0" xfId="0" applyAlignment="1" applyBorder="1" applyFont="1">
      <alignment horizontal="center" readingOrder="0" shrinkToFit="0" vertical="center" wrapText="0"/>
    </xf>
    <xf borderId="1" fillId="0" fontId="11" numFmtId="166" xfId="0" applyAlignment="1" applyBorder="1" applyFont="1" applyNumberFormat="1">
      <alignment horizontal="center" readingOrder="0" shrinkToFit="0" vertical="center" wrapText="0"/>
    </xf>
    <xf borderId="0" fillId="0" fontId="11" numFmtId="166" xfId="0" applyAlignment="1" applyFont="1" applyNumberFormat="1">
      <alignment horizontal="center" readingOrder="0" shrinkToFit="0" vertical="center" wrapText="0"/>
    </xf>
    <xf borderId="4" fillId="0" fontId="1" numFmtId="166" xfId="0" applyBorder="1" applyFont="1" applyNumberFormat="1"/>
    <xf borderId="0" fillId="0" fontId="1" numFmtId="0" xfId="0" applyFont="1"/>
    <xf borderId="0" fillId="28" fontId="2" numFmtId="2" xfId="0" applyFont="1" applyNumberFormat="1"/>
    <xf borderId="0" fillId="28" fontId="2" numFmtId="166" xfId="0" applyFont="1" applyNumberFormat="1"/>
    <xf borderId="0" fillId="28" fontId="13" numFmtId="166" xfId="0" applyFont="1" applyNumberFormat="1"/>
    <xf borderId="0" fillId="7" fontId="1" numFmtId="166" xfId="0" applyFont="1" applyNumberFormat="1"/>
    <xf borderId="1" fillId="0" fontId="1" numFmtId="4" xfId="0" applyAlignment="1" applyBorder="1" applyFont="1" applyNumberFormat="1">
      <alignment shrinkToFit="0" wrapText="1"/>
    </xf>
    <xf borderId="1" fillId="0" fontId="1" numFmtId="3" xfId="0" applyAlignment="1" applyBorder="1" applyFont="1" applyNumberFormat="1">
      <alignment shrinkToFit="0" wrapText="1"/>
    </xf>
    <xf borderId="2" fillId="0" fontId="2" numFmtId="164" xfId="0" applyAlignment="1" applyBorder="1" applyFont="1" applyNumberFormat="1">
      <alignment horizontal="center" readingOrder="0" textRotation="90" vertical="center"/>
    </xf>
    <xf borderId="1" fillId="19" fontId="2" numFmtId="0" xfId="0" applyAlignment="1" applyBorder="1" applyFont="1">
      <alignment readingOrder="0"/>
    </xf>
    <xf borderId="1" fillId="19" fontId="2" numFmtId="4" xfId="0" applyAlignment="1" applyBorder="1" applyFont="1" applyNumberFormat="1">
      <alignment readingOrder="0"/>
    </xf>
    <xf borderId="1" fillId="19" fontId="2" numFmtId="3" xfId="0" applyAlignment="1" applyBorder="1" applyFont="1" applyNumberFormat="1">
      <alignment readingOrder="0"/>
    </xf>
    <xf borderId="1" fillId="0" fontId="14" numFmtId="0" xfId="0" applyAlignment="1" applyBorder="1" applyFont="1">
      <alignment readingOrder="0"/>
    </xf>
    <xf borderId="1" fillId="0" fontId="14" numFmtId="4" xfId="0" applyAlignment="1" applyBorder="1" applyFont="1" applyNumberFormat="1">
      <alignment readingOrder="0"/>
    </xf>
    <xf borderId="0" fillId="19" fontId="2" numFmtId="3" xfId="0" applyAlignment="1" applyFont="1" applyNumberFormat="1">
      <alignment readingOrder="0"/>
    </xf>
    <xf borderId="4" fillId="19" fontId="2" numFmtId="0" xfId="0" applyAlignment="1" applyBorder="1" applyFont="1">
      <alignment readingOrder="0"/>
    </xf>
    <xf borderId="1" fillId="11" fontId="1" numFmtId="3" xfId="0" applyAlignment="1" applyBorder="1" applyFont="1" applyNumberFormat="1">
      <alignment shrinkToFit="0" wrapText="1"/>
    </xf>
    <xf borderId="1" fillId="7" fontId="2" numFmtId="0" xfId="0" applyAlignment="1" applyBorder="1" applyFont="1">
      <alignment readingOrder="0"/>
    </xf>
    <xf borderId="2" fillId="15" fontId="2" numFmtId="0" xfId="0" applyAlignment="1" applyBorder="1" applyFont="1">
      <alignment horizontal="center" readingOrder="0" shrinkToFit="0" textRotation="90" vertical="center" wrapText="1"/>
    </xf>
    <xf borderId="1" fillId="34" fontId="15" numFmtId="4" xfId="0" applyAlignment="1" applyBorder="1" applyFill="1" applyFont="1" applyNumberFormat="1">
      <alignment shrinkToFit="0" wrapText="1"/>
    </xf>
    <xf borderId="1" fillId="34" fontId="16" numFmtId="4" xfId="0" applyAlignment="1" applyBorder="1" applyFont="1" applyNumberFormat="1">
      <alignment shrinkToFit="0" wrapText="1"/>
    </xf>
    <xf borderId="1" fillId="13" fontId="1" numFmtId="4" xfId="0" applyAlignment="1" applyBorder="1" applyFont="1" applyNumberFormat="1">
      <alignment shrinkToFit="0" wrapText="1"/>
    </xf>
    <xf borderId="1" fillId="0" fontId="14" numFmtId="0" xfId="0" applyAlignment="1" applyBorder="1" applyFont="1">
      <alignment readingOrder="0"/>
    </xf>
    <xf borderId="1" fillId="0" fontId="14" numFmtId="4" xfId="0" applyAlignment="1" applyBorder="1" applyFont="1" applyNumberFormat="1">
      <alignment readingOrder="0"/>
    </xf>
    <xf borderId="2" fillId="23" fontId="2" numFmtId="164" xfId="0" applyAlignment="1" applyBorder="1" applyFont="1" applyNumberFormat="1">
      <alignment horizontal="center" readingOrder="0" vertical="center"/>
    </xf>
    <xf borderId="1" fillId="15" fontId="2" numFmtId="0" xfId="0" applyAlignment="1" applyBorder="1" applyFont="1">
      <alignment readingOrder="0"/>
    </xf>
    <xf borderId="1" fillId="15" fontId="2" numFmtId="4" xfId="0" applyAlignment="1" applyBorder="1" applyFont="1" applyNumberFormat="1">
      <alignment readingOrder="0"/>
    </xf>
    <xf borderId="4" fillId="15" fontId="2" numFmtId="0" xfId="0" applyAlignment="1" applyBorder="1" applyFont="1">
      <alignment readingOrder="0"/>
    </xf>
    <xf borderId="1" fillId="13" fontId="16" numFmtId="4" xfId="0" applyAlignment="1" applyBorder="1" applyFont="1" applyNumberFormat="1">
      <alignment shrinkToFit="0" wrapText="1"/>
    </xf>
    <xf borderId="1" fillId="0" fontId="1" numFmtId="0" xfId="0" applyAlignment="1" applyBorder="1" applyFont="1">
      <alignment readingOrder="0" shrinkToFit="0" wrapText="0"/>
    </xf>
    <xf borderId="1" fillId="0" fontId="1" numFmtId="4" xfId="0" applyAlignment="1" applyBorder="1" applyFont="1" applyNumberFormat="1">
      <alignment readingOrder="0"/>
    </xf>
    <xf borderId="1" fillId="7" fontId="1" numFmtId="4" xfId="0" applyAlignment="1" applyBorder="1" applyFont="1" applyNumberFormat="1">
      <alignment shrinkToFit="0" wrapText="1"/>
    </xf>
    <xf borderId="1" fillId="0" fontId="4" numFmtId="4" xfId="0" applyAlignment="1" applyBorder="1" applyFont="1" applyNumberFormat="1">
      <alignment readingOrder="0"/>
    </xf>
    <xf borderId="1" fillId="0" fontId="5" numFmtId="4" xfId="0" applyAlignment="1" applyBorder="1" applyFont="1" applyNumberForma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1" fillId="28" fontId="2" numFmtId="0" xfId="0" applyAlignment="1" applyBorder="1" applyFont="1">
      <alignment readingOrder="0"/>
    </xf>
    <xf borderId="4" fillId="16" fontId="1" numFmtId="4" xfId="0" applyBorder="1" applyFont="1" applyNumberFormat="1"/>
    <xf borderId="2" fillId="23" fontId="2" numFmtId="0" xfId="0" applyAlignment="1" applyBorder="1" applyFont="1">
      <alignment horizontal="center" readingOrder="0" shrinkToFit="0" textRotation="90" vertical="center" wrapText="1"/>
    </xf>
    <xf borderId="0" fillId="19" fontId="2" numFmtId="4" xfId="0" applyAlignment="1" applyFont="1" applyNumberFormat="1">
      <alignment readingOrder="0"/>
    </xf>
    <xf borderId="1" fillId="4" fontId="2" numFmtId="4" xfId="0" applyAlignment="1" applyBorder="1" applyFont="1" applyNumberFormat="1">
      <alignment shrinkToFit="0" wrapText="1"/>
    </xf>
    <xf borderId="1" fillId="24" fontId="16" numFmtId="4" xfId="0" applyAlignment="1" applyBorder="1" applyFont="1" applyNumberFormat="1">
      <alignment shrinkToFit="0" wrapText="1"/>
    </xf>
    <xf borderId="2" fillId="11" fontId="2" numFmtId="0" xfId="0" applyAlignment="1" applyBorder="1" applyFont="1">
      <alignment horizontal="center" readingOrder="0" shrinkToFit="0" textRotation="90" vertical="center" wrapText="1"/>
    </xf>
    <xf borderId="2" fillId="11" fontId="2" numFmtId="164" xfId="0" applyAlignment="1" applyBorder="1" applyFont="1" applyNumberFormat="1">
      <alignment horizontal="center" readingOrder="0" shrinkToFit="0" vertical="center" wrapText="1"/>
    </xf>
    <xf borderId="2" fillId="0" fontId="2" numFmtId="0" xfId="0" applyBorder="1" applyFont="1"/>
    <xf borderId="1" fillId="4" fontId="1" numFmtId="0" xfId="0" applyBorder="1" applyFont="1"/>
    <xf borderId="1" fillId="10" fontId="1" numFmtId="0" xfId="0" applyBorder="1" applyFont="1"/>
    <xf borderId="4" fillId="7" fontId="1" numFmtId="0" xfId="0" applyAlignment="1" applyBorder="1" applyFont="1">
      <alignment horizontal="center" readingOrder="0"/>
    </xf>
    <xf borderId="4" fillId="4" fontId="2" numFmtId="0" xfId="0" applyBorder="1" applyFont="1"/>
    <xf borderId="4" fillId="10" fontId="2" numFmtId="0" xfId="0" applyBorder="1" applyFont="1"/>
    <xf borderId="4" fillId="7" fontId="2" numFmtId="0" xfId="0" applyBorder="1" applyFont="1"/>
    <xf borderId="0" fillId="0" fontId="1" numFmtId="0" xfId="0" applyAlignment="1" applyFont="1">
      <alignment readingOrder="0" shrinkToFit="0" wrapText="0"/>
    </xf>
    <xf borderId="0" fillId="2" fontId="1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1" numFmtId="9" xfId="0" applyAlignment="1" applyFont="1" applyNumberFormat="1">
      <alignment horizontal="center" readingOrder="0" shrinkToFit="0" vertical="bottom" wrapText="0"/>
    </xf>
    <xf borderId="1" fillId="4" fontId="2" numFmtId="3" xfId="0" applyAlignment="1" applyBorder="1" applyFont="1" applyNumberFormat="1">
      <alignment readingOrder="0"/>
    </xf>
    <xf borderId="1" fillId="35" fontId="2" numFmtId="4" xfId="0" applyAlignment="1" applyBorder="1" applyFill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Meta faturamento 20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Faturamento Mês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'Faturamento '!$A$40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'!$B$40:$M$40</c:f>
              <c:numCache/>
            </c:numRef>
          </c:val>
        </c:ser>
        <c:ser>
          <c:idx val="1"/>
          <c:order val="1"/>
          <c:tx>
            <c:strRef>
              <c:f>'Faturamento '!$A$41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'!$B$41:$M$41</c:f>
              <c:numCache/>
            </c:numRef>
          </c:val>
        </c:ser>
        <c:ser>
          <c:idx val="2"/>
          <c:order val="2"/>
          <c:tx>
            <c:strRef>
              <c:f>'Faturamento '!$A$42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'!$B$42:$M$42</c:f>
              <c:numCache/>
            </c:numRef>
          </c:val>
        </c:ser>
        <c:ser>
          <c:idx val="3"/>
          <c:order val="3"/>
          <c:tx>
            <c:strRef>
              <c:f>'Faturamento '!$A$43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'!$B$43:$M$43</c:f>
              <c:numCache/>
            </c:numRef>
          </c:val>
        </c:ser>
        <c:ser>
          <c:idx val="4"/>
          <c:order val="4"/>
          <c:tx>
            <c:strRef>
              <c:f>'Faturamento '!$A$44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'!$B$44:$M$44</c:f>
              <c:numCache/>
            </c:numRef>
          </c:val>
        </c:ser>
        <c:ser>
          <c:idx val="5"/>
          <c:order val="5"/>
          <c:tx>
            <c:strRef>
              <c:f>'Faturamento '!$A$45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'!$B$45:$M$45</c:f>
              <c:numCache/>
            </c:numRef>
          </c:val>
        </c:ser>
        <c:ser>
          <c:idx val="6"/>
          <c:order val="6"/>
          <c:tx>
            <c:strRef>
              <c:f>'Faturamento '!$A$46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'!$B$46:$M$46</c:f>
              <c:numCache/>
            </c:numRef>
          </c:val>
        </c:ser>
        <c:ser>
          <c:idx val="7"/>
          <c:order val="7"/>
          <c:tx>
            <c:strRef>
              <c:f>'Faturamento '!$A$47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'!$B$47:$M$47</c:f>
              <c:numCache/>
            </c:numRef>
          </c:val>
        </c:ser>
        <c:axId val="476186713"/>
        <c:axId val="2009192010"/>
      </c:bar3DChart>
      <c:catAx>
        <c:axId val="476186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192010"/>
      </c:catAx>
      <c:valAx>
        <c:axId val="2009192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186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Faturamento por Loja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'Faturamento '!$A$40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'!$B$40:$M$40</c:f>
              <c:numCache/>
            </c:numRef>
          </c:val>
        </c:ser>
        <c:ser>
          <c:idx val="1"/>
          <c:order val="1"/>
          <c:tx>
            <c:strRef>
              <c:f>'Faturamento '!$A$41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'!$B$41:$M$41</c:f>
              <c:numCache/>
            </c:numRef>
          </c:val>
        </c:ser>
        <c:ser>
          <c:idx val="2"/>
          <c:order val="2"/>
          <c:tx>
            <c:strRef>
              <c:f>'Faturamento '!$A$42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'!$B$42:$M$42</c:f>
              <c:numCache/>
            </c:numRef>
          </c:val>
        </c:ser>
        <c:ser>
          <c:idx val="3"/>
          <c:order val="3"/>
          <c:tx>
            <c:strRef>
              <c:f>'Faturamento '!$A$43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'!$B$43:$M$43</c:f>
              <c:numCache/>
            </c:numRef>
          </c:val>
        </c:ser>
        <c:ser>
          <c:idx val="4"/>
          <c:order val="4"/>
          <c:tx>
            <c:strRef>
              <c:f>'Faturamento '!$A$44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'!$B$44:$M$44</c:f>
              <c:numCache/>
            </c:numRef>
          </c:val>
        </c:ser>
        <c:ser>
          <c:idx val="5"/>
          <c:order val="5"/>
          <c:tx>
            <c:strRef>
              <c:f>'Faturamento '!$A$45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'!$B$45:$M$45</c:f>
              <c:numCache/>
            </c:numRef>
          </c:val>
        </c:ser>
        <c:ser>
          <c:idx val="6"/>
          <c:order val="6"/>
          <c:tx>
            <c:strRef>
              <c:f>'Faturamento '!$A$46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'!$B$46:$M$46</c:f>
              <c:numCache/>
            </c:numRef>
          </c:val>
        </c:ser>
        <c:ser>
          <c:idx val="7"/>
          <c:order val="7"/>
          <c:tx>
            <c:strRef>
              <c:f>'Faturamento '!$A$47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'Faturamento '!$B$39:$M$39</c:f>
            </c:strRef>
          </c:cat>
          <c:val>
            <c:numRef>
              <c:f>'Faturamento '!$B$47:$M$47</c:f>
              <c:numCache/>
            </c:numRef>
          </c:val>
        </c:ser>
        <c:axId val="1948813223"/>
        <c:axId val="1916514347"/>
      </c:bar3DChart>
      <c:catAx>
        <c:axId val="1948813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514347"/>
      </c:catAx>
      <c:valAx>
        <c:axId val="1916514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813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51</xdr:row>
      <xdr:rowOff>0</xdr:rowOff>
    </xdr:from>
    <xdr:ext cx="5610225" cy="3590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51</xdr:row>
      <xdr:rowOff>0</xdr:rowOff>
    </xdr:from>
    <xdr:ext cx="5781675" cy="3590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enrique Distretti" id="{f21c44ee-eba6-4e2b-a5a5-f2bd5813001e}" providerId="google-sheets"/>
</x18tc:personList>
</file>

<file path=xl/tables/table1.xml><?xml version="1.0" encoding="utf-8"?>
<table xmlns="http://schemas.openxmlformats.org/spreadsheetml/2006/main" headerRowCount="0" ref="L93:N100" displayName="Table_1" name="Table_1" id="1">
  <tableColumns count="3">
    <tableColumn name="Column1" id="1"/>
    <tableColumn name="Column2" id="2"/>
    <tableColumn name="Column3" id="3"/>
  </tableColumns>
  <tableStyleInfo name="Meta faturamento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2" dT="2026-01-25T01:14:23.00" personId="{f21c44ee-eba6-4e2b-a5a5-f2bd5813001e}" id="{9b61f05e-2bbb-457a-b7b8-f5d4dd6aa100}" done="0">
    <x18tc:text xml:space="preserve">Início campanha de 10% de desconto</x18tc:text>
  </x18tc:threadedComment>
  <x18tc:threadedComment ref="Y2" dT="2026-01-19T22:36:45.00" personId="{f21c44ee-eba6-4e2b-a5a5-f2bd5813001e}" id="{d1950850-17d5-4816-b174-631a694b4b96}" done="0">
    <x18tc:text xml:space="preserve">36,00 de desconto não lançado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J42" dT="2026-02-26T23:53:55.00" personId="{f21c44ee-eba6-4e2b-a5a5-f2bd5813001e}" id="{feb0594c-dc4b-4577-a1ae-40f6ba96cc9f}" done="0">
    <x18tc:text xml:space="preserve">Não tem essa informação no sistema novo</x18tc:text>
  </x18tc:threadedComment>
  <x18tc:threadedComment ref="J6" dT="2026-02-04T23:48:55.00" personId="{f21c44ee-eba6-4e2b-a5a5-f2bd5813001e}" id="{74f5946d-ff10-4d18-89e6-c2cf8a23d23b}" done="0">
    <x18tc:text xml:space="preserve">Desconto das peças da Igreja, padre não autorizou</x18tc:text>
  </x18tc:threadedComment>
  <x18tc:threadedComment ref="AE42" dT="2026-02-26T23:46:41.00" personId="{f21c44ee-eba6-4e2b-a5a5-f2bd5813001e}" id="{faa51f6b-a06e-4062-853d-e0c2a8565e74}" done="0">
    <x18tc:text xml:space="preserve">Sistema novo</x18tc:text>
  </x18tc:threadedComment>
  <x18tc:threadedComment ref="AE39" dT="2026-02-27T00:09:27.00" personId="{f21c44ee-eba6-4e2b-a5a5-f2bd5813001e}" id="{459b59f9-8c63-47b7-8008-1d22288a17f1}" done="0">
    <x18tc:text xml:space="preserve">Sistema novo</x18tc:text>
  </x18tc:threadedComment>
  <x18tc:threadedComment ref="X8" dT="2026-02-20T00:44:22.00" personId="{f21c44ee-eba6-4e2b-a5a5-f2bd5813001e}" id="{74d88c9e-21c5-419f-997b-9b8cf6f17ca8}" done="0">
    <x18tc:text xml:space="preserve">Plano faltou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2" t="s">
        <v>1</v>
      </c>
      <c r="Y1" s="4" t="s">
        <v>7</v>
      </c>
      <c r="Z1" s="2" t="s">
        <v>3</v>
      </c>
      <c r="AA1" s="2" t="s">
        <v>4</v>
      </c>
      <c r="AB1" s="2" t="s">
        <v>5</v>
      </c>
      <c r="AC1" s="5" t="s">
        <v>6</v>
      </c>
      <c r="AD1" s="2" t="s">
        <v>0</v>
      </c>
      <c r="AE1" s="2" t="s">
        <v>1</v>
      </c>
      <c r="AF1" s="4" t="s">
        <v>7</v>
      </c>
      <c r="AG1" s="2" t="s">
        <v>3</v>
      </c>
      <c r="AH1" s="2" t="s">
        <v>4</v>
      </c>
      <c r="AI1" s="2" t="s">
        <v>5</v>
      </c>
      <c r="AJ1" s="5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/>
      <c r="C2" s="9" t="s">
        <v>10</v>
      </c>
      <c r="D2" s="10"/>
      <c r="E2" s="10"/>
      <c r="F2" s="10"/>
      <c r="G2" s="10"/>
      <c r="H2" s="11"/>
      <c r="I2" s="12">
        <v>45662.0</v>
      </c>
      <c r="J2" s="9" t="s">
        <v>10</v>
      </c>
      <c r="K2" s="13">
        <v>1111.6</v>
      </c>
      <c r="L2" s="10">
        <v>267.7</v>
      </c>
      <c r="M2" s="10">
        <v>843.9</v>
      </c>
      <c r="N2" s="14">
        <v>2401.14</v>
      </c>
      <c r="O2" s="11">
        <v>42.0</v>
      </c>
      <c r="P2" s="12">
        <v>45669.0</v>
      </c>
      <c r="Q2" s="15" t="s">
        <v>10</v>
      </c>
      <c r="R2" s="13">
        <v>907.3</v>
      </c>
      <c r="S2" s="10">
        <v>0.0</v>
      </c>
      <c r="T2" s="10">
        <v>1065.79</v>
      </c>
      <c r="U2" s="16">
        <v>1003.75</v>
      </c>
      <c r="V2" s="11">
        <v>29.0</v>
      </c>
      <c r="W2" s="8">
        <v>45676.0</v>
      </c>
      <c r="X2" s="15" t="s">
        <v>10</v>
      </c>
      <c r="Y2" s="13">
        <f>848.6-36</f>
        <v>812.6</v>
      </c>
      <c r="Z2" s="10">
        <v>0.0</v>
      </c>
      <c r="AA2" s="17">
        <v>1415.35</v>
      </c>
      <c r="AB2" s="16">
        <v>597.0</v>
      </c>
      <c r="AC2" s="11">
        <v>35.0</v>
      </c>
      <c r="AD2" s="8">
        <v>45683.0</v>
      </c>
      <c r="AE2" s="9" t="s">
        <v>10</v>
      </c>
      <c r="AF2" s="13">
        <v>1510.1</v>
      </c>
      <c r="AG2" s="10">
        <v>41.2</v>
      </c>
      <c r="AH2" s="17">
        <v>1594.9</v>
      </c>
      <c r="AI2" s="16">
        <v>1009.2</v>
      </c>
      <c r="AJ2" s="11">
        <v>49.0</v>
      </c>
      <c r="AL2" s="18" t="s">
        <v>11</v>
      </c>
      <c r="AM2" s="9" t="s">
        <v>10</v>
      </c>
      <c r="AN2" s="10">
        <f t="shared" ref="AN2:AP2" si="1">D2+K2+R2+Y2+AF2</f>
        <v>4341.6</v>
      </c>
      <c r="AO2" s="10">
        <f t="shared" si="1"/>
        <v>308.9</v>
      </c>
      <c r="AP2" s="10">
        <f t="shared" si="1"/>
        <v>4919.94</v>
      </c>
      <c r="AQ2" s="11">
        <f t="shared" ref="AQ2:AQ9" si="3">H2+O2+V2+AC2+AJ2</f>
        <v>155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9" t="s">
        <v>12</v>
      </c>
      <c r="K3" s="13">
        <v>1787.0</v>
      </c>
      <c r="L3" s="10">
        <v>267.0</v>
      </c>
      <c r="M3" s="10">
        <v>1770.9</v>
      </c>
      <c r="N3" s="16">
        <v>813.7</v>
      </c>
      <c r="O3" s="11">
        <v>47.0</v>
      </c>
      <c r="P3" s="19"/>
      <c r="Q3" s="9" t="s">
        <v>12</v>
      </c>
      <c r="R3" s="20">
        <v>316.9</v>
      </c>
      <c r="S3" s="10">
        <v>184.0</v>
      </c>
      <c r="T3" s="10">
        <v>132.9</v>
      </c>
      <c r="U3" s="21">
        <v>1423.6</v>
      </c>
      <c r="V3" s="11">
        <v>23.0</v>
      </c>
      <c r="W3" s="19"/>
      <c r="X3" s="9" t="s">
        <v>12</v>
      </c>
      <c r="Y3" s="13">
        <v>841.0</v>
      </c>
      <c r="Z3" s="10">
        <v>18.0</v>
      </c>
      <c r="AA3" s="10">
        <v>823.0</v>
      </c>
      <c r="AB3" s="14">
        <v>1401.5</v>
      </c>
      <c r="AC3" s="11">
        <v>46.0</v>
      </c>
      <c r="AD3" s="19"/>
      <c r="AE3" s="9" t="s">
        <v>12</v>
      </c>
      <c r="AF3" s="13">
        <v>1543.8</v>
      </c>
      <c r="AG3" s="21">
        <v>1127.8</v>
      </c>
      <c r="AH3" s="10">
        <v>470.9</v>
      </c>
      <c r="AI3" s="14">
        <v>2626.4</v>
      </c>
      <c r="AJ3" s="22">
        <v>73.0</v>
      </c>
      <c r="AL3" s="19"/>
      <c r="AM3" s="9" t="s">
        <v>12</v>
      </c>
      <c r="AN3" s="10">
        <f t="shared" ref="AN3:AP3" si="2">D3+K3+R3+Y3+AF3</f>
        <v>4488.7</v>
      </c>
      <c r="AO3" s="10">
        <f t="shared" si="2"/>
        <v>1596.8</v>
      </c>
      <c r="AP3" s="10">
        <f t="shared" si="2"/>
        <v>3197.7</v>
      </c>
      <c r="AQ3" s="11">
        <f t="shared" si="3"/>
        <v>189</v>
      </c>
    </row>
    <row r="4">
      <c r="B4" s="19"/>
      <c r="C4" s="9" t="s">
        <v>13</v>
      </c>
      <c r="D4" s="10"/>
      <c r="E4" s="10"/>
      <c r="F4" s="10"/>
      <c r="G4" s="10"/>
      <c r="H4" s="11"/>
      <c r="I4" s="19"/>
      <c r="J4" s="9" t="s">
        <v>13</v>
      </c>
      <c r="K4" s="10"/>
      <c r="L4" s="10"/>
      <c r="M4" s="10"/>
      <c r="N4" s="10"/>
      <c r="O4" s="11"/>
      <c r="P4" s="19"/>
      <c r="Q4" s="9" t="s">
        <v>14</v>
      </c>
      <c r="R4" s="10"/>
      <c r="S4" s="10"/>
      <c r="T4" s="10"/>
      <c r="U4" s="10"/>
      <c r="V4" s="11"/>
      <c r="W4" s="19"/>
      <c r="X4" s="9" t="s">
        <v>14</v>
      </c>
      <c r="Y4" s="10"/>
      <c r="Z4" s="10"/>
      <c r="AA4" s="10"/>
      <c r="AB4" s="10"/>
      <c r="AC4" s="11"/>
      <c r="AD4" s="19"/>
      <c r="AE4" s="9" t="s">
        <v>14</v>
      </c>
      <c r="AF4" s="10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10"/>
      <c r="H5" s="11"/>
      <c r="I5" s="19"/>
      <c r="J5" s="9" t="s">
        <v>16</v>
      </c>
      <c r="K5" s="23">
        <v>2497.0</v>
      </c>
      <c r="L5" s="10">
        <v>172.0</v>
      </c>
      <c r="M5" s="17">
        <v>2949.9</v>
      </c>
      <c r="N5" s="24">
        <v>6258.53</v>
      </c>
      <c r="O5" s="22">
        <v>83.0</v>
      </c>
      <c r="P5" s="19"/>
      <c r="Q5" s="9" t="s">
        <v>16</v>
      </c>
      <c r="R5" s="23">
        <v>3286.61</v>
      </c>
      <c r="S5" s="21">
        <v>1090.4</v>
      </c>
      <c r="T5" s="10">
        <v>2196.21</v>
      </c>
      <c r="U5" s="24">
        <v>6092.57</v>
      </c>
      <c r="V5" s="25">
        <v>93.0</v>
      </c>
      <c r="W5" s="19"/>
      <c r="X5" s="9" t="s">
        <v>16</v>
      </c>
      <c r="Y5" s="13">
        <v>2219.52</v>
      </c>
      <c r="Z5" s="21">
        <v>435.11</v>
      </c>
      <c r="AA5" s="10">
        <v>2059.41</v>
      </c>
      <c r="AB5" s="24">
        <v>5791.48</v>
      </c>
      <c r="AC5" s="25">
        <v>93.0</v>
      </c>
      <c r="AD5" s="19"/>
      <c r="AE5" s="9" t="s">
        <v>16</v>
      </c>
      <c r="AF5" s="13">
        <v>3496.62</v>
      </c>
      <c r="AG5" s="21">
        <v>343.95</v>
      </c>
      <c r="AH5" s="10">
        <v>3420.67</v>
      </c>
      <c r="AI5" s="24">
        <v>6553.03</v>
      </c>
      <c r="AJ5" s="22">
        <v>119.0</v>
      </c>
      <c r="AL5" s="19"/>
      <c r="AM5" s="9" t="s">
        <v>16</v>
      </c>
      <c r="AN5" s="10">
        <f t="shared" ref="AN5:AP5" si="5">D5+K5+R5+Y5+AF5</f>
        <v>11499.75</v>
      </c>
      <c r="AO5" s="10">
        <f t="shared" si="5"/>
        <v>2041.46</v>
      </c>
      <c r="AP5" s="10">
        <f t="shared" si="5"/>
        <v>10626.19</v>
      </c>
      <c r="AQ5" s="11">
        <f t="shared" si="3"/>
        <v>388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23">
        <v>2004.9</v>
      </c>
      <c r="L6" s="10">
        <v>0.0</v>
      </c>
      <c r="M6" s="17">
        <v>2004.9</v>
      </c>
      <c r="N6" s="21">
        <v>1295.9</v>
      </c>
      <c r="O6" s="22">
        <v>79.0</v>
      </c>
      <c r="P6" s="19"/>
      <c r="Q6" s="15" t="s">
        <v>17</v>
      </c>
      <c r="R6" s="13">
        <v>930.0</v>
      </c>
      <c r="S6" s="10">
        <v>0.0</v>
      </c>
      <c r="T6" s="17">
        <v>970.0</v>
      </c>
      <c r="U6" s="16">
        <v>1044.9</v>
      </c>
      <c r="V6" s="11">
        <v>27.0</v>
      </c>
      <c r="W6" s="19"/>
      <c r="X6" s="9" t="s">
        <v>17</v>
      </c>
      <c r="Y6" s="13">
        <v>1937.6</v>
      </c>
      <c r="Z6" s="10">
        <v>0.0</v>
      </c>
      <c r="AA6" s="17">
        <v>1937.6</v>
      </c>
      <c r="AB6" s="14">
        <v>1389.35</v>
      </c>
      <c r="AC6" s="11">
        <v>62.0</v>
      </c>
      <c r="AD6" s="19"/>
      <c r="AE6" s="9" t="s">
        <v>17</v>
      </c>
      <c r="AF6" s="13">
        <v>1482.7</v>
      </c>
      <c r="AG6" s="10">
        <v>0.0</v>
      </c>
      <c r="AH6" s="17">
        <v>1482.7</v>
      </c>
      <c r="AI6" s="21">
        <v>1674.35</v>
      </c>
      <c r="AJ6" s="11">
        <v>53.0</v>
      </c>
      <c r="AL6" s="19"/>
      <c r="AM6" s="9" t="s">
        <v>17</v>
      </c>
      <c r="AN6" s="10">
        <f t="shared" ref="AN6:AP6" si="6">D6+K6+R6+Y6+AF6</f>
        <v>6355.2</v>
      </c>
      <c r="AO6" s="10">
        <f t="shared" si="6"/>
        <v>0</v>
      </c>
      <c r="AP6" s="10">
        <f t="shared" si="6"/>
        <v>6395.2</v>
      </c>
      <c r="AQ6" s="11">
        <f t="shared" si="3"/>
        <v>221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9" t="s">
        <v>18</v>
      </c>
      <c r="K7" s="10">
        <v>0.0</v>
      </c>
      <c r="L7" s="10">
        <v>0.0</v>
      </c>
      <c r="M7" s="10">
        <v>0.0</v>
      </c>
      <c r="N7" s="10">
        <v>584.7</v>
      </c>
      <c r="O7" s="11">
        <v>11.0</v>
      </c>
      <c r="P7" s="19"/>
      <c r="Q7" s="9" t="s">
        <v>18</v>
      </c>
      <c r="R7" s="10"/>
      <c r="S7" s="10"/>
      <c r="T7" s="10"/>
      <c r="U7" s="10">
        <v>384.7</v>
      </c>
      <c r="V7" s="11"/>
      <c r="W7" s="19"/>
      <c r="X7" s="9" t="s">
        <v>18</v>
      </c>
      <c r="Y7" s="10"/>
      <c r="Z7" s="10"/>
      <c r="AA7" s="10"/>
      <c r="AB7" s="10">
        <v>384.7</v>
      </c>
      <c r="AC7" s="11"/>
      <c r="AD7" s="19"/>
      <c r="AE7" s="9" t="s">
        <v>18</v>
      </c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11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9" t="s">
        <v>20</v>
      </c>
      <c r="K8" s="13">
        <v>729.6</v>
      </c>
      <c r="L8" s="10">
        <v>255.8</v>
      </c>
      <c r="M8" s="10">
        <v>473.8</v>
      </c>
      <c r="N8" s="14">
        <v>2380.24</v>
      </c>
      <c r="O8" s="11">
        <v>30.0</v>
      </c>
      <c r="P8" s="19"/>
      <c r="Q8" s="9" t="s">
        <v>19</v>
      </c>
      <c r="R8" s="23">
        <v>2305.0</v>
      </c>
      <c r="S8" s="21">
        <v>490.0</v>
      </c>
      <c r="T8" s="10">
        <v>1865.0</v>
      </c>
      <c r="U8" s="14">
        <v>2737.34</v>
      </c>
      <c r="V8" s="11">
        <v>74.0</v>
      </c>
      <c r="W8" s="19"/>
      <c r="X8" s="15" t="s">
        <v>19</v>
      </c>
      <c r="Y8" s="13">
        <v>1278.9</v>
      </c>
      <c r="Z8" s="10">
        <v>233.9</v>
      </c>
      <c r="AA8" s="17">
        <v>1409.0</v>
      </c>
      <c r="AB8" s="14">
        <v>2516.74</v>
      </c>
      <c r="AC8" s="11">
        <v>49.0</v>
      </c>
      <c r="AD8" s="19"/>
      <c r="AE8" s="9" t="s">
        <v>19</v>
      </c>
      <c r="AF8" s="13">
        <v>1279.8</v>
      </c>
      <c r="AG8" s="21">
        <v>462.8</v>
      </c>
      <c r="AH8" s="10">
        <v>1262.9</v>
      </c>
      <c r="AI8" s="14">
        <v>2665.59</v>
      </c>
      <c r="AJ8" s="22">
        <v>91.0</v>
      </c>
      <c r="AL8" s="19"/>
      <c r="AM8" s="9" t="s">
        <v>19</v>
      </c>
      <c r="AN8" s="10">
        <f t="shared" ref="AN8:AP8" si="8">D8+K8+R8+Y8+AF8</f>
        <v>5593.3</v>
      </c>
      <c r="AO8" s="10">
        <f t="shared" si="8"/>
        <v>1442.5</v>
      </c>
      <c r="AP8" s="10">
        <f t="shared" si="8"/>
        <v>5010.7</v>
      </c>
      <c r="AQ8" s="11">
        <f t="shared" si="3"/>
        <v>244</v>
      </c>
    </row>
    <row r="9">
      <c r="B9" s="19"/>
      <c r="C9" s="26" t="s">
        <v>21</v>
      </c>
      <c r="D9" s="10"/>
      <c r="E9" s="10"/>
      <c r="F9" s="10"/>
      <c r="G9" s="10"/>
      <c r="H9" s="11"/>
      <c r="I9" s="19"/>
      <c r="J9" s="27" t="s">
        <v>22</v>
      </c>
      <c r="K9" s="23">
        <v>2932.95</v>
      </c>
      <c r="L9" s="21">
        <v>365.9</v>
      </c>
      <c r="M9" s="17">
        <v>3138.85</v>
      </c>
      <c r="N9" s="24">
        <v>5895.06</v>
      </c>
      <c r="O9" s="22">
        <v>121.0</v>
      </c>
      <c r="P9" s="19"/>
      <c r="Q9" s="26" t="s">
        <v>21</v>
      </c>
      <c r="R9" s="23">
        <v>3576.8</v>
      </c>
      <c r="S9" s="21">
        <v>371.7</v>
      </c>
      <c r="T9" s="10">
        <v>3037.7</v>
      </c>
      <c r="U9" s="24">
        <v>6519.73</v>
      </c>
      <c r="V9" s="22">
        <v>125.0</v>
      </c>
      <c r="W9" s="19"/>
      <c r="X9" s="27" t="s">
        <v>22</v>
      </c>
      <c r="Y9" s="13">
        <v>4230.57</v>
      </c>
      <c r="Z9" s="21">
        <v>529.0</v>
      </c>
      <c r="AA9" s="17">
        <v>4981.47</v>
      </c>
      <c r="AB9" s="24">
        <v>6080.83</v>
      </c>
      <c r="AC9" s="22">
        <v>116.0</v>
      </c>
      <c r="AD9" s="19"/>
      <c r="AE9" s="26" t="s">
        <v>21</v>
      </c>
      <c r="AF9" s="13">
        <v>3715.88</v>
      </c>
      <c r="AG9" s="21">
        <v>322.28</v>
      </c>
      <c r="AH9" s="10">
        <v>3634.4</v>
      </c>
      <c r="AI9" s="24">
        <v>6189.11</v>
      </c>
      <c r="AJ9" s="22">
        <v>141.0</v>
      </c>
      <c r="AL9" s="19"/>
      <c r="AM9" s="26" t="s">
        <v>21</v>
      </c>
      <c r="AN9" s="10">
        <f t="shared" ref="AN9:AP9" si="9">D9+K9+R9+Y9+AF9</f>
        <v>14456.2</v>
      </c>
      <c r="AO9" s="10">
        <f t="shared" si="9"/>
        <v>1588.88</v>
      </c>
      <c r="AP9" s="10">
        <f t="shared" si="9"/>
        <v>14792.42</v>
      </c>
      <c r="AQ9" s="11">
        <f t="shared" si="3"/>
        <v>503</v>
      </c>
    </row>
    <row r="10">
      <c r="B10" s="19"/>
      <c r="C10" s="28" t="s">
        <v>23</v>
      </c>
      <c r="D10" s="29">
        <f t="shared" ref="D10:H10" si="10">D2+D3+D4+D5+D6+D7+D8+D9</f>
        <v>0</v>
      </c>
      <c r="E10" s="30">
        <f t="shared" si="10"/>
        <v>0</v>
      </c>
      <c r="F10" s="31">
        <f t="shared" si="10"/>
        <v>0</v>
      </c>
      <c r="G10" s="32">
        <f t="shared" si="10"/>
        <v>0</v>
      </c>
      <c r="H10" s="33">
        <f t="shared" si="10"/>
        <v>0</v>
      </c>
      <c r="I10" s="19"/>
      <c r="J10" s="28" t="s">
        <v>23</v>
      </c>
      <c r="K10" s="34">
        <f t="shared" ref="K10:O10" si="11">K2+K3+K4+K5+K6+K7+K8+K9</f>
        <v>11063.05</v>
      </c>
      <c r="L10" s="35">
        <f t="shared" si="11"/>
        <v>1328.4</v>
      </c>
      <c r="M10" s="36">
        <f t="shared" si="11"/>
        <v>11182.25</v>
      </c>
      <c r="N10" s="37">
        <f t="shared" si="11"/>
        <v>19629.27</v>
      </c>
      <c r="O10" s="38">
        <f t="shared" si="11"/>
        <v>413</v>
      </c>
      <c r="P10" s="19"/>
      <c r="Q10" s="28" t="s">
        <v>23</v>
      </c>
      <c r="R10" s="34">
        <f t="shared" ref="R10:V10" si="12">R2+R3+R4+R5+R6+R7+R8+R9</f>
        <v>11322.61</v>
      </c>
      <c r="S10" s="35">
        <f t="shared" si="12"/>
        <v>2136.1</v>
      </c>
      <c r="T10" s="39">
        <f t="shared" si="12"/>
        <v>9267.6</v>
      </c>
      <c r="U10" s="37">
        <f t="shared" si="12"/>
        <v>19206.59</v>
      </c>
      <c r="V10" s="33">
        <f t="shared" si="12"/>
        <v>371</v>
      </c>
      <c r="W10" s="19"/>
      <c r="X10" s="28" t="s">
        <v>23</v>
      </c>
      <c r="Y10" s="34">
        <f t="shared" ref="Y10:AC10" si="13">Y2+Y3+Y4+Y5+Y6+Y7+Y8+Y9</f>
        <v>11320.19</v>
      </c>
      <c r="Z10" s="35">
        <f t="shared" si="13"/>
        <v>1216.01</v>
      </c>
      <c r="AA10" s="39">
        <f t="shared" si="13"/>
        <v>12625.83</v>
      </c>
      <c r="AB10" s="37">
        <f t="shared" si="13"/>
        <v>18161.6</v>
      </c>
      <c r="AC10" s="33">
        <f t="shared" si="13"/>
        <v>401</v>
      </c>
      <c r="AD10" s="19"/>
      <c r="AE10" s="28" t="s">
        <v>23</v>
      </c>
      <c r="AF10" s="34">
        <f t="shared" ref="AF10:AJ10" si="14">AF2+AF3+AF4+AF5+AF6+AF7+AF8+AF9</f>
        <v>13028.9</v>
      </c>
      <c r="AG10" s="40">
        <f t="shared" si="14"/>
        <v>2298.03</v>
      </c>
      <c r="AH10" s="36">
        <f t="shared" si="14"/>
        <v>11866.47</v>
      </c>
      <c r="AI10" s="37">
        <f t="shared" si="14"/>
        <v>20717.68</v>
      </c>
      <c r="AJ10" s="38">
        <f t="shared" si="14"/>
        <v>526</v>
      </c>
      <c r="AL10" s="19"/>
      <c r="AM10" s="28" t="s">
        <v>23</v>
      </c>
      <c r="AN10" s="41">
        <f t="shared" ref="AN10:AQ10" si="15">AN2+AN3+AN4+AN5+AN6+AN7+AN8+AN9</f>
        <v>46734.75</v>
      </c>
      <c r="AO10" s="42">
        <f t="shared" si="15"/>
        <v>6978.54</v>
      </c>
      <c r="AP10" s="43">
        <f t="shared" si="15"/>
        <v>44942.15</v>
      </c>
      <c r="AQ10" s="44">
        <f t="shared" si="15"/>
        <v>1711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9734.65</v>
      </c>
      <c r="L11" s="47"/>
      <c r="M11" s="48"/>
      <c r="N11" s="51"/>
      <c r="O11" s="52"/>
      <c r="P11" s="19"/>
      <c r="Q11" s="45" t="s">
        <v>24</v>
      </c>
      <c r="R11" s="50">
        <f>R10-S10</f>
        <v>9186.51</v>
      </c>
      <c r="S11" s="47"/>
      <c r="T11" s="48"/>
      <c r="U11" s="51"/>
      <c r="V11" s="52"/>
      <c r="W11" s="19"/>
      <c r="X11" s="45" t="s">
        <v>24</v>
      </c>
      <c r="Y11" s="50">
        <f>Y10-Z10</f>
        <v>10104.18</v>
      </c>
      <c r="Z11" s="47"/>
      <c r="AA11" s="48"/>
      <c r="AB11" s="51"/>
      <c r="AC11" s="52"/>
      <c r="AD11" s="19"/>
      <c r="AE11" s="45" t="s">
        <v>24</v>
      </c>
      <c r="AF11" s="50">
        <f>AF10-AG10</f>
        <v>10730.87</v>
      </c>
      <c r="AG11" s="47"/>
      <c r="AH11" s="48"/>
      <c r="AI11" s="51"/>
      <c r="AJ11" s="52"/>
      <c r="AL11" s="53"/>
      <c r="AM11" s="45" t="s">
        <v>25</v>
      </c>
      <c r="AN11" s="50">
        <f>AN10-AO10</f>
        <v>39756.21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9853.85</v>
      </c>
      <c r="L12" s="47"/>
      <c r="M12" s="48"/>
      <c r="N12" s="51"/>
      <c r="O12" s="52"/>
      <c r="P12" s="53"/>
      <c r="Q12" s="56" t="s">
        <v>26</v>
      </c>
      <c r="R12" s="57">
        <f>T10-S10</f>
        <v>7131.5</v>
      </c>
      <c r="S12" s="47"/>
      <c r="T12" s="48"/>
      <c r="U12" s="51"/>
      <c r="V12" s="52"/>
      <c r="W12" s="53"/>
      <c r="X12" s="56" t="s">
        <v>26</v>
      </c>
      <c r="Y12" s="57">
        <f>AA10-Z10</f>
        <v>11409.82</v>
      </c>
      <c r="Z12" s="47"/>
      <c r="AA12" s="48"/>
      <c r="AB12" s="51"/>
      <c r="AC12" s="52"/>
      <c r="AD12" s="53"/>
      <c r="AE12" s="56" t="s">
        <v>26</v>
      </c>
      <c r="AF12" s="57">
        <f>AH10-AG10</f>
        <v>9568.44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2" t="s">
        <v>1</v>
      </c>
      <c r="Y13" s="4" t="s">
        <v>7</v>
      </c>
      <c r="Z13" s="2" t="s">
        <v>3</v>
      </c>
      <c r="AA13" s="2" t="s">
        <v>4</v>
      </c>
      <c r="AB13" s="2" t="s">
        <v>5</v>
      </c>
      <c r="AC13" s="5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/>
      <c r="C14" s="9" t="s">
        <v>10</v>
      </c>
      <c r="D14" s="10"/>
      <c r="E14" s="10"/>
      <c r="F14" s="10"/>
      <c r="G14" s="10"/>
      <c r="H14" s="11"/>
      <c r="I14" s="12">
        <v>45663.0</v>
      </c>
      <c r="J14" s="9" t="s">
        <v>10</v>
      </c>
      <c r="K14" s="20">
        <v>284.0</v>
      </c>
      <c r="L14" s="10">
        <v>0.0</v>
      </c>
      <c r="M14" s="10">
        <v>287.0</v>
      </c>
      <c r="N14" s="14">
        <v>2401.14</v>
      </c>
      <c r="O14" s="11">
        <v>16.0</v>
      </c>
      <c r="P14" s="8">
        <v>45670.0</v>
      </c>
      <c r="Q14" s="9" t="s">
        <v>10</v>
      </c>
      <c r="R14" s="20">
        <v>38.2</v>
      </c>
      <c r="S14" s="10">
        <v>0.0</v>
      </c>
      <c r="T14" s="10">
        <v>38.28</v>
      </c>
      <c r="U14" s="10">
        <v>1003.75</v>
      </c>
      <c r="V14" s="11">
        <v>6.0</v>
      </c>
      <c r="W14" s="8">
        <v>45677.0</v>
      </c>
      <c r="X14" s="9" t="s">
        <v>10</v>
      </c>
      <c r="Y14" s="13">
        <v>807.8</v>
      </c>
      <c r="Z14" s="10">
        <v>140.0</v>
      </c>
      <c r="AA14" s="10">
        <v>667.8</v>
      </c>
      <c r="AB14" s="16">
        <v>737.0</v>
      </c>
      <c r="AC14" s="11">
        <v>29.0</v>
      </c>
      <c r="AD14" s="8">
        <v>45684.0</v>
      </c>
      <c r="AE14" s="9" t="s">
        <v>10</v>
      </c>
      <c r="AF14" s="13">
        <v>693.5</v>
      </c>
      <c r="AG14" s="10">
        <v>163.0</v>
      </c>
      <c r="AH14" s="10">
        <v>637.7</v>
      </c>
      <c r="AI14" s="21">
        <v>1065.0</v>
      </c>
      <c r="AJ14" s="11">
        <v>37.0</v>
      </c>
      <c r="AL14" s="18" t="s">
        <v>28</v>
      </c>
      <c r="AM14" s="9" t="s">
        <v>10</v>
      </c>
      <c r="AN14" s="10">
        <f t="shared" ref="AN14:AP14" si="16">D14+K14+R14+Y14+AF14</f>
        <v>1823.5</v>
      </c>
      <c r="AO14" s="10">
        <f t="shared" si="16"/>
        <v>303</v>
      </c>
      <c r="AP14" s="10">
        <f t="shared" si="16"/>
        <v>1630.78</v>
      </c>
      <c r="AQ14" s="11">
        <f t="shared" ref="AQ14:AQ21" si="18">H14+O14+V14+AC14+AJ14</f>
        <v>88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9" t="s">
        <v>12</v>
      </c>
      <c r="K15" s="20">
        <v>199.0</v>
      </c>
      <c r="L15" s="10">
        <v>0.0</v>
      </c>
      <c r="M15" s="10">
        <v>199.0</v>
      </c>
      <c r="N15" s="16">
        <v>813.7</v>
      </c>
      <c r="O15" s="11">
        <v>7.0</v>
      </c>
      <c r="P15" s="19"/>
      <c r="Q15" s="9" t="s">
        <v>12</v>
      </c>
      <c r="R15" s="20">
        <v>179.8</v>
      </c>
      <c r="S15" s="10">
        <v>139.8</v>
      </c>
      <c r="T15" s="10">
        <v>156.9</v>
      </c>
      <c r="U15" s="10">
        <v>1446.5</v>
      </c>
      <c r="V15" s="11">
        <v>4.0</v>
      </c>
      <c r="W15" s="19"/>
      <c r="X15" s="9" t="s">
        <v>12</v>
      </c>
      <c r="Y15" s="10">
        <v>420.0</v>
      </c>
      <c r="Z15" s="10">
        <v>96.0</v>
      </c>
      <c r="AA15" s="10">
        <v>324.0</v>
      </c>
      <c r="AB15" s="21">
        <v>1497.5</v>
      </c>
      <c r="AC15" s="11">
        <v>17.0</v>
      </c>
      <c r="AD15" s="19"/>
      <c r="AE15" s="15" t="s">
        <v>12</v>
      </c>
      <c r="AF15" s="10">
        <v>568.0</v>
      </c>
      <c r="AG15" s="10">
        <v>68.0</v>
      </c>
      <c r="AH15" s="17">
        <v>1086.9</v>
      </c>
      <c r="AI15" s="14">
        <v>2107.5</v>
      </c>
      <c r="AJ15" s="11">
        <v>10.0</v>
      </c>
      <c r="AL15" s="19"/>
      <c r="AM15" s="9" t="s">
        <v>12</v>
      </c>
      <c r="AN15" s="10">
        <f t="shared" ref="AN15:AP15" si="17">D15+K15+R15+Y15+AF15</f>
        <v>1366.8</v>
      </c>
      <c r="AO15" s="10">
        <f t="shared" si="17"/>
        <v>303.8</v>
      </c>
      <c r="AP15" s="10">
        <f t="shared" si="17"/>
        <v>1766.8</v>
      </c>
      <c r="AQ15" s="11">
        <f t="shared" si="18"/>
        <v>38</v>
      </c>
    </row>
    <row r="16">
      <c r="A16" s="19"/>
      <c r="B16" s="19"/>
      <c r="C16" s="9" t="s">
        <v>13</v>
      </c>
      <c r="D16" s="10"/>
      <c r="E16" s="10"/>
      <c r="F16" s="10"/>
      <c r="G16" s="10"/>
      <c r="H16" s="11"/>
      <c r="I16" s="19"/>
      <c r="J16" s="9" t="s">
        <v>13</v>
      </c>
      <c r="K16" s="10"/>
      <c r="L16" s="10"/>
      <c r="M16" s="10"/>
      <c r="N16" s="10"/>
      <c r="O16" s="11"/>
      <c r="P16" s="19"/>
      <c r="Q16" s="9" t="s">
        <v>14</v>
      </c>
      <c r="R16" s="10"/>
      <c r="S16" s="10"/>
      <c r="T16" s="10"/>
      <c r="U16" s="10"/>
      <c r="V16" s="11"/>
      <c r="W16" s="19"/>
      <c r="X16" s="9" t="s">
        <v>14</v>
      </c>
      <c r="Y16" s="10"/>
      <c r="Z16" s="10"/>
      <c r="AA16" s="10"/>
      <c r="AB16" s="10"/>
      <c r="AC16" s="11"/>
      <c r="AD16" s="19"/>
      <c r="AE16" s="9" t="s">
        <v>14</v>
      </c>
      <c r="AF16" s="10"/>
      <c r="AG16" s="10"/>
      <c r="AH16" s="10"/>
      <c r="AI16" s="10"/>
      <c r="AJ16" s="11"/>
      <c r="AL16" s="19"/>
      <c r="AM16" s="9" t="s">
        <v>14</v>
      </c>
      <c r="AN16" s="10">
        <f t="shared" ref="AN16:AP16" si="19">D16+K16+R16+Y16+AF16</f>
        <v>0</v>
      </c>
      <c r="AO16" s="10">
        <f t="shared" si="19"/>
        <v>0</v>
      </c>
      <c r="AP16" s="10">
        <f t="shared" si="19"/>
        <v>0</v>
      </c>
      <c r="AQ16" s="11">
        <f t="shared" si="18"/>
        <v>0</v>
      </c>
    </row>
    <row r="17">
      <c r="A17" s="19"/>
      <c r="B17" s="19"/>
      <c r="C17" s="9" t="s">
        <v>16</v>
      </c>
      <c r="D17" s="10"/>
      <c r="E17" s="10"/>
      <c r="F17" s="10"/>
      <c r="G17" s="10"/>
      <c r="H17" s="11"/>
      <c r="I17" s="19"/>
      <c r="J17" s="9" t="s">
        <v>16</v>
      </c>
      <c r="K17" s="20">
        <v>1066.9</v>
      </c>
      <c r="L17" s="10">
        <v>132.9</v>
      </c>
      <c r="M17" s="10">
        <v>934.0</v>
      </c>
      <c r="N17" s="24">
        <v>6391.43</v>
      </c>
      <c r="O17" s="11">
        <v>31.0</v>
      </c>
      <c r="P17" s="19"/>
      <c r="Q17" s="9" t="s">
        <v>15</v>
      </c>
      <c r="R17" s="13">
        <v>1717.0</v>
      </c>
      <c r="S17" s="10">
        <v>165.6</v>
      </c>
      <c r="T17" s="10">
        <v>1817.4</v>
      </c>
      <c r="U17" s="10">
        <v>5992.17</v>
      </c>
      <c r="V17" s="11">
        <v>74.0</v>
      </c>
      <c r="W17" s="19"/>
      <c r="X17" s="9" t="s">
        <v>16</v>
      </c>
      <c r="Y17" s="13">
        <v>2471.7</v>
      </c>
      <c r="Z17" s="21">
        <v>512.9</v>
      </c>
      <c r="AA17" s="10">
        <v>2164.8</v>
      </c>
      <c r="AB17" s="24">
        <v>6098.38</v>
      </c>
      <c r="AC17" s="11">
        <v>59.0</v>
      </c>
      <c r="AD17" s="19"/>
      <c r="AE17" s="9" t="s">
        <v>16</v>
      </c>
      <c r="AF17" s="20">
        <v>711.9</v>
      </c>
      <c r="AG17" s="10">
        <v>94.0</v>
      </c>
      <c r="AH17" s="17">
        <v>787.9</v>
      </c>
      <c r="AI17" s="24">
        <v>6477.03</v>
      </c>
      <c r="AJ17" s="11">
        <v>36.0</v>
      </c>
      <c r="AL17" s="19"/>
      <c r="AM17" s="9" t="s">
        <v>16</v>
      </c>
      <c r="AN17" s="10">
        <f t="shared" ref="AN17:AP17" si="20">D17+K17+R17+Y17+AF17</f>
        <v>5967.5</v>
      </c>
      <c r="AO17" s="10">
        <f t="shared" si="20"/>
        <v>905.4</v>
      </c>
      <c r="AP17" s="10">
        <f t="shared" si="20"/>
        <v>5704.1</v>
      </c>
      <c r="AQ17" s="11">
        <f t="shared" si="18"/>
        <v>200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9" t="s">
        <v>17</v>
      </c>
      <c r="K18" s="13">
        <v>1144.0</v>
      </c>
      <c r="L18" s="10">
        <v>40.0</v>
      </c>
      <c r="M18" s="10">
        <v>1204.0</v>
      </c>
      <c r="N18" s="21">
        <v>1235.9</v>
      </c>
      <c r="O18" s="11">
        <v>65.0</v>
      </c>
      <c r="P18" s="19"/>
      <c r="Q18" s="9" t="s">
        <v>17</v>
      </c>
      <c r="R18" s="13">
        <v>2122.25</v>
      </c>
      <c r="S18" s="21">
        <v>662.35</v>
      </c>
      <c r="T18" s="10">
        <v>1459.9</v>
      </c>
      <c r="U18" s="10">
        <v>1707.25</v>
      </c>
      <c r="V18" s="11">
        <v>99.0</v>
      </c>
      <c r="W18" s="19"/>
      <c r="X18" s="9" t="s">
        <v>17</v>
      </c>
      <c r="Y18" s="13">
        <v>1070.0</v>
      </c>
      <c r="Z18" s="10">
        <v>132.0</v>
      </c>
      <c r="AA18" s="10">
        <v>982.0</v>
      </c>
      <c r="AB18" s="21">
        <v>1477.35</v>
      </c>
      <c r="AC18" s="11">
        <v>52.0</v>
      </c>
      <c r="AD18" s="19"/>
      <c r="AE18" s="9" t="s">
        <v>17</v>
      </c>
      <c r="AF18" s="13">
        <v>755.8</v>
      </c>
      <c r="AG18" s="10">
        <v>0.0</v>
      </c>
      <c r="AH18" s="17">
        <v>755.8</v>
      </c>
      <c r="AI18" s="21">
        <v>1674.35</v>
      </c>
      <c r="AJ18" s="11">
        <v>30.0</v>
      </c>
      <c r="AL18" s="19"/>
      <c r="AM18" s="9" t="s">
        <v>17</v>
      </c>
      <c r="AN18" s="10">
        <f t="shared" ref="AN18:AP18" si="21">D18+K18+R18+Y18+AF18</f>
        <v>5092.05</v>
      </c>
      <c r="AO18" s="10">
        <f t="shared" si="21"/>
        <v>834.35</v>
      </c>
      <c r="AP18" s="10">
        <f t="shared" si="21"/>
        <v>4401.7</v>
      </c>
      <c r="AQ18" s="11">
        <f t="shared" si="18"/>
        <v>246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9" t="s">
        <v>18</v>
      </c>
      <c r="K19" s="10">
        <v>0.0</v>
      </c>
      <c r="L19" s="10">
        <v>0.0</v>
      </c>
      <c r="M19" s="10">
        <v>0.0</v>
      </c>
      <c r="N19" s="10">
        <v>584.7</v>
      </c>
      <c r="O19" s="11">
        <v>0.0</v>
      </c>
      <c r="P19" s="19"/>
      <c r="Q19" s="9" t="s">
        <v>29</v>
      </c>
      <c r="R19" s="10"/>
      <c r="S19" s="10"/>
      <c r="T19" s="10"/>
      <c r="U19" s="10">
        <v>384.7</v>
      </c>
      <c r="V19" s="11"/>
      <c r="W19" s="19"/>
      <c r="X19" s="9" t="s">
        <v>18</v>
      </c>
      <c r="Y19" s="10"/>
      <c r="Z19" s="10"/>
      <c r="AA19" s="10"/>
      <c r="AB19" s="10"/>
      <c r="AC19" s="11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2">D19+K19+R19+Y19+AF19</f>
        <v>0</v>
      </c>
      <c r="AO19" s="10">
        <f t="shared" si="22"/>
        <v>0</v>
      </c>
      <c r="AP19" s="10">
        <f t="shared" si="22"/>
        <v>0</v>
      </c>
      <c r="AQ19" s="11">
        <f t="shared" si="18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3">
        <v>742.9</v>
      </c>
      <c r="L20" s="10">
        <v>397.0</v>
      </c>
      <c r="M20" s="10">
        <v>387.9</v>
      </c>
      <c r="N20" s="14">
        <v>2735.24</v>
      </c>
      <c r="O20" s="11">
        <v>41.0</v>
      </c>
      <c r="P20" s="19"/>
      <c r="Q20" s="9" t="s">
        <v>19</v>
      </c>
      <c r="R20" s="13">
        <v>708.0</v>
      </c>
      <c r="S20" s="10">
        <v>32.0</v>
      </c>
      <c r="T20" s="10">
        <v>980.0</v>
      </c>
      <c r="U20" s="10">
        <v>2465.34</v>
      </c>
      <c r="V20" s="11">
        <v>29.0</v>
      </c>
      <c r="W20" s="19"/>
      <c r="X20" s="9" t="s">
        <v>19</v>
      </c>
      <c r="Y20" s="10">
        <v>459.05</v>
      </c>
      <c r="Z20" s="10">
        <v>113.35</v>
      </c>
      <c r="AA20" s="10">
        <v>345.7</v>
      </c>
      <c r="AB20" s="14">
        <v>2630.09</v>
      </c>
      <c r="AC20" s="11">
        <v>21.0</v>
      </c>
      <c r="AD20" s="19"/>
      <c r="AE20" s="15" t="s">
        <v>19</v>
      </c>
      <c r="AF20" s="13">
        <v>604.9</v>
      </c>
      <c r="AG20" s="10">
        <v>177.0</v>
      </c>
      <c r="AH20" s="17">
        <v>774.9</v>
      </c>
      <c r="AI20" s="14">
        <v>2495.59</v>
      </c>
      <c r="AJ20" s="11">
        <v>18.0</v>
      </c>
      <c r="AL20" s="19"/>
      <c r="AM20" s="9" t="s">
        <v>19</v>
      </c>
      <c r="AN20" s="10">
        <f t="shared" ref="AN20:AP20" si="23">D20+K20+R20+Y20+AF20</f>
        <v>2514.85</v>
      </c>
      <c r="AO20" s="10">
        <f t="shared" si="23"/>
        <v>719.35</v>
      </c>
      <c r="AP20" s="10">
        <f t="shared" si="23"/>
        <v>2488.5</v>
      </c>
      <c r="AQ20" s="11">
        <f t="shared" si="18"/>
        <v>109</v>
      </c>
    </row>
    <row r="21">
      <c r="A21" s="19"/>
      <c r="B21" s="19"/>
      <c r="C21" s="26" t="s">
        <v>21</v>
      </c>
      <c r="D21" s="10"/>
      <c r="E21" s="10"/>
      <c r="F21" s="10"/>
      <c r="G21" s="10"/>
      <c r="H21" s="11"/>
      <c r="I21" s="19"/>
      <c r="J21" s="26" t="s">
        <v>22</v>
      </c>
      <c r="K21" s="20">
        <v>1412.1</v>
      </c>
      <c r="L21" s="10">
        <v>120.4</v>
      </c>
      <c r="M21" s="10">
        <v>1493.2</v>
      </c>
      <c r="N21" s="24">
        <v>5813.96</v>
      </c>
      <c r="O21" s="11">
        <v>63.0</v>
      </c>
      <c r="P21" s="19"/>
      <c r="Q21" s="26" t="s">
        <v>21</v>
      </c>
      <c r="R21" s="13">
        <v>1968.5</v>
      </c>
      <c r="S21" s="10">
        <v>258.8</v>
      </c>
      <c r="T21" s="10">
        <v>1904.7</v>
      </c>
      <c r="U21" s="10">
        <v>6583.53</v>
      </c>
      <c r="V21" s="11">
        <v>96.0</v>
      </c>
      <c r="W21" s="19"/>
      <c r="X21" s="27" t="s">
        <v>21</v>
      </c>
      <c r="Y21" s="10">
        <v>1581.5</v>
      </c>
      <c r="Z21" s="10">
        <v>109.7</v>
      </c>
      <c r="AA21" s="17">
        <v>1753.7</v>
      </c>
      <c r="AB21" s="24">
        <v>5908.63</v>
      </c>
      <c r="AC21" s="11">
        <v>97.0</v>
      </c>
      <c r="AD21" s="19"/>
      <c r="AE21" s="27" t="s">
        <v>21</v>
      </c>
      <c r="AF21" s="13">
        <v>2856.5</v>
      </c>
      <c r="AG21" s="10">
        <v>0.0</v>
      </c>
      <c r="AH21" s="17">
        <v>3002.7</v>
      </c>
      <c r="AI21" s="24">
        <v>5992.31</v>
      </c>
      <c r="AJ21" s="22">
        <v>116.0</v>
      </c>
      <c r="AL21" s="19"/>
      <c r="AM21" s="26" t="s">
        <v>21</v>
      </c>
      <c r="AN21" s="10">
        <f t="shared" ref="AN21:AP21" si="24">D21+K21+R21+Y21+AF21</f>
        <v>7818.6</v>
      </c>
      <c r="AO21" s="10">
        <f t="shared" si="24"/>
        <v>488.9</v>
      </c>
      <c r="AP21" s="10">
        <f t="shared" si="24"/>
        <v>8154.3</v>
      </c>
      <c r="AQ21" s="11">
        <f t="shared" si="18"/>
        <v>372</v>
      </c>
    </row>
    <row r="22">
      <c r="A22" s="19"/>
      <c r="B22" s="19"/>
      <c r="C22" s="28" t="s">
        <v>23</v>
      </c>
      <c r="D22" s="29">
        <f t="shared" ref="D22:H22" si="25">D14+D15+D16+D17+D18+D19+D20+D21</f>
        <v>0</v>
      </c>
      <c r="E22" s="30">
        <f t="shared" si="25"/>
        <v>0</v>
      </c>
      <c r="F22" s="31">
        <f t="shared" si="25"/>
        <v>0</v>
      </c>
      <c r="G22" s="32">
        <f t="shared" si="25"/>
        <v>0</v>
      </c>
      <c r="H22" s="33">
        <f t="shared" si="25"/>
        <v>0</v>
      </c>
      <c r="I22" s="19"/>
      <c r="J22" s="28" t="s">
        <v>23</v>
      </c>
      <c r="K22" s="32">
        <f t="shared" ref="K22:O22" si="26">K14+K15+K16+K17+K18+K19+K20+K21</f>
        <v>4848.9</v>
      </c>
      <c r="L22" s="30">
        <f t="shared" si="26"/>
        <v>690.3</v>
      </c>
      <c r="M22" s="31">
        <f t="shared" si="26"/>
        <v>4505.1</v>
      </c>
      <c r="N22" s="37">
        <f t="shared" si="26"/>
        <v>19976.07</v>
      </c>
      <c r="O22" s="33">
        <f t="shared" si="26"/>
        <v>223</v>
      </c>
      <c r="P22" s="19"/>
      <c r="Q22" s="28" t="s">
        <v>23</v>
      </c>
      <c r="R22" s="29">
        <f t="shared" ref="R22:V22" si="27">R14+R15+R16+R17+R18+R19+R20+R21</f>
        <v>6733.75</v>
      </c>
      <c r="S22" s="35">
        <f t="shared" si="27"/>
        <v>1258.55</v>
      </c>
      <c r="T22" s="31">
        <f t="shared" si="27"/>
        <v>6357.18</v>
      </c>
      <c r="U22" s="32">
        <f t="shared" si="27"/>
        <v>19583.24</v>
      </c>
      <c r="V22" s="33">
        <f t="shared" si="27"/>
        <v>308</v>
      </c>
      <c r="W22" s="19"/>
      <c r="X22" s="28" t="s">
        <v>23</v>
      </c>
      <c r="Y22" s="29">
        <f t="shared" ref="Y22:AC22" si="28">Y14+Y15+Y16+Y17+Y18+Y19+Y20+Y21</f>
        <v>6810.05</v>
      </c>
      <c r="Z22" s="30">
        <f t="shared" si="28"/>
        <v>1103.95</v>
      </c>
      <c r="AA22" s="31">
        <f t="shared" si="28"/>
        <v>6238</v>
      </c>
      <c r="AB22" s="37">
        <f t="shared" si="28"/>
        <v>18348.95</v>
      </c>
      <c r="AC22" s="33">
        <f t="shared" si="28"/>
        <v>275</v>
      </c>
      <c r="AD22" s="19"/>
      <c r="AE22" s="28" t="s">
        <v>23</v>
      </c>
      <c r="AF22" s="29">
        <f t="shared" ref="AF22:AJ22" si="29">AF14+AF15+AF16+AF17+AF18+AF19+AF20+AF21</f>
        <v>6190.6</v>
      </c>
      <c r="AG22" s="40">
        <f t="shared" si="29"/>
        <v>502</v>
      </c>
      <c r="AH22" s="36">
        <f t="shared" si="29"/>
        <v>7045.9</v>
      </c>
      <c r="AI22" s="37">
        <f t="shared" si="29"/>
        <v>19811.78</v>
      </c>
      <c r="AJ22" s="33">
        <f t="shared" si="29"/>
        <v>247</v>
      </c>
      <c r="AL22" s="19"/>
      <c r="AM22" s="28" t="s">
        <v>23</v>
      </c>
      <c r="AN22" s="41">
        <f t="shared" ref="AN22:AQ22" si="30">AN14+AN15+AN16+AN17+AN18+AN19+AN20+AN21</f>
        <v>24583.3</v>
      </c>
      <c r="AO22" s="42">
        <f t="shared" si="30"/>
        <v>3554.8</v>
      </c>
      <c r="AP22" s="43">
        <f t="shared" si="30"/>
        <v>24146.18</v>
      </c>
      <c r="AQ22" s="44">
        <f t="shared" si="30"/>
        <v>1053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4158.6</v>
      </c>
      <c r="L23" s="47"/>
      <c r="M23" s="48"/>
      <c r="N23" s="51"/>
      <c r="O23" s="51"/>
      <c r="P23" s="19"/>
      <c r="Q23" s="45" t="s">
        <v>24</v>
      </c>
      <c r="R23" s="50">
        <f>R22-S22</f>
        <v>5475.2</v>
      </c>
      <c r="S23" s="47"/>
      <c r="T23" s="48"/>
      <c r="U23" s="51"/>
      <c r="V23" s="51"/>
      <c r="W23" s="19"/>
      <c r="X23" s="45" t="s">
        <v>24</v>
      </c>
      <c r="Y23" s="50">
        <f>Y22-Z22</f>
        <v>5706.1</v>
      </c>
      <c r="Z23" s="47"/>
      <c r="AA23" s="48"/>
      <c r="AB23" s="51"/>
      <c r="AC23" s="51"/>
      <c r="AD23" s="19"/>
      <c r="AE23" s="45" t="s">
        <v>24</v>
      </c>
      <c r="AF23" s="50">
        <f>AF22-AG22</f>
        <v>5688.6</v>
      </c>
      <c r="AG23" s="47"/>
      <c r="AH23" s="48"/>
      <c r="AI23" s="51"/>
      <c r="AJ23" s="51"/>
      <c r="AL23" s="53"/>
      <c r="AM23" s="45" t="s">
        <v>25</v>
      </c>
      <c r="AN23" s="50">
        <f>AN22-AO22</f>
        <v>21028.5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3814.8</v>
      </c>
      <c r="L24" s="47"/>
      <c r="M24" s="48"/>
      <c r="N24" s="51"/>
      <c r="O24" s="51"/>
      <c r="P24" s="53"/>
      <c r="Q24" s="56" t="s">
        <v>26</v>
      </c>
      <c r="R24" s="57">
        <f>T22-S22</f>
        <v>5098.63</v>
      </c>
      <c r="S24" s="47"/>
      <c r="T24" s="48"/>
      <c r="U24" s="51"/>
      <c r="V24" s="51"/>
      <c r="W24" s="53"/>
      <c r="X24" s="56" t="s">
        <v>26</v>
      </c>
      <c r="Y24" s="57">
        <f>AA22-Z22</f>
        <v>5134.05</v>
      </c>
      <c r="Z24" s="47"/>
      <c r="AA24" s="48"/>
      <c r="AB24" s="51"/>
      <c r="AC24" s="51"/>
      <c r="AD24" s="53"/>
      <c r="AE24" s="56" t="s">
        <v>26</v>
      </c>
      <c r="AF24" s="57">
        <f>AH22-AG22</f>
        <v>6543.9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2" t="s">
        <v>1</v>
      </c>
      <c r="K25" s="4" t="s">
        <v>7</v>
      </c>
      <c r="L25" s="2" t="s">
        <v>3</v>
      </c>
      <c r="M25" s="2" t="s">
        <v>4</v>
      </c>
      <c r="N25" s="2" t="s">
        <v>5</v>
      </c>
      <c r="O25" s="5" t="s">
        <v>6</v>
      </c>
      <c r="P25" s="2" t="s">
        <v>0</v>
      </c>
      <c r="Q25" s="2" t="s">
        <v>1</v>
      </c>
      <c r="R25" s="4" t="s">
        <v>7</v>
      </c>
      <c r="S25" s="2" t="s">
        <v>3</v>
      </c>
      <c r="T25" s="2" t="s">
        <v>4</v>
      </c>
      <c r="U25" s="2" t="s">
        <v>5</v>
      </c>
      <c r="V25" s="5" t="s">
        <v>6</v>
      </c>
      <c r="W25" s="2" t="s">
        <v>0</v>
      </c>
      <c r="X25" s="2" t="s">
        <v>1</v>
      </c>
      <c r="Y25" s="4" t="s">
        <v>7</v>
      </c>
      <c r="Z25" s="2" t="s">
        <v>3</v>
      </c>
      <c r="AA25" s="2" t="s">
        <v>4</v>
      </c>
      <c r="AB25" s="2" t="s">
        <v>5</v>
      </c>
      <c r="AC25" s="5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12"/>
      <c r="C26" s="9" t="s">
        <v>10</v>
      </c>
      <c r="D26" s="10"/>
      <c r="E26" s="10"/>
      <c r="F26" s="10"/>
      <c r="G26" s="10"/>
      <c r="H26" s="11"/>
      <c r="I26" s="12">
        <v>45664.0</v>
      </c>
      <c r="J26" s="9" t="s">
        <v>10</v>
      </c>
      <c r="K26" s="13">
        <v>1706.73</v>
      </c>
      <c r="L26" s="21">
        <v>392.7</v>
      </c>
      <c r="M26" s="10">
        <v>1314.03</v>
      </c>
      <c r="N26" s="14">
        <v>2793.84</v>
      </c>
      <c r="O26" s="11">
        <v>60.0</v>
      </c>
      <c r="P26" s="8">
        <v>45671.0</v>
      </c>
      <c r="Q26" s="9" t="s">
        <v>10</v>
      </c>
      <c r="R26" s="13">
        <v>1263.8</v>
      </c>
      <c r="S26" s="10">
        <v>0.0</v>
      </c>
      <c r="T26" s="10">
        <v>1263.8</v>
      </c>
      <c r="U26" s="10">
        <v>1003.75</v>
      </c>
      <c r="V26" s="11">
        <v>28.0</v>
      </c>
      <c r="W26" s="8">
        <v>45678.0</v>
      </c>
      <c r="X26" s="9" t="s">
        <v>10</v>
      </c>
      <c r="Y26" s="13">
        <v>935.9</v>
      </c>
      <c r="Z26" s="10">
        <v>104.9</v>
      </c>
      <c r="AA26" s="10">
        <v>831.0</v>
      </c>
      <c r="AB26" s="16">
        <v>841.9</v>
      </c>
      <c r="AC26" s="11">
        <v>31.0</v>
      </c>
      <c r="AD26" s="8">
        <v>45685.0</v>
      </c>
      <c r="AE26" s="15" t="s">
        <v>10</v>
      </c>
      <c r="AF26" s="13">
        <v>889.0</v>
      </c>
      <c r="AG26" s="10">
        <v>0.0</v>
      </c>
      <c r="AH26" s="17">
        <v>1173.0</v>
      </c>
      <c r="AI26" s="16">
        <v>781.0</v>
      </c>
      <c r="AJ26" s="11">
        <v>28.0</v>
      </c>
      <c r="AL26" s="18" t="s">
        <v>31</v>
      </c>
      <c r="AM26" s="9" t="s">
        <v>10</v>
      </c>
      <c r="AN26" s="10">
        <f t="shared" ref="AN26:AP26" si="31">D26+K26+R26+Y26+AF26</f>
        <v>4795.43</v>
      </c>
      <c r="AO26" s="10">
        <f t="shared" si="31"/>
        <v>497.6</v>
      </c>
      <c r="AP26" s="10">
        <f t="shared" si="31"/>
        <v>4581.83</v>
      </c>
      <c r="AQ26" s="11">
        <f t="shared" ref="AQ26:AQ33" si="33">H26+O26+V26+AC26+AJ26</f>
        <v>147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0">
        <v>511.9</v>
      </c>
      <c r="L27" s="10">
        <v>167.9</v>
      </c>
      <c r="M27" s="10">
        <v>365.0</v>
      </c>
      <c r="N27" s="16">
        <v>960.6</v>
      </c>
      <c r="O27" s="11">
        <v>43.0</v>
      </c>
      <c r="P27" s="19"/>
      <c r="Q27" s="9" t="s">
        <v>12</v>
      </c>
      <c r="R27" s="13">
        <v>731.0</v>
      </c>
      <c r="S27" s="10">
        <v>73.0</v>
      </c>
      <c r="T27" s="10">
        <v>676.0</v>
      </c>
      <c r="U27" s="10">
        <v>1501.5</v>
      </c>
      <c r="V27" s="11">
        <v>45.0</v>
      </c>
      <c r="W27" s="19"/>
      <c r="X27" s="9" t="s">
        <v>12</v>
      </c>
      <c r="Y27" s="10">
        <v>374.9</v>
      </c>
      <c r="Z27" s="10">
        <v>90.0</v>
      </c>
      <c r="AA27" s="10">
        <v>284.9</v>
      </c>
      <c r="AB27" s="14">
        <v>1587.5</v>
      </c>
      <c r="AC27" s="11">
        <v>20.0</v>
      </c>
      <c r="AD27" s="19"/>
      <c r="AE27" s="9" t="s">
        <v>12</v>
      </c>
      <c r="AF27" s="13">
        <v>665.8</v>
      </c>
      <c r="AG27" s="10">
        <v>0.0</v>
      </c>
      <c r="AH27" s="17">
        <v>665.8</v>
      </c>
      <c r="AI27" s="14">
        <v>2107.5</v>
      </c>
      <c r="AJ27" s="11">
        <v>34.0</v>
      </c>
      <c r="AL27" s="19"/>
      <c r="AM27" s="9" t="s">
        <v>12</v>
      </c>
      <c r="AN27" s="10">
        <f t="shared" ref="AN27:AP27" si="32">D27+K27+R27+Y27+AF27</f>
        <v>2283.6</v>
      </c>
      <c r="AO27" s="10">
        <f t="shared" si="32"/>
        <v>330.9</v>
      </c>
      <c r="AP27" s="10">
        <f t="shared" si="32"/>
        <v>1991.7</v>
      </c>
      <c r="AQ27" s="11">
        <f t="shared" si="33"/>
        <v>142</v>
      </c>
    </row>
    <row r="28">
      <c r="A28" s="19"/>
      <c r="B28" s="19"/>
      <c r="C28" s="9" t="s">
        <v>13</v>
      </c>
      <c r="D28" s="10"/>
      <c r="E28" s="10"/>
      <c r="F28" s="10"/>
      <c r="G28" s="10"/>
      <c r="H28" s="11"/>
      <c r="I28" s="19"/>
      <c r="J28" s="9" t="s">
        <v>13</v>
      </c>
      <c r="K28" s="10"/>
      <c r="L28" s="10"/>
      <c r="M28" s="10"/>
      <c r="N28" s="10"/>
      <c r="O28" s="11"/>
      <c r="P28" s="19"/>
      <c r="Q28" s="9" t="s">
        <v>33</v>
      </c>
      <c r="R28" s="10"/>
      <c r="S28" s="10"/>
      <c r="T28" s="10"/>
      <c r="U28" s="10"/>
      <c r="V28" s="11"/>
      <c r="W28" s="19"/>
      <c r="X28" s="9" t="s">
        <v>14</v>
      </c>
      <c r="Y28" s="10"/>
      <c r="Z28" s="10"/>
      <c r="AA28" s="10"/>
      <c r="AB28" s="10"/>
      <c r="AC28" s="11"/>
      <c r="AD28" s="19"/>
      <c r="AE28" s="9" t="s">
        <v>14</v>
      </c>
      <c r="AF28" s="10"/>
      <c r="AG28" s="10"/>
      <c r="AH28" s="10"/>
      <c r="AI28" s="10"/>
      <c r="AJ28" s="11"/>
      <c r="AL28" s="19"/>
      <c r="AM28" s="9" t="s">
        <v>14</v>
      </c>
      <c r="AN28" s="10">
        <f t="shared" ref="AN28:AP28" si="34">D28+K28+R28+Y28+AF28</f>
        <v>0</v>
      </c>
      <c r="AO28" s="10">
        <f t="shared" si="34"/>
        <v>0</v>
      </c>
      <c r="AP28" s="10">
        <f t="shared" si="34"/>
        <v>0</v>
      </c>
      <c r="AQ28" s="11">
        <f t="shared" si="33"/>
        <v>0</v>
      </c>
    </row>
    <row r="29">
      <c r="A29" s="19"/>
      <c r="B29" s="19"/>
      <c r="C29" s="9" t="s">
        <v>15</v>
      </c>
      <c r="D29" s="10"/>
      <c r="E29" s="10"/>
      <c r="F29" s="10"/>
      <c r="G29" s="10"/>
      <c r="H29" s="11"/>
      <c r="I29" s="19"/>
      <c r="J29" s="9" t="s">
        <v>15</v>
      </c>
      <c r="K29" s="20">
        <v>1431.18</v>
      </c>
      <c r="L29" s="10">
        <v>185.0</v>
      </c>
      <c r="M29" s="17">
        <v>2073.34</v>
      </c>
      <c r="N29" s="24">
        <v>5749.27</v>
      </c>
      <c r="O29" s="11">
        <v>68.0</v>
      </c>
      <c r="P29" s="19"/>
      <c r="Q29" s="9" t="s">
        <v>15</v>
      </c>
      <c r="R29" s="20">
        <v>467.7</v>
      </c>
      <c r="S29" s="10">
        <v>0.0</v>
      </c>
      <c r="T29" s="10">
        <v>815.6</v>
      </c>
      <c r="U29" s="10">
        <v>5644.27</v>
      </c>
      <c r="V29" s="11">
        <v>27.0</v>
      </c>
      <c r="W29" s="19"/>
      <c r="X29" s="9" t="s">
        <v>16</v>
      </c>
      <c r="Y29" s="13">
        <v>2320.95</v>
      </c>
      <c r="Z29" s="21">
        <v>861.8</v>
      </c>
      <c r="AA29" s="10">
        <v>1943.55</v>
      </c>
      <c r="AB29" s="24">
        <v>6475.78</v>
      </c>
      <c r="AC29" s="11">
        <v>84.0</v>
      </c>
      <c r="AD29" s="19"/>
      <c r="AE29" s="15" t="s">
        <v>16</v>
      </c>
      <c r="AF29" s="13">
        <v>3410.2</v>
      </c>
      <c r="AG29" s="10">
        <v>34.9</v>
      </c>
      <c r="AH29" s="17">
        <v>4782.7</v>
      </c>
      <c r="AI29" s="24">
        <v>5104.53</v>
      </c>
      <c r="AJ29" s="22">
        <v>82.0</v>
      </c>
      <c r="AL29" s="19"/>
      <c r="AM29" s="9" t="s">
        <v>16</v>
      </c>
      <c r="AN29" s="10">
        <f t="shared" ref="AN29:AP29" si="35">D29+K29+R29+Y29+AF29</f>
        <v>7630.03</v>
      </c>
      <c r="AO29" s="10">
        <f t="shared" si="35"/>
        <v>1081.7</v>
      </c>
      <c r="AP29" s="10">
        <f t="shared" si="35"/>
        <v>9615.19</v>
      </c>
      <c r="AQ29" s="11">
        <f t="shared" si="33"/>
        <v>261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9" t="s">
        <v>17</v>
      </c>
      <c r="K30" s="13">
        <v>1106.9</v>
      </c>
      <c r="L30" s="10">
        <v>0.0</v>
      </c>
      <c r="M30" s="10">
        <v>1106.9</v>
      </c>
      <c r="N30" s="21">
        <v>1235.9</v>
      </c>
      <c r="O30" s="11">
        <v>47.0</v>
      </c>
      <c r="P30" s="19"/>
      <c r="Q30" s="9" t="s">
        <v>17</v>
      </c>
      <c r="R30" s="13">
        <v>1192.0</v>
      </c>
      <c r="S30" s="10">
        <v>0.0</v>
      </c>
      <c r="T30" s="10">
        <v>1246.9</v>
      </c>
      <c r="U30" s="10">
        <v>1652.35</v>
      </c>
      <c r="V30" s="11">
        <v>51.0</v>
      </c>
      <c r="W30" s="19"/>
      <c r="X30" s="9" t="s">
        <v>17</v>
      </c>
      <c r="Y30" s="10">
        <v>560.6</v>
      </c>
      <c r="Z30" s="10">
        <v>119.0</v>
      </c>
      <c r="AA30" s="10">
        <v>441.6</v>
      </c>
      <c r="AB30" s="14">
        <v>1596.35</v>
      </c>
      <c r="AC30" s="11">
        <v>19.0</v>
      </c>
      <c r="AD30" s="19"/>
      <c r="AE30" s="9" t="s">
        <v>17</v>
      </c>
      <c r="AF30" s="13">
        <v>1473.0</v>
      </c>
      <c r="AG30" s="10">
        <v>110.0</v>
      </c>
      <c r="AH30" s="10">
        <v>1363.0</v>
      </c>
      <c r="AI30" s="21">
        <v>1784.35</v>
      </c>
      <c r="AJ30" s="11">
        <v>60.0</v>
      </c>
      <c r="AL30" s="19"/>
      <c r="AM30" s="9" t="s">
        <v>17</v>
      </c>
      <c r="AN30" s="10">
        <f t="shared" ref="AN30:AP30" si="36">D30+K30+R30+Y30+AF30</f>
        <v>4332.5</v>
      </c>
      <c r="AO30" s="10">
        <f t="shared" si="36"/>
        <v>229</v>
      </c>
      <c r="AP30" s="10">
        <f t="shared" si="36"/>
        <v>4158.4</v>
      </c>
      <c r="AQ30" s="11">
        <f t="shared" si="33"/>
        <v>177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9" t="s">
        <v>29</v>
      </c>
      <c r="K31" s="10">
        <v>0.0</v>
      </c>
      <c r="L31" s="10">
        <v>0.0</v>
      </c>
      <c r="M31" s="10">
        <v>0.0</v>
      </c>
      <c r="N31" s="10">
        <v>584.7</v>
      </c>
      <c r="O31" s="11">
        <v>10.0</v>
      </c>
      <c r="P31" s="19"/>
      <c r="Q31" s="9" t="s">
        <v>18</v>
      </c>
      <c r="R31" s="10"/>
      <c r="S31" s="10"/>
      <c r="T31" s="10"/>
      <c r="U31" s="10">
        <v>384.7</v>
      </c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7">D31+K31+R31+Y31+AF31</f>
        <v>0</v>
      </c>
      <c r="AO31" s="10">
        <f t="shared" si="37"/>
        <v>0</v>
      </c>
      <c r="AP31" s="10">
        <f t="shared" si="37"/>
        <v>0</v>
      </c>
      <c r="AQ31" s="11">
        <f t="shared" si="33"/>
        <v>10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15" t="s">
        <v>19</v>
      </c>
      <c r="K32" s="13">
        <v>756.3</v>
      </c>
      <c r="L32" s="10">
        <v>50.0</v>
      </c>
      <c r="M32" s="17">
        <v>1009.2</v>
      </c>
      <c r="N32" s="14">
        <v>2482.34</v>
      </c>
      <c r="O32" s="11">
        <v>21.0</v>
      </c>
      <c r="P32" s="19"/>
      <c r="Q32" s="9" t="s">
        <v>19</v>
      </c>
      <c r="R32" s="10">
        <v>505.0</v>
      </c>
      <c r="S32" s="10">
        <v>265.0</v>
      </c>
      <c r="T32" s="10">
        <v>240.0</v>
      </c>
      <c r="U32" s="10">
        <v>2730.34</v>
      </c>
      <c r="V32" s="11">
        <v>22.0</v>
      </c>
      <c r="W32" s="19"/>
      <c r="X32" s="9" t="s">
        <v>19</v>
      </c>
      <c r="Y32" s="10">
        <v>568.8</v>
      </c>
      <c r="Z32" s="10">
        <v>49.0</v>
      </c>
      <c r="AA32" s="10">
        <v>519.8</v>
      </c>
      <c r="AB32" s="14">
        <v>2679.09</v>
      </c>
      <c r="AC32" s="11">
        <v>40.0</v>
      </c>
      <c r="AD32" s="19"/>
      <c r="AE32" s="15" t="s">
        <v>19</v>
      </c>
      <c r="AF32" s="13">
        <v>785.9</v>
      </c>
      <c r="AG32" s="10">
        <v>30.0</v>
      </c>
      <c r="AH32" s="17">
        <v>909.2</v>
      </c>
      <c r="AI32" s="14">
        <v>2372.29</v>
      </c>
      <c r="AJ32" s="11">
        <v>28.0</v>
      </c>
      <c r="AL32" s="19"/>
      <c r="AM32" s="9" t="s">
        <v>19</v>
      </c>
      <c r="AN32" s="10">
        <f t="shared" ref="AN32:AP32" si="38">D32+K32+R32+Y32+AF32</f>
        <v>2616</v>
      </c>
      <c r="AO32" s="10">
        <f t="shared" si="38"/>
        <v>394</v>
      </c>
      <c r="AP32" s="10">
        <f t="shared" si="38"/>
        <v>2678.2</v>
      </c>
      <c r="AQ32" s="11">
        <f t="shared" si="33"/>
        <v>111</v>
      </c>
    </row>
    <row r="33">
      <c r="A33" s="19"/>
      <c r="B33" s="19"/>
      <c r="C33" s="26" t="s">
        <v>21</v>
      </c>
      <c r="D33" s="10"/>
      <c r="E33" s="10"/>
      <c r="F33" s="10"/>
      <c r="G33" s="10"/>
      <c r="H33" s="11"/>
      <c r="I33" s="19"/>
      <c r="J33" s="27" t="s">
        <v>21</v>
      </c>
      <c r="K33" s="20">
        <v>1596.7</v>
      </c>
      <c r="L33" s="21">
        <v>353.0</v>
      </c>
      <c r="M33" s="17">
        <v>1989.5</v>
      </c>
      <c r="N33" s="24">
        <v>5421.16</v>
      </c>
      <c r="O33" s="11">
        <v>82.0</v>
      </c>
      <c r="P33" s="19"/>
      <c r="Q33" s="26" t="s">
        <v>22</v>
      </c>
      <c r="R33" s="10">
        <v>1740.7</v>
      </c>
      <c r="S33" s="10">
        <v>0.0</v>
      </c>
      <c r="T33" s="10">
        <v>2102.5</v>
      </c>
      <c r="U33" s="10">
        <v>6218.73</v>
      </c>
      <c r="V33" s="11">
        <v>83.0</v>
      </c>
      <c r="W33" s="19"/>
      <c r="X33" s="26" t="s">
        <v>21</v>
      </c>
      <c r="Y33" s="13">
        <v>3191.05</v>
      </c>
      <c r="Z33" s="21">
        <v>391.7</v>
      </c>
      <c r="AA33" s="10">
        <v>3190.65</v>
      </c>
      <c r="AB33" s="24">
        <v>5909.03</v>
      </c>
      <c r="AC33" s="11">
        <v>98.0</v>
      </c>
      <c r="AD33" s="19"/>
      <c r="AE33" s="26" t="s">
        <v>21</v>
      </c>
      <c r="AF33" s="13">
        <v>2245.7</v>
      </c>
      <c r="AG33" s="21">
        <v>304.0</v>
      </c>
      <c r="AH33" s="10">
        <v>2221.4</v>
      </c>
      <c r="AI33" s="24">
        <v>6016.61</v>
      </c>
      <c r="AJ33" s="22">
        <v>113.0</v>
      </c>
      <c r="AL33" s="19"/>
      <c r="AM33" s="26" t="s">
        <v>21</v>
      </c>
      <c r="AN33" s="10">
        <f t="shared" ref="AN33:AP33" si="39">D33+K33+R33+Y33+AF33</f>
        <v>8774.15</v>
      </c>
      <c r="AO33" s="10">
        <f t="shared" si="39"/>
        <v>1048.7</v>
      </c>
      <c r="AP33" s="10">
        <f t="shared" si="39"/>
        <v>9504.05</v>
      </c>
      <c r="AQ33" s="11">
        <f t="shared" si="33"/>
        <v>376</v>
      </c>
    </row>
    <row r="34">
      <c r="A34" s="19"/>
      <c r="B34" s="19"/>
      <c r="C34" s="28" t="s">
        <v>23</v>
      </c>
      <c r="D34" s="29">
        <f t="shared" ref="D34:H34" si="40">D26+D27+D28+D29+D30+D31+D32+D33</f>
        <v>0</v>
      </c>
      <c r="E34" s="30">
        <f t="shared" si="40"/>
        <v>0</v>
      </c>
      <c r="F34" s="31">
        <f t="shared" si="40"/>
        <v>0</v>
      </c>
      <c r="G34" s="32">
        <f t="shared" si="40"/>
        <v>0</v>
      </c>
      <c r="H34" s="33">
        <f t="shared" si="40"/>
        <v>0</v>
      </c>
      <c r="I34" s="19"/>
      <c r="J34" s="28" t="s">
        <v>23</v>
      </c>
      <c r="K34" s="61">
        <f t="shared" ref="K34:O34" si="41">K26+K27+K28+K29+K30+K31+K32+K33</f>
        <v>7109.71</v>
      </c>
      <c r="L34" s="35">
        <f t="shared" si="41"/>
        <v>1148.6</v>
      </c>
      <c r="M34" s="36">
        <f t="shared" si="41"/>
        <v>7857.97</v>
      </c>
      <c r="N34" s="37">
        <f t="shared" si="41"/>
        <v>19227.81</v>
      </c>
      <c r="O34" s="33">
        <f t="shared" si="41"/>
        <v>331</v>
      </c>
      <c r="P34" s="19"/>
      <c r="Q34" s="28" t="s">
        <v>23</v>
      </c>
      <c r="R34" s="29">
        <f t="shared" ref="R34:V34" si="42">R26+R27+R28+R29+R30+R31+R32+R33</f>
        <v>5900.2</v>
      </c>
      <c r="S34" s="40">
        <f t="shared" si="42"/>
        <v>338</v>
      </c>
      <c r="T34" s="31">
        <f t="shared" si="42"/>
        <v>6344.8</v>
      </c>
      <c r="U34" s="37">
        <f t="shared" si="42"/>
        <v>19135.64</v>
      </c>
      <c r="V34" s="33">
        <f t="shared" si="42"/>
        <v>256</v>
      </c>
      <c r="W34" s="19"/>
      <c r="X34" s="28" t="s">
        <v>23</v>
      </c>
      <c r="Y34" s="61">
        <f t="shared" ref="Y34:AC34" si="43">Y26+Y27+Y28+Y29+Y30+Y31+Y32+Y33</f>
        <v>7952.2</v>
      </c>
      <c r="Z34" s="35">
        <f t="shared" si="43"/>
        <v>1616.4</v>
      </c>
      <c r="AA34" s="31">
        <f t="shared" si="43"/>
        <v>7211.5</v>
      </c>
      <c r="AB34" s="37">
        <f t="shared" si="43"/>
        <v>19089.65</v>
      </c>
      <c r="AC34" s="33">
        <f t="shared" si="43"/>
        <v>292</v>
      </c>
      <c r="AD34" s="19"/>
      <c r="AE34" s="28" t="s">
        <v>23</v>
      </c>
      <c r="AF34" s="34">
        <f t="shared" ref="AF34:AJ34" si="44">AF26+AF27+AF28+AF29+AF30+AF31+AF32+AF33</f>
        <v>9469.6</v>
      </c>
      <c r="AG34" s="30">
        <f t="shared" si="44"/>
        <v>478.9</v>
      </c>
      <c r="AH34" s="36">
        <f t="shared" si="44"/>
        <v>11115.1</v>
      </c>
      <c r="AI34" s="37">
        <f t="shared" si="44"/>
        <v>18166.28</v>
      </c>
      <c r="AJ34" s="33">
        <f t="shared" si="44"/>
        <v>345</v>
      </c>
      <c r="AL34" s="19"/>
      <c r="AM34" s="28" t="s">
        <v>23</v>
      </c>
      <c r="AN34" s="41">
        <f t="shared" ref="AN34:AQ34" si="45">AN26+AN27+AN28+AN29+AN30+AN31+AN32+AN33</f>
        <v>30431.71</v>
      </c>
      <c r="AO34" s="42">
        <f t="shared" si="45"/>
        <v>3581.9</v>
      </c>
      <c r="AP34" s="43">
        <f t="shared" si="45"/>
        <v>32529.37</v>
      </c>
      <c r="AQ34" s="44">
        <f t="shared" si="45"/>
        <v>1224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5961.11</v>
      </c>
      <c r="L35" s="47"/>
      <c r="M35" s="48"/>
      <c r="N35" s="51"/>
      <c r="O35" s="51"/>
      <c r="P35" s="19"/>
      <c r="Q35" s="45" t="s">
        <v>24</v>
      </c>
      <c r="R35" s="50">
        <f>R34-S34</f>
        <v>5562.2</v>
      </c>
      <c r="S35" s="47"/>
      <c r="T35" s="48"/>
      <c r="U35" s="51"/>
      <c r="V35" s="51"/>
      <c r="W35" s="19"/>
      <c r="X35" s="45" t="s">
        <v>24</v>
      </c>
      <c r="Y35" s="50">
        <f>Y34-Z34</f>
        <v>6335.8</v>
      </c>
      <c r="Z35" s="47"/>
      <c r="AA35" s="48"/>
      <c r="AB35" s="51"/>
      <c r="AC35" s="51"/>
      <c r="AD35" s="19"/>
      <c r="AE35" s="45" t="s">
        <v>24</v>
      </c>
      <c r="AF35" s="50">
        <f>AF34-AG34</f>
        <v>8990.7</v>
      </c>
      <c r="AG35" s="47"/>
      <c r="AH35" s="48"/>
      <c r="AI35" s="51"/>
      <c r="AJ35" s="51"/>
      <c r="AL35" s="53"/>
      <c r="AM35" s="45" t="s">
        <v>25</v>
      </c>
      <c r="AN35" s="50">
        <f>AN34-AO34</f>
        <v>26849.81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6709.37</v>
      </c>
      <c r="L36" s="47"/>
      <c r="M36" s="48"/>
      <c r="N36" s="51"/>
      <c r="O36" s="51"/>
      <c r="P36" s="53"/>
      <c r="Q36" s="56" t="s">
        <v>26</v>
      </c>
      <c r="R36" s="57">
        <f>T34-S34</f>
        <v>6006.8</v>
      </c>
      <c r="S36" s="47"/>
      <c r="T36" s="48"/>
      <c r="U36" s="51"/>
      <c r="V36" s="51"/>
      <c r="W36" s="53"/>
      <c r="X36" s="56" t="s">
        <v>26</v>
      </c>
      <c r="Y36" s="57">
        <f>AA34-Z34</f>
        <v>5595.1</v>
      </c>
      <c r="Z36" s="47"/>
      <c r="AA36" s="48"/>
      <c r="AB36" s="51"/>
      <c r="AC36" s="51"/>
      <c r="AD36" s="53"/>
      <c r="AE36" s="56" t="s">
        <v>26</v>
      </c>
      <c r="AF36" s="57">
        <f>AH34-AG34</f>
        <v>10636.2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2" t="s">
        <v>1</v>
      </c>
      <c r="K37" s="4" t="s">
        <v>7</v>
      </c>
      <c r="L37" s="2" t="s">
        <v>3</v>
      </c>
      <c r="M37" s="2" t="s">
        <v>4</v>
      </c>
      <c r="N37" s="2" t="s">
        <v>5</v>
      </c>
      <c r="O37" s="5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2" t="s">
        <v>1</v>
      </c>
      <c r="Y37" s="4" t="s">
        <v>7</v>
      </c>
      <c r="Z37" s="2" t="s">
        <v>3</v>
      </c>
      <c r="AA37" s="2" t="s">
        <v>4</v>
      </c>
      <c r="AB37" s="2" t="s">
        <v>5</v>
      </c>
      <c r="AC37" s="5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62" t="s">
        <v>35</v>
      </c>
      <c r="C38" s="63" t="s">
        <v>10</v>
      </c>
      <c r="D38" s="64"/>
      <c r="E38" s="64"/>
      <c r="F38" s="64"/>
      <c r="G38" s="64"/>
      <c r="H38" s="22"/>
      <c r="I38" s="12">
        <v>45665.0</v>
      </c>
      <c r="J38" s="15" t="s">
        <v>10</v>
      </c>
      <c r="K38" s="13">
        <v>1071.5</v>
      </c>
      <c r="L38" s="10">
        <v>0.0</v>
      </c>
      <c r="M38" s="17">
        <v>1381.3</v>
      </c>
      <c r="N38" s="14">
        <v>2484.04</v>
      </c>
      <c r="O38" s="11">
        <v>42.0</v>
      </c>
      <c r="P38" s="8">
        <v>45672.0</v>
      </c>
      <c r="Q38" s="9" t="s">
        <v>10</v>
      </c>
      <c r="R38" s="20">
        <v>256.7</v>
      </c>
      <c r="S38" s="10">
        <v>0.0</v>
      </c>
      <c r="T38" s="10">
        <v>256.7</v>
      </c>
      <c r="U38" s="10">
        <v>1003.75</v>
      </c>
      <c r="V38" s="11">
        <v>6.0</v>
      </c>
      <c r="W38" s="8">
        <v>45679.0</v>
      </c>
      <c r="X38" s="9" t="s">
        <v>10</v>
      </c>
      <c r="Y38" s="13">
        <v>773.0</v>
      </c>
      <c r="Z38" s="10">
        <v>186.0</v>
      </c>
      <c r="AA38" s="10">
        <v>587.0</v>
      </c>
      <c r="AB38" s="16">
        <v>1027.9</v>
      </c>
      <c r="AC38" s="11">
        <v>35.0</v>
      </c>
      <c r="AD38" s="8">
        <v>45686.0</v>
      </c>
      <c r="AE38" s="9" t="s">
        <v>10</v>
      </c>
      <c r="AF38" s="20">
        <v>251.0</v>
      </c>
      <c r="AG38" s="10">
        <v>161.0</v>
      </c>
      <c r="AH38" s="10">
        <v>90.0</v>
      </c>
      <c r="AI38" s="16">
        <v>942.0</v>
      </c>
      <c r="AJ38" s="11">
        <v>8.0</v>
      </c>
      <c r="AL38" s="18" t="s">
        <v>36</v>
      </c>
      <c r="AM38" s="9" t="s">
        <v>10</v>
      </c>
      <c r="AN38" s="10">
        <f t="shared" ref="AN38:AP38" si="46">D38+K38+R38+Y38+AF38</f>
        <v>2352.2</v>
      </c>
      <c r="AO38" s="10">
        <f t="shared" si="46"/>
        <v>347</v>
      </c>
      <c r="AP38" s="10">
        <f t="shared" si="46"/>
        <v>2315</v>
      </c>
      <c r="AQ38" s="11">
        <f t="shared" ref="AQ38:AQ45" si="48">H38+O38+V38+AC38+AJ38</f>
        <v>91</v>
      </c>
    </row>
    <row r="39">
      <c r="A39" s="19"/>
      <c r="B39" s="19"/>
      <c r="C39" s="63" t="s">
        <v>12</v>
      </c>
      <c r="D39" s="64"/>
      <c r="E39" s="64"/>
      <c r="F39" s="64"/>
      <c r="G39" s="64"/>
      <c r="H39" s="22"/>
      <c r="I39" s="19"/>
      <c r="J39" s="9" t="s">
        <v>12</v>
      </c>
      <c r="K39" s="20">
        <v>210.0</v>
      </c>
      <c r="L39" s="10">
        <v>0.0</v>
      </c>
      <c r="M39" s="10">
        <v>231.0</v>
      </c>
      <c r="N39" s="16">
        <v>939.6</v>
      </c>
      <c r="O39" s="11">
        <v>9.0</v>
      </c>
      <c r="P39" s="19"/>
      <c r="Q39" s="9" t="s">
        <v>12</v>
      </c>
      <c r="R39" s="13">
        <v>838.56</v>
      </c>
      <c r="S39" s="10">
        <v>0.0</v>
      </c>
      <c r="T39" s="10">
        <v>896.56</v>
      </c>
      <c r="U39" s="10">
        <v>1443.5</v>
      </c>
      <c r="V39" s="11">
        <v>34.0</v>
      </c>
      <c r="W39" s="19"/>
      <c r="X39" s="9" t="s">
        <v>12</v>
      </c>
      <c r="Y39" s="10">
        <v>450.9</v>
      </c>
      <c r="Z39" s="10">
        <v>36.0</v>
      </c>
      <c r="AA39" s="10">
        <v>466.9</v>
      </c>
      <c r="AB39" s="14">
        <v>1571.5</v>
      </c>
      <c r="AC39" s="11">
        <v>12.0</v>
      </c>
      <c r="AD39" s="19"/>
      <c r="AE39" s="9" t="s">
        <v>12</v>
      </c>
      <c r="AF39" s="20">
        <v>144.0</v>
      </c>
      <c r="AG39" s="10">
        <v>60.0</v>
      </c>
      <c r="AH39" s="10">
        <v>162.0</v>
      </c>
      <c r="AI39" s="14">
        <v>2059.5</v>
      </c>
      <c r="AJ39" s="11">
        <v>5.0</v>
      </c>
      <c r="AL39" s="19"/>
      <c r="AM39" s="9" t="s">
        <v>12</v>
      </c>
      <c r="AN39" s="10">
        <f t="shared" ref="AN39:AP39" si="47">D39+K39+R39+Y39+AF39</f>
        <v>1643.46</v>
      </c>
      <c r="AO39" s="10">
        <f t="shared" si="47"/>
        <v>96</v>
      </c>
      <c r="AP39" s="10">
        <f t="shared" si="47"/>
        <v>1756.46</v>
      </c>
      <c r="AQ39" s="11">
        <f t="shared" si="48"/>
        <v>60</v>
      </c>
    </row>
    <row r="40">
      <c r="A40" s="19"/>
      <c r="B40" s="19"/>
      <c r="C40" s="63" t="s">
        <v>13</v>
      </c>
      <c r="D40" s="64"/>
      <c r="E40" s="64"/>
      <c r="F40" s="64"/>
      <c r="G40" s="64"/>
      <c r="H40" s="22"/>
      <c r="I40" s="19"/>
      <c r="J40" s="9" t="s">
        <v>14</v>
      </c>
      <c r="K40" s="10"/>
      <c r="L40" s="10"/>
      <c r="M40" s="10"/>
      <c r="N40" s="10"/>
      <c r="O40" s="11"/>
      <c r="P40" s="19"/>
      <c r="Q40" s="9" t="s">
        <v>14</v>
      </c>
      <c r="R40" s="10"/>
      <c r="S40" s="10"/>
      <c r="T40" s="10"/>
      <c r="U40" s="10"/>
      <c r="V40" s="11"/>
      <c r="W40" s="19"/>
      <c r="X40" s="9" t="s">
        <v>14</v>
      </c>
      <c r="Y40" s="10"/>
      <c r="Z40" s="10"/>
      <c r="AA40" s="10"/>
      <c r="AB40" s="10"/>
      <c r="AC40" s="11"/>
      <c r="AD40" s="19"/>
      <c r="AE40" s="9" t="s">
        <v>14</v>
      </c>
      <c r="AF40" s="10"/>
      <c r="AG40" s="10"/>
      <c r="AH40" s="10"/>
      <c r="AI40" s="10"/>
      <c r="AJ40" s="11"/>
      <c r="AL40" s="19"/>
      <c r="AM40" s="9" t="s">
        <v>14</v>
      </c>
      <c r="AN40" s="10">
        <f t="shared" ref="AN40:AP40" si="49">D40+K40+R40+Y40+AF40</f>
        <v>0</v>
      </c>
      <c r="AO40" s="10">
        <f t="shared" si="49"/>
        <v>0</v>
      </c>
      <c r="AP40" s="10">
        <f t="shared" si="49"/>
        <v>0</v>
      </c>
      <c r="AQ40" s="11">
        <f t="shared" si="48"/>
        <v>0</v>
      </c>
    </row>
    <row r="41">
      <c r="A41" s="19"/>
      <c r="B41" s="19"/>
      <c r="C41" s="63" t="s">
        <v>16</v>
      </c>
      <c r="D41" s="64"/>
      <c r="E41" s="64"/>
      <c r="F41" s="64"/>
      <c r="G41" s="64"/>
      <c r="H41" s="22"/>
      <c r="I41" s="19"/>
      <c r="J41" s="15" t="s">
        <v>16</v>
      </c>
      <c r="K41" s="13">
        <v>1699.0</v>
      </c>
      <c r="L41" s="10">
        <v>73.0</v>
      </c>
      <c r="M41" s="17">
        <v>1967.3</v>
      </c>
      <c r="N41" s="24">
        <v>5480.47</v>
      </c>
      <c r="O41" s="11">
        <v>46.0</v>
      </c>
      <c r="P41" s="19"/>
      <c r="Q41" s="9" t="s">
        <v>16</v>
      </c>
      <c r="R41" s="13">
        <v>1784.4</v>
      </c>
      <c r="S41" s="10">
        <v>39.0</v>
      </c>
      <c r="T41" s="10">
        <v>1745.4</v>
      </c>
      <c r="U41" s="10">
        <v>5683.27</v>
      </c>
      <c r="V41" s="11">
        <v>62.0</v>
      </c>
      <c r="W41" s="19"/>
      <c r="X41" s="15" t="s">
        <v>16</v>
      </c>
      <c r="Y41" s="13">
        <v>1783.4</v>
      </c>
      <c r="Z41" s="21">
        <v>442.8</v>
      </c>
      <c r="AA41" s="10">
        <v>2057.1</v>
      </c>
      <c r="AB41" s="24">
        <v>6202.08</v>
      </c>
      <c r="AC41" s="11">
        <v>68.0</v>
      </c>
      <c r="AD41" s="19"/>
      <c r="AE41" s="9" t="s">
        <v>16</v>
      </c>
      <c r="AF41" s="20">
        <v>1169.9</v>
      </c>
      <c r="AG41" s="21">
        <v>1022.9</v>
      </c>
      <c r="AH41" s="10">
        <v>1019.0</v>
      </c>
      <c r="AI41" s="24">
        <v>5255.43</v>
      </c>
      <c r="AJ41" s="11">
        <v>58.0</v>
      </c>
      <c r="AL41" s="19"/>
      <c r="AM41" s="9" t="s">
        <v>16</v>
      </c>
      <c r="AN41" s="10">
        <f t="shared" ref="AN41:AP41" si="50">D41+K41+R41+Y41+AF41</f>
        <v>6436.7</v>
      </c>
      <c r="AO41" s="10">
        <f t="shared" si="50"/>
        <v>1577.7</v>
      </c>
      <c r="AP41" s="10">
        <f t="shared" si="50"/>
        <v>6788.8</v>
      </c>
      <c r="AQ41" s="11">
        <f t="shared" si="48"/>
        <v>234</v>
      </c>
    </row>
    <row r="42">
      <c r="A42" s="19"/>
      <c r="B42" s="19"/>
      <c r="C42" s="63" t="s">
        <v>17</v>
      </c>
      <c r="D42" s="64"/>
      <c r="E42" s="64"/>
      <c r="F42" s="64"/>
      <c r="G42" s="64"/>
      <c r="H42" s="22"/>
      <c r="I42" s="19"/>
      <c r="J42" s="9" t="s">
        <v>17</v>
      </c>
      <c r="K42" s="13">
        <v>809.0</v>
      </c>
      <c r="L42" s="10">
        <v>0.0</v>
      </c>
      <c r="M42" s="17">
        <v>960.0</v>
      </c>
      <c r="N42" s="16">
        <v>1084.9</v>
      </c>
      <c r="O42" s="11">
        <v>38.0</v>
      </c>
      <c r="P42" s="19"/>
      <c r="Q42" s="9" t="s">
        <v>17</v>
      </c>
      <c r="R42" s="13">
        <v>1079.5</v>
      </c>
      <c r="S42" s="10">
        <v>0.0</v>
      </c>
      <c r="T42" s="10">
        <v>1342.5</v>
      </c>
      <c r="U42" s="10">
        <v>1389.35</v>
      </c>
      <c r="V42" s="11">
        <v>48.0</v>
      </c>
      <c r="W42" s="19"/>
      <c r="X42" s="9" t="s">
        <v>17</v>
      </c>
      <c r="Y42" s="13">
        <v>1321.7</v>
      </c>
      <c r="Z42" s="10">
        <v>0.0</v>
      </c>
      <c r="AA42" s="10">
        <v>1321.7</v>
      </c>
      <c r="AB42" s="14">
        <v>1596.35</v>
      </c>
      <c r="AC42" s="11">
        <v>45.0</v>
      </c>
      <c r="AD42" s="19"/>
      <c r="AE42" s="9" t="s">
        <v>17</v>
      </c>
      <c r="AF42" s="20">
        <v>285.0</v>
      </c>
      <c r="AG42" s="10">
        <v>144.0</v>
      </c>
      <c r="AH42" s="10">
        <v>141.0</v>
      </c>
      <c r="AI42" s="21">
        <v>1928.35</v>
      </c>
      <c r="AJ42" s="11">
        <v>20.0</v>
      </c>
      <c r="AL42" s="19"/>
      <c r="AM42" s="9" t="s">
        <v>17</v>
      </c>
      <c r="AN42" s="10">
        <f t="shared" ref="AN42:AP42" si="51">D42+K42+R42+Y42+AF42</f>
        <v>3495.2</v>
      </c>
      <c r="AO42" s="10">
        <f t="shared" si="51"/>
        <v>144</v>
      </c>
      <c r="AP42" s="10">
        <f t="shared" si="51"/>
        <v>3765.2</v>
      </c>
      <c r="AQ42" s="11">
        <f t="shared" si="48"/>
        <v>151</v>
      </c>
    </row>
    <row r="43">
      <c r="A43" s="19"/>
      <c r="B43" s="19"/>
      <c r="C43" s="63" t="s">
        <v>18</v>
      </c>
      <c r="D43" s="64"/>
      <c r="E43" s="64"/>
      <c r="F43" s="64"/>
      <c r="G43" s="64"/>
      <c r="H43" s="22"/>
      <c r="I43" s="19"/>
      <c r="J43" s="15" t="s">
        <v>18</v>
      </c>
      <c r="K43" s="10">
        <v>0.0</v>
      </c>
      <c r="L43" s="10">
        <v>0.0</v>
      </c>
      <c r="M43" s="10">
        <v>200.0</v>
      </c>
      <c r="N43" s="10">
        <v>384.7</v>
      </c>
      <c r="O43" s="11">
        <v>0.0</v>
      </c>
      <c r="P43" s="19"/>
      <c r="Q43" s="9" t="s">
        <v>18</v>
      </c>
      <c r="R43" s="10"/>
      <c r="S43" s="10"/>
      <c r="T43" s="10"/>
      <c r="U43" s="10">
        <v>384.7</v>
      </c>
      <c r="V43" s="11"/>
      <c r="W43" s="19"/>
      <c r="X43" s="9" t="s">
        <v>18</v>
      </c>
      <c r="Y43" s="10"/>
      <c r="Z43" s="10"/>
      <c r="AA43" s="10"/>
      <c r="AB43" s="10"/>
      <c r="AC43" s="11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2">D43+K43+R43+Y43+AF43</f>
        <v>0</v>
      </c>
      <c r="AO43" s="10">
        <f t="shared" si="52"/>
        <v>0</v>
      </c>
      <c r="AP43" s="10">
        <f t="shared" si="52"/>
        <v>200</v>
      </c>
      <c r="AQ43" s="11">
        <f t="shared" si="48"/>
        <v>0</v>
      </c>
    </row>
    <row r="44">
      <c r="A44" s="19"/>
      <c r="B44" s="19"/>
      <c r="C44" s="63" t="s">
        <v>20</v>
      </c>
      <c r="D44" s="64"/>
      <c r="E44" s="64"/>
      <c r="F44" s="64"/>
      <c r="G44" s="64"/>
      <c r="H44" s="22"/>
      <c r="I44" s="19"/>
      <c r="J44" s="15" t="s">
        <v>19</v>
      </c>
      <c r="K44" s="13">
        <v>695.9</v>
      </c>
      <c r="L44" s="10">
        <v>0.0</v>
      </c>
      <c r="M44" s="17">
        <v>795.9</v>
      </c>
      <c r="N44" s="14">
        <v>2382.34</v>
      </c>
      <c r="O44" s="11">
        <v>26.0</v>
      </c>
      <c r="P44" s="19"/>
      <c r="Q44" s="9" t="s">
        <v>19</v>
      </c>
      <c r="R44" s="10">
        <v>573.9</v>
      </c>
      <c r="S44" s="10">
        <v>0.0</v>
      </c>
      <c r="T44" s="10">
        <v>733.7</v>
      </c>
      <c r="U44" s="10">
        <v>2570.54</v>
      </c>
      <c r="V44" s="11">
        <v>27.0</v>
      </c>
      <c r="W44" s="19"/>
      <c r="X44" s="9" t="s">
        <v>19</v>
      </c>
      <c r="Y44" s="13">
        <v>1284.6</v>
      </c>
      <c r="Z44" s="10">
        <v>219.6</v>
      </c>
      <c r="AA44" s="10">
        <v>1065.0</v>
      </c>
      <c r="AB44" s="14">
        <v>2898.69</v>
      </c>
      <c r="AC44" s="11">
        <v>34.0</v>
      </c>
      <c r="AD44" s="19"/>
      <c r="AE44" s="9" t="s">
        <v>19</v>
      </c>
      <c r="AF44" s="20">
        <v>309.9</v>
      </c>
      <c r="AG44" s="10">
        <v>54.0</v>
      </c>
      <c r="AH44" s="10">
        <v>255.9</v>
      </c>
      <c r="AI44" s="14">
        <v>2426.29</v>
      </c>
      <c r="AJ44" s="11">
        <v>10.0</v>
      </c>
      <c r="AL44" s="19"/>
      <c r="AM44" s="9" t="s">
        <v>19</v>
      </c>
      <c r="AN44" s="10">
        <f t="shared" ref="AN44:AP44" si="53">D44+K44+R44+Y44+AF44</f>
        <v>2864.3</v>
      </c>
      <c r="AO44" s="10">
        <f t="shared" si="53"/>
        <v>273.6</v>
      </c>
      <c r="AP44" s="10">
        <f t="shared" si="53"/>
        <v>2850.5</v>
      </c>
      <c r="AQ44" s="11">
        <f t="shared" si="48"/>
        <v>97</v>
      </c>
    </row>
    <row r="45">
      <c r="A45" s="19"/>
      <c r="B45" s="19"/>
      <c r="C45" s="65" t="s">
        <v>21</v>
      </c>
      <c r="D45" s="64"/>
      <c r="E45" s="64"/>
      <c r="F45" s="64"/>
      <c r="G45" s="64"/>
      <c r="H45" s="22"/>
      <c r="I45" s="19"/>
      <c r="J45" s="27" t="s">
        <v>21</v>
      </c>
      <c r="K45" s="20">
        <v>1288.7</v>
      </c>
      <c r="L45" s="10">
        <v>36.0</v>
      </c>
      <c r="M45" s="17">
        <v>1379.6</v>
      </c>
      <c r="N45" s="24">
        <v>5330.26</v>
      </c>
      <c r="O45" s="11">
        <v>57.0</v>
      </c>
      <c r="P45" s="19"/>
      <c r="Q45" s="26" t="s">
        <v>21</v>
      </c>
      <c r="R45" s="13">
        <v>2280.6</v>
      </c>
      <c r="S45" s="10">
        <v>687.8</v>
      </c>
      <c r="T45" s="10">
        <v>1776.6</v>
      </c>
      <c r="U45" s="10">
        <v>6722.73</v>
      </c>
      <c r="V45" s="11">
        <v>85.0</v>
      </c>
      <c r="W45" s="19"/>
      <c r="X45" s="26" t="s">
        <v>22</v>
      </c>
      <c r="Y45" s="13">
        <v>2510.9</v>
      </c>
      <c r="Z45" s="10">
        <v>268.0</v>
      </c>
      <c r="AA45" s="10">
        <v>2512.9</v>
      </c>
      <c r="AB45" s="24">
        <v>5872.03</v>
      </c>
      <c r="AC45" s="11">
        <v>97.0</v>
      </c>
      <c r="AD45" s="19"/>
      <c r="AE45" s="26" t="s">
        <v>21</v>
      </c>
      <c r="AF45" s="10">
        <v>1898.5</v>
      </c>
      <c r="AG45" s="21">
        <v>366.0</v>
      </c>
      <c r="AH45" s="10">
        <v>1653.5</v>
      </c>
      <c r="AI45" s="10">
        <v>6261.61</v>
      </c>
      <c r="AJ45" s="11">
        <v>98.0</v>
      </c>
      <c r="AL45" s="19"/>
      <c r="AM45" s="26" t="s">
        <v>21</v>
      </c>
      <c r="AN45" s="10">
        <f t="shared" ref="AN45:AP45" si="54">D45+K45+R45+Y45+AF45</f>
        <v>7978.7</v>
      </c>
      <c r="AO45" s="10">
        <f t="shared" si="54"/>
        <v>1357.8</v>
      </c>
      <c r="AP45" s="10">
        <f t="shared" si="54"/>
        <v>7322.6</v>
      </c>
      <c r="AQ45" s="11">
        <f t="shared" si="48"/>
        <v>337</v>
      </c>
    </row>
    <row r="46">
      <c r="A46" s="19"/>
      <c r="B46" s="19"/>
      <c r="C46" s="28" t="s">
        <v>23</v>
      </c>
      <c r="D46" s="61">
        <f t="shared" ref="D46:H46" si="55">D38+D39+D40+D41+D42+D43+D44+D45</f>
        <v>0</v>
      </c>
      <c r="E46" s="35">
        <f t="shared" si="55"/>
        <v>0</v>
      </c>
      <c r="F46" s="36">
        <f t="shared" si="55"/>
        <v>0</v>
      </c>
      <c r="G46" s="37">
        <f t="shared" si="55"/>
        <v>0</v>
      </c>
      <c r="H46" s="33">
        <f t="shared" si="55"/>
        <v>0</v>
      </c>
      <c r="I46" s="19"/>
      <c r="J46" s="28" t="s">
        <v>23</v>
      </c>
      <c r="K46" s="29">
        <f t="shared" ref="K46:O46" si="56">K38+K39+K40+K41+K42+K43+K44+K45</f>
        <v>5774.1</v>
      </c>
      <c r="L46" s="35">
        <f t="shared" si="56"/>
        <v>109</v>
      </c>
      <c r="M46" s="31">
        <f t="shared" si="56"/>
        <v>6915.1</v>
      </c>
      <c r="N46" s="37">
        <f t="shared" si="56"/>
        <v>18086.31</v>
      </c>
      <c r="O46" s="33">
        <f t="shared" si="56"/>
        <v>218</v>
      </c>
      <c r="P46" s="19"/>
      <c r="Q46" s="28" t="s">
        <v>23</v>
      </c>
      <c r="R46" s="29">
        <f t="shared" ref="R46:V46" si="57">R38+R39+R40+R41+R42+R43+R44+R45</f>
        <v>6813.66</v>
      </c>
      <c r="S46" s="30">
        <f t="shared" si="57"/>
        <v>726.8</v>
      </c>
      <c r="T46" s="31">
        <f t="shared" si="57"/>
        <v>6751.46</v>
      </c>
      <c r="U46" s="37">
        <f t="shared" si="57"/>
        <v>19197.84</v>
      </c>
      <c r="V46" s="33">
        <f t="shared" si="57"/>
        <v>262</v>
      </c>
      <c r="W46" s="19"/>
      <c r="X46" s="66" t="s">
        <v>23</v>
      </c>
      <c r="Y46" s="61">
        <f t="shared" ref="Y46:AC46" si="58">Y38+Y39+Y40+Y41+Y42+Y43+Y44+Y45</f>
        <v>8124.5</v>
      </c>
      <c r="Z46" s="30">
        <f t="shared" si="58"/>
        <v>1152.4</v>
      </c>
      <c r="AA46" s="36">
        <f t="shared" si="58"/>
        <v>8010.6</v>
      </c>
      <c r="AB46" s="37">
        <f t="shared" si="58"/>
        <v>19168.55</v>
      </c>
      <c r="AC46" s="33">
        <f t="shared" si="58"/>
        <v>291</v>
      </c>
      <c r="AD46" s="19"/>
      <c r="AE46" s="28" t="s">
        <v>23</v>
      </c>
      <c r="AF46" s="29">
        <f t="shared" ref="AF46:AJ46" si="59">AF38+AF39+AF40+AF41+AF42+AF43+AF44+AF45</f>
        <v>4058.3</v>
      </c>
      <c r="AG46" s="30">
        <f t="shared" si="59"/>
        <v>1807.9</v>
      </c>
      <c r="AH46" s="31">
        <f t="shared" si="59"/>
        <v>3321.4</v>
      </c>
      <c r="AI46" s="37">
        <f t="shared" si="59"/>
        <v>18873.18</v>
      </c>
      <c r="AJ46" s="33">
        <f t="shared" si="59"/>
        <v>199</v>
      </c>
      <c r="AL46" s="19"/>
      <c r="AM46" s="28" t="s">
        <v>23</v>
      </c>
      <c r="AN46" s="41">
        <f t="shared" ref="AN46:AQ46" si="60">AN38+AN39+AN40+AN41+AN42+AN43+AN44+AN45</f>
        <v>24770.56</v>
      </c>
      <c r="AO46" s="42">
        <f t="shared" si="60"/>
        <v>3796.1</v>
      </c>
      <c r="AP46" s="43">
        <f t="shared" si="60"/>
        <v>24998.56</v>
      </c>
      <c r="AQ46" s="44">
        <f t="shared" si="60"/>
        <v>970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5665.1</v>
      </c>
      <c r="L47" s="47"/>
      <c r="M47" s="48"/>
      <c r="N47" s="51"/>
      <c r="O47" s="51"/>
      <c r="P47" s="19"/>
      <c r="Q47" s="45" t="s">
        <v>24</v>
      </c>
      <c r="R47" s="50">
        <f>R46-S46</f>
        <v>6086.86</v>
      </c>
      <c r="S47" s="47"/>
      <c r="T47" s="48"/>
      <c r="U47" s="51"/>
      <c r="V47" s="51"/>
      <c r="W47" s="19"/>
      <c r="X47" s="45" t="s">
        <v>24</v>
      </c>
      <c r="Y47" s="50">
        <f>Y46-Z46</f>
        <v>6972.1</v>
      </c>
      <c r="Z47" s="47"/>
      <c r="AA47" s="48"/>
      <c r="AB47" s="51"/>
      <c r="AC47" s="51"/>
      <c r="AD47" s="19"/>
      <c r="AE47" s="45" t="s">
        <v>24</v>
      </c>
      <c r="AF47" s="50">
        <f>AF46-AG46</f>
        <v>2250.4</v>
      </c>
      <c r="AG47" s="47"/>
      <c r="AH47" s="48"/>
      <c r="AI47" s="51"/>
      <c r="AJ47" s="51"/>
      <c r="AL47" s="53"/>
      <c r="AM47" s="45" t="s">
        <v>25</v>
      </c>
      <c r="AN47" s="50">
        <f>AN46-AO46</f>
        <v>20974.46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6806.1</v>
      </c>
      <c r="L48" s="47"/>
      <c r="M48" s="48"/>
      <c r="N48" s="51"/>
      <c r="O48" s="51"/>
      <c r="P48" s="53"/>
      <c r="Q48" s="56" t="s">
        <v>26</v>
      </c>
      <c r="R48" s="57">
        <f>T46-S46</f>
        <v>6024.66</v>
      </c>
      <c r="S48" s="47"/>
      <c r="T48" s="48"/>
      <c r="U48" s="51"/>
      <c r="V48" s="51"/>
      <c r="W48" s="53"/>
      <c r="X48" s="56" t="s">
        <v>26</v>
      </c>
      <c r="Y48" s="57">
        <f>AA46-Z46</f>
        <v>6858.2</v>
      </c>
      <c r="Z48" s="47"/>
      <c r="AA48" s="48"/>
      <c r="AB48" s="51"/>
      <c r="AC48" s="51"/>
      <c r="AD48" s="53"/>
      <c r="AE48" s="56" t="s">
        <v>26</v>
      </c>
      <c r="AF48" s="57">
        <f>AH46-AG46</f>
        <v>1513.5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2" t="s">
        <v>1</v>
      </c>
      <c r="D49" s="3" t="s">
        <v>2</v>
      </c>
      <c r="E49" s="2" t="s">
        <v>3</v>
      </c>
      <c r="F49" s="2" t="s">
        <v>4</v>
      </c>
      <c r="G49" s="2" t="s">
        <v>5</v>
      </c>
      <c r="H49" s="5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2" t="s">
        <v>1</v>
      </c>
      <c r="R49" s="4" t="s">
        <v>7</v>
      </c>
      <c r="S49" s="2" t="s">
        <v>3</v>
      </c>
      <c r="T49" s="2" t="s">
        <v>4</v>
      </c>
      <c r="U49" s="2" t="s">
        <v>5</v>
      </c>
      <c r="V49" s="5" t="s">
        <v>6</v>
      </c>
      <c r="W49" s="68" t="s">
        <v>0</v>
      </c>
      <c r="X49" s="2" t="s">
        <v>1</v>
      </c>
      <c r="Y49" s="4" t="s">
        <v>7</v>
      </c>
      <c r="Z49" s="2" t="s">
        <v>3</v>
      </c>
      <c r="AA49" s="2" t="s">
        <v>4</v>
      </c>
      <c r="AB49" s="2" t="s">
        <v>5</v>
      </c>
      <c r="AC49" s="5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>
        <v>45659.0</v>
      </c>
      <c r="C50" s="9" t="s">
        <v>10</v>
      </c>
      <c r="D50" s="13">
        <v>846.9</v>
      </c>
      <c r="E50" s="21">
        <v>329.0</v>
      </c>
      <c r="F50" s="10">
        <v>517.9</v>
      </c>
      <c r="G50" s="14">
        <v>2133.44</v>
      </c>
      <c r="H50" s="11">
        <v>38.0</v>
      </c>
      <c r="I50" s="12">
        <v>45666.0</v>
      </c>
      <c r="J50" s="9" t="s">
        <v>10</v>
      </c>
      <c r="K50" s="10">
        <v>547.8</v>
      </c>
      <c r="L50" s="10">
        <v>36.0</v>
      </c>
      <c r="M50" s="10">
        <v>511.8</v>
      </c>
      <c r="N50" s="14">
        <v>2520.04</v>
      </c>
      <c r="O50" s="11">
        <v>25.0</v>
      </c>
      <c r="P50" s="8">
        <v>45673.0</v>
      </c>
      <c r="Q50" s="9" t="s">
        <v>10</v>
      </c>
      <c r="R50" s="20">
        <v>373.1</v>
      </c>
      <c r="S50" s="10">
        <v>164.0</v>
      </c>
      <c r="T50" s="10">
        <v>189.1</v>
      </c>
      <c r="U50" s="10">
        <v>1167.75</v>
      </c>
      <c r="V50" s="11">
        <v>16.0</v>
      </c>
      <c r="W50" s="8">
        <v>45680.0</v>
      </c>
      <c r="X50" s="9" t="s">
        <v>10</v>
      </c>
      <c r="Y50" s="20">
        <v>202.9</v>
      </c>
      <c r="Z50" s="10">
        <v>28.0</v>
      </c>
      <c r="AA50" s="10">
        <v>257.8</v>
      </c>
      <c r="AB50" s="16">
        <v>973.0</v>
      </c>
      <c r="AC50" s="11">
        <v>8.0</v>
      </c>
      <c r="AD50" s="8">
        <v>45687.0</v>
      </c>
      <c r="AE50" s="9" t="s">
        <v>10</v>
      </c>
      <c r="AF50" s="13">
        <v>1192.9</v>
      </c>
      <c r="AG50" s="10">
        <v>164.0</v>
      </c>
      <c r="AH50" s="10">
        <v>1112.8</v>
      </c>
      <c r="AI50" s="16">
        <v>1001.1</v>
      </c>
      <c r="AJ50" s="11">
        <v>64.0</v>
      </c>
      <c r="AL50" s="18" t="s">
        <v>38</v>
      </c>
      <c r="AM50" s="9" t="s">
        <v>10</v>
      </c>
      <c r="AN50" s="10">
        <f t="shared" ref="AN50:AP50" si="61">D50+K50+R50+Y50+AF50</f>
        <v>3163.6</v>
      </c>
      <c r="AO50" s="10">
        <f t="shared" si="61"/>
        <v>721</v>
      </c>
      <c r="AP50" s="10">
        <f t="shared" si="61"/>
        <v>2589.4</v>
      </c>
      <c r="AQ50" s="11">
        <f t="shared" ref="AQ50:AQ57" si="63">H50+O50+V50+AC50+AJ50</f>
        <v>151</v>
      </c>
    </row>
    <row r="51">
      <c r="A51" s="19"/>
      <c r="B51" s="19"/>
      <c r="C51" s="9" t="s">
        <v>12</v>
      </c>
      <c r="D51" s="20">
        <v>490.9</v>
      </c>
      <c r="E51" s="10">
        <v>21.0</v>
      </c>
      <c r="F51" s="10">
        <v>469.9</v>
      </c>
      <c r="G51" s="16">
        <v>797.6</v>
      </c>
      <c r="H51" s="11">
        <v>14.0</v>
      </c>
      <c r="I51" s="19"/>
      <c r="J51" s="9" t="s">
        <v>12</v>
      </c>
      <c r="K51" s="13">
        <v>855.7</v>
      </c>
      <c r="L51" s="10">
        <v>300.0</v>
      </c>
      <c r="M51" s="10">
        <v>555.7</v>
      </c>
      <c r="N51" s="10">
        <v>1239.6</v>
      </c>
      <c r="O51" s="11">
        <v>26.0</v>
      </c>
      <c r="P51" s="19"/>
      <c r="Q51" s="9" t="s">
        <v>32</v>
      </c>
      <c r="R51" s="10">
        <v>526.0</v>
      </c>
      <c r="S51" s="10">
        <v>66.0</v>
      </c>
      <c r="T51" s="10">
        <v>460.0</v>
      </c>
      <c r="U51" s="10">
        <v>1383.5</v>
      </c>
      <c r="V51" s="11">
        <v>39.0</v>
      </c>
      <c r="W51" s="19"/>
      <c r="X51" s="9" t="s">
        <v>12</v>
      </c>
      <c r="Y51" s="13">
        <v>1021.9</v>
      </c>
      <c r="Z51" s="10">
        <v>0.0</v>
      </c>
      <c r="AA51" s="10">
        <v>1039.9</v>
      </c>
      <c r="AB51" s="21">
        <v>1553.5</v>
      </c>
      <c r="AC51" s="11">
        <v>33.0</v>
      </c>
      <c r="AD51" s="19"/>
      <c r="AE51" s="9" t="s">
        <v>12</v>
      </c>
      <c r="AF51" s="13">
        <v>818.8</v>
      </c>
      <c r="AG51" s="21">
        <v>353.9</v>
      </c>
      <c r="AH51" s="10">
        <v>764.9</v>
      </c>
      <c r="AI51" s="14">
        <v>2113.4</v>
      </c>
      <c r="AJ51" s="11">
        <v>32.0</v>
      </c>
      <c r="AL51" s="19"/>
      <c r="AM51" s="9" t="s">
        <v>12</v>
      </c>
      <c r="AN51" s="10">
        <f t="shared" ref="AN51:AP51" si="62">D51+K51+R51+Y51+AF51</f>
        <v>3713.3</v>
      </c>
      <c r="AO51" s="10">
        <f t="shared" si="62"/>
        <v>740.9</v>
      </c>
      <c r="AP51" s="10">
        <f t="shared" si="62"/>
        <v>3290.4</v>
      </c>
      <c r="AQ51" s="11">
        <f t="shared" si="63"/>
        <v>144</v>
      </c>
    </row>
    <row r="52">
      <c r="A52" s="19"/>
      <c r="B52" s="19"/>
      <c r="C52" s="9" t="s">
        <v>13</v>
      </c>
      <c r="D52" s="10"/>
      <c r="E52" s="10"/>
      <c r="F52" s="10"/>
      <c r="G52" s="10"/>
      <c r="H52" s="11"/>
      <c r="I52" s="19"/>
      <c r="J52" s="9" t="s">
        <v>14</v>
      </c>
      <c r="K52" s="10"/>
      <c r="L52" s="10"/>
      <c r="M52" s="10"/>
      <c r="N52" s="10"/>
      <c r="O52" s="11"/>
      <c r="P52" s="19"/>
      <c r="Q52" s="9" t="s">
        <v>14</v>
      </c>
      <c r="R52" s="10"/>
      <c r="S52" s="10"/>
      <c r="T52" s="10"/>
      <c r="U52" s="10"/>
      <c r="V52" s="11"/>
      <c r="W52" s="19"/>
      <c r="X52" s="9" t="s">
        <v>14</v>
      </c>
      <c r="Y52" s="10"/>
      <c r="Z52" s="10"/>
      <c r="AA52" s="10"/>
      <c r="AB52" s="10"/>
      <c r="AC52" s="11"/>
      <c r="AD52" s="19"/>
      <c r="AE52" s="9" t="s">
        <v>14</v>
      </c>
      <c r="AF52" s="10"/>
      <c r="AG52" s="10"/>
      <c r="AH52" s="10"/>
      <c r="AI52" s="10"/>
      <c r="AJ52" s="11"/>
      <c r="AL52" s="19"/>
      <c r="AM52" s="9" t="s">
        <v>14</v>
      </c>
      <c r="AN52" s="10">
        <f t="shared" ref="AN52:AP52" si="64">D52+K52+R52+Y52+AF52</f>
        <v>0</v>
      </c>
      <c r="AO52" s="10">
        <f t="shared" si="64"/>
        <v>0</v>
      </c>
      <c r="AP52" s="10">
        <f t="shared" si="64"/>
        <v>0</v>
      </c>
      <c r="AQ52" s="11">
        <f t="shared" si="63"/>
        <v>0</v>
      </c>
    </row>
    <row r="53">
      <c r="A53" s="19"/>
      <c r="B53" s="19"/>
      <c r="C53" s="9" t="s">
        <v>16</v>
      </c>
      <c r="D53" s="10">
        <v>1257.3</v>
      </c>
      <c r="E53" s="21">
        <v>430.0</v>
      </c>
      <c r="F53" s="10">
        <v>1162.3</v>
      </c>
      <c r="G53" s="69">
        <v>6537.43</v>
      </c>
      <c r="H53" s="11">
        <v>43.0</v>
      </c>
      <c r="I53" s="19"/>
      <c r="J53" s="9" t="s">
        <v>15</v>
      </c>
      <c r="K53" s="13">
        <v>2098.9</v>
      </c>
      <c r="L53" s="14">
        <v>1052.6</v>
      </c>
      <c r="M53" s="17">
        <v>2527.2</v>
      </c>
      <c r="N53" s="10">
        <v>5052.17</v>
      </c>
      <c r="O53" s="22">
        <v>99.0</v>
      </c>
      <c r="P53" s="19"/>
      <c r="Q53" s="9" t="s">
        <v>16</v>
      </c>
      <c r="R53" s="20">
        <v>1333.05</v>
      </c>
      <c r="S53" s="10">
        <v>84.0</v>
      </c>
      <c r="T53" s="10">
        <v>1380.05</v>
      </c>
      <c r="U53" s="10">
        <v>5636.27</v>
      </c>
      <c r="V53" s="11">
        <v>44.0</v>
      </c>
      <c r="W53" s="19"/>
      <c r="X53" s="9" t="s">
        <v>16</v>
      </c>
      <c r="Y53" s="10">
        <v>1561.8</v>
      </c>
      <c r="Z53" s="14">
        <v>727.9</v>
      </c>
      <c r="AA53" s="10">
        <v>1095.9</v>
      </c>
      <c r="AB53" s="24">
        <v>6604.98</v>
      </c>
      <c r="AC53" s="11">
        <v>73.0</v>
      </c>
      <c r="AD53" s="19"/>
      <c r="AE53" s="9" t="s">
        <v>16</v>
      </c>
      <c r="AF53" s="13">
        <v>2171.9</v>
      </c>
      <c r="AG53" s="10">
        <v>22.0</v>
      </c>
      <c r="AH53" s="17">
        <v>2266.9</v>
      </c>
      <c r="AI53" s="24">
        <v>5160.43</v>
      </c>
      <c r="AJ53" s="11">
        <v>52.0</v>
      </c>
      <c r="AL53" s="19"/>
      <c r="AM53" s="9" t="s">
        <v>16</v>
      </c>
      <c r="AN53" s="10">
        <f t="shared" ref="AN53:AP53" si="65">D53+K53+R53+Y53+AF53</f>
        <v>8422.95</v>
      </c>
      <c r="AO53" s="10">
        <f t="shared" si="65"/>
        <v>2316.5</v>
      </c>
      <c r="AP53" s="10">
        <f t="shared" si="65"/>
        <v>8432.35</v>
      </c>
      <c r="AQ53" s="11">
        <f t="shared" si="63"/>
        <v>311</v>
      </c>
    </row>
    <row r="54">
      <c r="A54" s="19"/>
      <c r="B54" s="19"/>
      <c r="C54" s="9" t="s">
        <v>17</v>
      </c>
      <c r="D54" s="20">
        <v>348.0</v>
      </c>
      <c r="E54" s="10">
        <v>0.0</v>
      </c>
      <c r="F54" s="10">
        <v>348.0</v>
      </c>
      <c r="G54" s="21">
        <v>1295.9</v>
      </c>
      <c r="H54" s="11">
        <v>19.0</v>
      </c>
      <c r="I54" s="19"/>
      <c r="J54" s="9" t="s">
        <v>17</v>
      </c>
      <c r="K54" s="13">
        <v>864.9</v>
      </c>
      <c r="L54" s="10">
        <v>0.0</v>
      </c>
      <c r="M54" s="17">
        <v>864.9</v>
      </c>
      <c r="N54" s="10">
        <v>1084.9</v>
      </c>
      <c r="O54" s="11">
        <v>35.0</v>
      </c>
      <c r="P54" s="19"/>
      <c r="Q54" s="9" t="s">
        <v>17</v>
      </c>
      <c r="R54" s="13">
        <v>1294.9</v>
      </c>
      <c r="S54" s="10">
        <v>0.0</v>
      </c>
      <c r="T54" s="10">
        <v>1294.9</v>
      </c>
      <c r="U54" s="10">
        <v>1389.35</v>
      </c>
      <c r="V54" s="11">
        <v>61.0</v>
      </c>
      <c r="W54" s="19"/>
      <c r="X54" s="9" t="s">
        <v>17</v>
      </c>
      <c r="Y54" s="13">
        <v>668.0</v>
      </c>
      <c r="Z54" s="10">
        <v>0.0</v>
      </c>
      <c r="AA54" s="10">
        <v>720.0</v>
      </c>
      <c r="AB54" s="21">
        <v>1544.35</v>
      </c>
      <c r="AC54" s="11">
        <v>33.0</v>
      </c>
      <c r="AD54" s="19"/>
      <c r="AE54" s="9" t="s">
        <v>17</v>
      </c>
      <c r="AF54" s="13">
        <v>1363.9</v>
      </c>
      <c r="AG54" s="21">
        <v>303.0</v>
      </c>
      <c r="AH54" s="10">
        <v>1235.9</v>
      </c>
      <c r="AI54" s="14">
        <v>2056.35</v>
      </c>
      <c r="AJ54" s="11">
        <v>56.0</v>
      </c>
      <c r="AL54" s="19"/>
      <c r="AM54" s="9" t="s">
        <v>17</v>
      </c>
      <c r="AN54" s="10">
        <f t="shared" ref="AN54:AP54" si="66">D54+K54+R54+Y54+AF54</f>
        <v>4539.7</v>
      </c>
      <c r="AO54" s="10">
        <f t="shared" si="66"/>
        <v>303</v>
      </c>
      <c r="AP54" s="10">
        <f t="shared" si="66"/>
        <v>4463.7</v>
      </c>
      <c r="AQ54" s="11">
        <f t="shared" si="63"/>
        <v>204</v>
      </c>
    </row>
    <row r="55">
      <c r="A55" s="19"/>
      <c r="B55" s="19"/>
      <c r="C55" s="9" t="s">
        <v>18</v>
      </c>
      <c r="D55" s="10">
        <v>0.0</v>
      </c>
      <c r="E55" s="10">
        <v>0.0</v>
      </c>
      <c r="F55" s="10">
        <v>0.0</v>
      </c>
      <c r="G55" s="10">
        <v>584.7</v>
      </c>
      <c r="H55" s="11">
        <v>0.0</v>
      </c>
      <c r="I55" s="19"/>
      <c r="J55" s="9" t="s">
        <v>18</v>
      </c>
      <c r="K55" s="10">
        <v>0.0</v>
      </c>
      <c r="L55" s="10">
        <v>0.0</v>
      </c>
      <c r="M55" s="10">
        <v>0.0</v>
      </c>
      <c r="N55" s="10">
        <v>384.7</v>
      </c>
      <c r="O55" s="11">
        <v>6.0</v>
      </c>
      <c r="P55" s="19"/>
      <c r="Q55" s="9" t="s">
        <v>29</v>
      </c>
      <c r="R55" s="10"/>
      <c r="S55" s="10"/>
      <c r="T55" s="10"/>
      <c r="U55" s="10">
        <v>384.7</v>
      </c>
      <c r="V55" s="11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7">D55+K55+R55+Y55+AF55</f>
        <v>0</v>
      </c>
      <c r="AO55" s="10">
        <f t="shared" si="67"/>
        <v>0</v>
      </c>
      <c r="AP55" s="10">
        <f t="shared" si="67"/>
        <v>0</v>
      </c>
      <c r="AQ55" s="11">
        <f t="shared" si="63"/>
        <v>6</v>
      </c>
    </row>
    <row r="56">
      <c r="A56" s="19"/>
      <c r="B56" s="19"/>
      <c r="C56" s="9" t="s">
        <v>20</v>
      </c>
      <c r="D56" s="13">
        <v>823.2</v>
      </c>
      <c r="E56" s="10">
        <v>204.3</v>
      </c>
      <c r="F56" s="10">
        <v>636.9</v>
      </c>
      <c r="G56" s="14">
        <v>2019.44</v>
      </c>
      <c r="H56" s="11">
        <v>28.0</v>
      </c>
      <c r="I56" s="19"/>
      <c r="J56" s="9" t="s">
        <v>19</v>
      </c>
      <c r="K56" s="10">
        <v>564.9</v>
      </c>
      <c r="L56" s="10">
        <v>50.0</v>
      </c>
      <c r="M56" s="10">
        <v>514.9</v>
      </c>
      <c r="N56" s="10">
        <v>2432.34</v>
      </c>
      <c r="O56" s="11">
        <v>19.0</v>
      </c>
      <c r="P56" s="19"/>
      <c r="Q56" s="9" t="s">
        <v>19</v>
      </c>
      <c r="R56" s="13">
        <v>730.7</v>
      </c>
      <c r="S56" s="10">
        <v>180.9</v>
      </c>
      <c r="T56" s="10">
        <v>549.8</v>
      </c>
      <c r="U56" s="10">
        <v>2751.44</v>
      </c>
      <c r="V56" s="11">
        <v>27.0</v>
      </c>
      <c r="W56" s="19"/>
      <c r="X56" s="9" t="s">
        <v>19</v>
      </c>
      <c r="Y56" s="10">
        <v>536.7</v>
      </c>
      <c r="Z56" s="10">
        <v>0.0</v>
      </c>
      <c r="AA56" s="10">
        <v>586.7</v>
      </c>
      <c r="AB56" s="14">
        <v>2848.69</v>
      </c>
      <c r="AC56" s="11">
        <v>25.0</v>
      </c>
      <c r="AD56" s="19"/>
      <c r="AE56" s="9" t="s">
        <v>19</v>
      </c>
      <c r="AF56" s="20">
        <v>202.9</v>
      </c>
      <c r="AG56" s="10">
        <v>0.0</v>
      </c>
      <c r="AH56" s="10">
        <v>202.9</v>
      </c>
      <c r="AI56" s="14">
        <v>2426.29</v>
      </c>
      <c r="AJ56" s="11">
        <v>16.0</v>
      </c>
      <c r="AL56" s="19"/>
      <c r="AM56" s="9" t="s">
        <v>19</v>
      </c>
      <c r="AN56" s="10">
        <f t="shared" ref="AN56:AP56" si="68">D56+K56+R56+Y56+AF56</f>
        <v>2858.4</v>
      </c>
      <c r="AO56" s="10">
        <f t="shared" si="68"/>
        <v>435.2</v>
      </c>
      <c r="AP56" s="10">
        <f t="shared" si="68"/>
        <v>2491.2</v>
      </c>
      <c r="AQ56" s="11">
        <f t="shared" si="63"/>
        <v>115</v>
      </c>
    </row>
    <row r="57">
      <c r="A57" s="19"/>
      <c r="B57" s="19"/>
      <c r="C57" s="26" t="s">
        <v>21</v>
      </c>
      <c r="D57" s="13">
        <v>2902.7</v>
      </c>
      <c r="E57" s="10">
        <v>101.0</v>
      </c>
      <c r="F57" s="17">
        <v>3520.93</v>
      </c>
      <c r="G57" s="24">
        <v>6100.96</v>
      </c>
      <c r="H57" s="22">
        <v>131.0</v>
      </c>
      <c r="I57" s="19"/>
      <c r="J57" s="26" t="s">
        <v>21</v>
      </c>
      <c r="K57" s="13">
        <v>2095.3</v>
      </c>
      <c r="L57" s="21">
        <v>333.8</v>
      </c>
      <c r="M57" s="17">
        <v>2122.5</v>
      </c>
      <c r="N57" s="10">
        <v>5303.06</v>
      </c>
      <c r="O57" s="22">
        <v>102.0</v>
      </c>
      <c r="P57" s="19"/>
      <c r="Q57" s="26" t="s">
        <v>21</v>
      </c>
      <c r="R57" s="13">
        <v>1995.22</v>
      </c>
      <c r="S57" s="10">
        <v>213.0</v>
      </c>
      <c r="T57" s="10">
        <v>2107.22</v>
      </c>
      <c r="U57" s="10">
        <v>6610.73</v>
      </c>
      <c r="V57" s="11">
        <v>79.0</v>
      </c>
      <c r="W57" s="19"/>
      <c r="X57" s="26" t="s">
        <v>21</v>
      </c>
      <c r="Y57" s="13">
        <v>3286.1</v>
      </c>
      <c r="Z57" s="10">
        <v>104.9</v>
      </c>
      <c r="AA57" s="10">
        <v>3338.1</v>
      </c>
      <c r="AB57" s="24">
        <v>5820.03</v>
      </c>
      <c r="AC57" s="11">
        <v>118.0</v>
      </c>
      <c r="AD57" s="19"/>
      <c r="AE57" s="26" t="s">
        <v>21</v>
      </c>
      <c r="AF57" s="13">
        <v>3265.6</v>
      </c>
      <c r="AG57" s="21">
        <v>670.8</v>
      </c>
      <c r="AH57" s="10">
        <v>2810.7</v>
      </c>
      <c r="AI57" s="24">
        <v>6690.51</v>
      </c>
      <c r="AJ57" s="22">
        <v>126.0</v>
      </c>
      <c r="AL57" s="19"/>
      <c r="AM57" s="26" t="s">
        <v>21</v>
      </c>
      <c r="AN57" s="10">
        <f t="shared" ref="AN57:AP57" si="69">D57+K57+R57+Y57+AF57</f>
        <v>13544.92</v>
      </c>
      <c r="AO57" s="10">
        <f t="shared" si="69"/>
        <v>1423.5</v>
      </c>
      <c r="AP57" s="10">
        <f t="shared" si="69"/>
        <v>13899.45</v>
      </c>
      <c r="AQ57" s="11">
        <f t="shared" si="63"/>
        <v>556</v>
      </c>
    </row>
    <row r="58">
      <c r="A58" s="19"/>
      <c r="B58" s="19"/>
      <c r="C58" s="28" t="s">
        <v>23</v>
      </c>
      <c r="D58" s="29">
        <f t="shared" ref="D58:H58" si="70">D50+D51+D52+D53+D54+D55+D56+D57</f>
        <v>6669</v>
      </c>
      <c r="E58" s="40">
        <f t="shared" si="70"/>
        <v>1085.3</v>
      </c>
      <c r="F58" s="31">
        <f t="shared" si="70"/>
        <v>6655.93</v>
      </c>
      <c r="G58" s="37">
        <f t="shared" si="70"/>
        <v>19469.47</v>
      </c>
      <c r="H58" s="33">
        <f t="shared" si="70"/>
        <v>273</v>
      </c>
      <c r="I58" s="19"/>
      <c r="J58" s="28" t="s">
        <v>23</v>
      </c>
      <c r="K58" s="61">
        <f t="shared" ref="K58:O58" si="71">K50+K51+K52+K53+K54+K55+K56+K57</f>
        <v>7027.5</v>
      </c>
      <c r="L58" s="30">
        <f t="shared" si="71"/>
        <v>1772.4</v>
      </c>
      <c r="M58" s="31">
        <f t="shared" si="71"/>
        <v>7097</v>
      </c>
      <c r="N58" s="37">
        <f t="shared" si="71"/>
        <v>18016.81</v>
      </c>
      <c r="O58" s="33">
        <f t="shared" si="71"/>
        <v>312</v>
      </c>
      <c r="P58" s="19"/>
      <c r="Q58" s="28" t="s">
        <v>23</v>
      </c>
      <c r="R58" s="61">
        <f t="shared" ref="R58:V58" si="72">R50+R51+R52+R53+R54+R55+R56+R57</f>
        <v>6252.97</v>
      </c>
      <c r="S58" s="30">
        <f t="shared" si="72"/>
        <v>707.9</v>
      </c>
      <c r="T58" s="39">
        <f t="shared" si="72"/>
        <v>5981.07</v>
      </c>
      <c r="U58" s="37">
        <f t="shared" si="72"/>
        <v>19323.74</v>
      </c>
      <c r="V58" s="33">
        <f t="shared" si="72"/>
        <v>266</v>
      </c>
      <c r="W58" s="19"/>
      <c r="X58" s="28" t="s">
        <v>23</v>
      </c>
      <c r="Y58" s="61">
        <f t="shared" ref="Y58:AC58" si="73">Y50+Y51+Y52+Y53+Y54+Y55+Y56+Y57</f>
        <v>7277.4</v>
      </c>
      <c r="Z58" s="35">
        <f t="shared" si="73"/>
        <v>860.8</v>
      </c>
      <c r="AA58" s="36">
        <f t="shared" si="73"/>
        <v>7038.4</v>
      </c>
      <c r="AB58" s="37">
        <f t="shared" si="73"/>
        <v>19344.55</v>
      </c>
      <c r="AC58" s="33">
        <f t="shared" si="73"/>
        <v>290</v>
      </c>
      <c r="AD58" s="19"/>
      <c r="AE58" s="28" t="s">
        <v>23</v>
      </c>
      <c r="AF58" s="34">
        <f t="shared" ref="AF58:AJ58" si="74">AF50+AF51+AF52+AF53+AF54+AF55+AF56+AF57</f>
        <v>9016</v>
      </c>
      <c r="AG58" s="30">
        <f t="shared" si="74"/>
        <v>1513.7</v>
      </c>
      <c r="AH58" s="36">
        <f t="shared" si="74"/>
        <v>8394.1</v>
      </c>
      <c r="AI58" s="37">
        <f t="shared" si="74"/>
        <v>19448.08</v>
      </c>
      <c r="AJ58" s="33">
        <f t="shared" si="74"/>
        <v>346</v>
      </c>
      <c r="AL58" s="19"/>
      <c r="AM58" s="28" t="s">
        <v>23</v>
      </c>
      <c r="AN58" s="41">
        <f t="shared" ref="AN58:AQ58" si="75">AN50+AN51+AN52+AN53+AN54+AN55+AN56+AN57</f>
        <v>36242.87</v>
      </c>
      <c r="AO58" s="42">
        <f t="shared" si="75"/>
        <v>5940.1</v>
      </c>
      <c r="AP58" s="43">
        <f t="shared" si="75"/>
        <v>35166.5</v>
      </c>
      <c r="AQ58" s="44">
        <f t="shared" si="75"/>
        <v>1487</v>
      </c>
    </row>
    <row r="59" hidden="1">
      <c r="A59" s="19"/>
      <c r="B59" s="19"/>
      <c r="C59" s="45" t="s">
        <v>24</v>
      </c>
      <c r="D59" s="50">
        <f>D58-E58</f>
        <v>5583.7</v>
      </c>
      <c r="E59" s="47"/>
      <c r="F59" s="48"/>
      <c r="G59" s="51"/>
      <c r="H59" s="51"/>
      <c r="I59" s="19"/>
      <c r="J59" s="45" t="s">
        <v>24</v>
      </c>
      <c r="K59" s="50">
        <f>K58-L58</f>
        <v>5255.1</v>
      </c>
      <c r="L59" s="47"/>
      <c r="M59" s="48"/>
      <c r="N59" s="51"/>
      <c r="O59" s="51"/>
      <c r="P59" s="19"/>
      <c r="Q59" s="45" t="s">
        <v>24</v>
      </c>
      <c r="R59" s="50">
        <f>R58-S58</f>
        <v>5545.07</v>
      </c>
      <c r="S59" s="47"/>
      <c r="T59" s="48"/>
      <c r="U59" s="51"/>
      <c r="V59" s="51"/>
      <c r="W59" s="19"/>
      <c r="X59" s="45" t="s">
        <v>24</v>
      </c>
      <c r="Y59" s="50">
        <f>Y58-Z58</f>
        <v>6416.6</v>
      </c>
      <c r="Z59" s="47"/>
      <c r="AA59" s="48"/>
      <c r="AB59" s="51"/>
      <c r="AC59" s="51"/>
      <c r="AD59" s="19"/>
      <c r="AE59" s="45" t="s">
        <v>24</v>
      </c>
      <c r="AF59" s="50">
        <f>AF58-AG58</f>
        <v>7502.3</v>
      </c>
      <c r="AG59" s="47"/>
      <c r="AH59" s="48"/>
      <c r="AI59" s="51"/>
      <c r="AJ59" s="51"/>
      <c r="AL59" s="53"/>
      <c r="AM59" s="45" t="s">
        <v>25</v>
      </c>
      <c r="AN59" s="50">
        <f>AN58-AO58</f>
        <v>30302.77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5570.63</v>
      </c>
      <c r="E60" s="47"/>
      <c r="F60" s="48"/>
      <c r="G60" s="67"/>
      <c r="H60" s="51"/>
      <c r="I60" s="53"/>
      <c r="J60" s="56" t="s">
        <v>26</v>
      </c>
      <c r="K60" s="57">
        <f>M58-L58</f>
        <v>5324.6</v>
      </c>
      <c r="L60" s="47"/>
      <c r="M60" s="48"/>
      <c r="N60" s="51"/>
      <c r="O60" s="51"/>
      <c r="P60" s="53"/>
      <c r="Q60" s="56" t="s">
        <v>26</v>
      </c>
      <c r="R60" s="57">
        <f>T58-S58</f>
        <v>5273.17</v>
      </c>
      <c r="S60" s="47"/>
      <c r="T60" s="48"/>
      <c r="U60" s="51"/>
      <c r="V60" s="51"/>
      <c r="W60" s="53"/>
      <c r="X60" s="56" t="s">
        <v>26</v>
      </c>
      <c r="Y60" s="57">
        <f>AA58-Z58</f>
        <v>6177.6</v>
      </c>
      <c r="Z60" s="47"/>
      <c r="AA60" s="48"/>
      <c r="AB60" s="51"/>
      <c r="AC60" s="51"/>
      <c r="AD60" s="53"/>
      <c r="AE60" s="56" t="s">
        <v>26</v>
      </c>
      <c r="AF60" s="57">
        <f>AH58-AG58</f>
        <v>6880.4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2" t="s">
        <v>1</v>
      </c>
      <c r="K61" s="4" t="s">
        <v>7</v>
      </c>
      <c r="L61" s="2" t="s">
        <v>3</v>
      </c>
      <c r="M61" s="2" t="s">
        <v>4</v>
      </c>
      <c r="N61" s="2" t="s">
        <v>5</v>
      </c>
      <c r="O61" s="5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2" t="s">
        <v>1</v>
      </c>
      <c r="Y61" s="4" t="s">
        <v>7</v>
      </c>
      <c r="Z61" s="2" t="s">
        <v>3</v>
      </c>
      <c r="AA61" s="2" t="s">
        <v>4</v>
      </c>
      <c r="AB61" s="2" t="s">
        <v>5</v>
      </c>
      <c r="AC61" s="5" t="s">
        <v>6</v>
      </c>
      <c r="AD61" s="2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>
        <v>45660.0</v>
      </c>
      <c r="C62" s="9" t="s">
        <v>10</v>
      </c>
      <c r="D62" s="20">
        <v>284.0</v>
      </c>
      <c r="E62" s="10">
        <v>0.0</v>
      </c>
      <c r="F62" s="10">
        <v>284.0</v>
      </c>
      <c r="G62" s="14">
        <v>2133.44</v>
      </c>
      <c r="H62" s="11">
        <v>22.0</v>
      </c>
      <c r="I62" s="12">
        <v>45667.0</v>
      </c>
      <c r="J62" s="15" t="s">
        <v>10</v>
      </c>
      <c r="K62" s="10">
        <v>435.0</v>
      </c>
      <c r="L62" s="10">
        <v>0.0</v>
      </c>
      <c r="M62" s="17">
        <v>1777.8</v>
      </c>
      <c r="N62" s="21">
        <v>1177.24</v>
      </c>
      <c r="O62" s="11">
        <v>15.0</v>
      </c>
      <c r="P62" s="8">
        <v>45674.0</v>
      </c>
      <c r="Q62" s="9" t="s">
        <v>10</v>
      </c>
      <c r="R62" s="13">
        <v>924.4</v>
      </c>
      <c r="S62" s="10">
        <v>0.0</v>
      </c>
      <c r="T62" s="10">
        <v>923.4</v>
      </c>
      <c r="U62" s="10">
        <v>1167.75</v>
      </c>
      <c r="V62" s="11">
        <v>41.0</v>
      </c>
      <c r="W62" s="8">
        <v>45681.0</v>
      </c>
      <c r="X62" s="9" t="s">
        <v>10</v>
      </c>
      <c r="Y62" s="13">
        <v>1121.0</v>
      </c>
      <c r="Z62" s="10">
        <v>121.0</v>
      </c>
      <c r="AA62" s="10">
        <v>1000.0</v>
      </c>
      <c r="AB62" s="16">
        <v>1094.0</v>
      </c>
      <c r="AC62" s="11">
        <v>57.0</v>
      </c>
      <c r="AD62" s="8">
        <v>45688.0</v>
      </c>
      <c r="AE62" s="15" t="s">
        <v>10</v>
      </c>
      <c r="AF62" s="20">
        <v>329.0</v>
      </c>
      <c r="AG62" s="10">
        <v>0.0</v>
      </c>
      <c r="AH62" s="10">
        <v>401.0</v>
      </c>
      <c r="AI62" s="16">
        <v>929.1</v>
      </c>
      <c r="AJ62" s="11">
        <v>15.0</v>
      </c>
      <c r="AL62" s="18" t="s">
        <v>40</v>
      </c>
      <c r="AM62" s="9" t="s">
        <v>10</v>
      </c>
      <c r="AN62" s="10">
        <f t="shared" ref="AN62:AP62" si="76">D62+K62+R62+Y62+AF62</f>
        <v>3093.4</v>
      </c>
      <c r="AO62" s="10">
        <f t="shared" si="76"/>
        <v>121</v>
      </c>
      <c r="AP62" s="10">
        <f t="shared" si="76"/>
        <v>4386.2</v>
      </c>
      <c r="AQ62" s="11">
        <f t="shared" ref="AQ62:AQ69" si="78">H62+O62+V62+AC62+AJ62</f>
        <v>150</v>
      </c>
    </row>
    <row r="63">
      <c r="A63" s="19"/>
      <c r="B63" s="19"/>
      <c r="C63" s="9" t="s">
        <v>12</v>
      </c>
      <c r="D63" s="20">
        <v>414.0</v>
      </c>
      <c r="E63" s="10">
        <v>0.0</v>
      </c>
      <c r="F63" s="10">
        <v>414.0</v>
      </c>
      <c r="G63" s="16">
        <v>797.6</v>
      </c>
      <c r="H63" s="11">
        <v>16.0</v>
      </c>
      <c r="I63" s="19"/>
      <c r="J63" s="9" t="s">
        <v>12</v>
      </c>
      <c r="K63" s="20">
        <v>85.0</v>
      </c>
      <c r="L63" s="10">
        <v>0.0</v>
      </c>
      <c r="M63" s="10">
        <v>85.0</v>
      </c>
      <c r="N63" s="21">
        <v>1239.6</v>
      </c>
      <c r="O63" s="70"/>
      <c r="P63" s="19"/>
      <c r="Q63" s="9" t="s">
        <v>12</v>
      </c>
      <c r="R63" s="71">
        <v>49.0</v>
      </c>
      <c r="S63" s="10">
        <v>0.0</v>
      </c>
      <c r="T63" s="72">
        <v>49.0</v>
      </c>
      <c r="U63" s="10">
        <v>1383.5</v>
      </c>
      <c r="V63" s="11">
        <v>22.0</v>
      </c>
      <c r="W63" s="19"/>
      <c r="X63" s="9" t="s">
        <v>12</v>
      </c>
      <c r="Y63" s="20">
        <v>389.0</v>
      </c>
      <c r="Z63" s="10">
        <v>0.0</v>
      </c>
      <c r="AA63" s="10">
        <v>389.0</v>
      </c>
      <c r="AB63" s="21">
        <v>1553.5</v>
      </c>
      <c r="AC63" s="11">
        <v>23.0</v>
      </c>
      <c r="AD63" s="19"/>
      <c r="AE63" s="9" t="s">
        <v>12</v>
      </c>
      <c r="AF63" s="13">
        <v>524.0</v>
      </c>
      <c r="AG63" s="21">
        <v>394.0</v>
      </c>
      <c r="AH63" s="10">
        <v>130.0</v>
      </c>
      <c r="AI63" s="14">
        <v>2507.4</v>
      </c>
      <c r="AJ63" s="11">
        <v>46.0</v>
      </c>
      <c r="AL63" s="19"/>
      <c r="AM63" s="9" t="s">
        <v>12</v>
      </c>
      <c r="AN63" s="10">
        <f t="shared" ref="AN63:AP63" si="77">D63+K63+R63+Y63+AF63</f>
        <v>1461</v>
      </c>
      <c r="AO63" s="10">
        <f t="shared" si="77"/>
        <v>394</v>
      </c>
      <c r="AP63" s="10">
        <f t="shared" si="77"/>
        <v>1067</v>
      </c>
      <c r="AQ63" s="11">
        <f t="shared" si="78"/>
        <v>107</v>
      </c>
    </row>
    <row r="64">
      <c r="A64" s="19"/>
      <c r="B64" s="19"/>
      <c r="C64" s="9" t="s">
        <v>13</v>
      </c>
      <c r="D64" s="10"/>
      <c r="E64" s="10"/>
      <c r="F64" s="10"/>
      <c r="G64" s="10"/>
      <c r="H64" s="11"/>
      <c r="I64" s="19"/>
      <c r="J64" s="9" t="s">
        <v>14</v>
      </c>
      <c r="K64" s="10"/>
      <c r="L64" s="10"/>
      <c r="M64" s="10"/>
      <c r="N64" s="10"/>
      <c r="O64" s="11"/>
      <c r="P64" s="19"/>
      <c r="Q64" s="9" t="s">
        <v>14</v>
      </c>
      <c r="R64" s="10"/>
      <c r="S64" s="10"/>
      <c r="T64" s="10"/>
      <c r="U64" s="10"/>
      <c r="V64" s="11"/>
      <c r="W64" s="19"/>
      <c r="X64" s="9" t="s">
        <v>14</v>
      </c>
      <c r="Y64" s="10"/>
      <c r="Z64" s="10"/>
      <c r="AA64" s="10"/>
      <c r="AB64" s="10"/>
      <c r="AC64" s="11"/>
      <c r="AD64" s="19"/>
      <c r="AE64" s="9" t="s">
        <v>14</v>
      </c>
      <c r="AF64" s="10"/>
      <c r="AG64" s="10"/>
      <c r="AH64" s="10"/>
      <c r="AI64" s="10"/>
      <c r="AJ64" s="11"/>
      <c r="AL64" s="19"/>
      <c r="AM64" s="9" t="s">
        <v>14</v>
      </c>
      <c r="AN64" s="10">
        <f t="shared" ref="AN64:AP64" si="79">D64+K64+R64+Y64+AF64</f>
        <v>0</v>
      </c>
      <c r="AO64" s="10">
        <f t="shared" si="79"/>
        <v>0</v>
      </c>
      <c r="AP64" s="10">
        <f t="shared" si="79"/>
        <v>0</v>
      </c>
      <c r="AQ64" s="11">
        <f t="shared" si="78"/>
        <v>0</v>
      </c>
    </row>
    <row r="65">
      <c r="A65" s="19"/>
      <c r="B65" s="19"/>
      <c r="C65" s="9" t="s">
        <v>16</v>
      </c>
      <c r="D65" s="13">
        <v>1518.6</v>
      </c>
      <c r="E65" s="10">
        <v>174.0</v>
      </c>
      <c r="F65" s="10">
        <v>1344.6</v>
      </c>
      <c r="G65" s="24">
        <v>6711.43</v>
      </c>
      <c r="H65" s="11">
        <v>76.0</v>
      </c>
      <c r="I65" s="19"/>
      <c r="J65" s="9" t="s">
        <v>16</v>
      </c>
      <c r="K65" s="20">
        <v>1502.54</v>
      </c>
      <c r="L65" s="10">
        <v>0.0</v>
      </c>
      <c r="M65" s="17">
        <v>1552.54</v>
      </c>
      <c r="N65" s="24">
        <v>5002.17</v>
      </c>
      <c r="O65" s="11">
        <v>58.0</v>
      </c>
      <c r="P65" s="19"/>
      <c r="Q65" s="9" t="s">
        <v>16</v>
      </c>
      <c r="R65" s="10">
        <v>1599.9</v>
      </c>
      <c r="S65" s="10">
        <v>50.0</v>
      </c>
      <c r="T65" s="10">
        <v>1604.8</v>
      </c>
      <c r="U65" s="10">
        <v>5631.37</v>
      </c>
      <c r="V65" s="11">
        <v>73.0</v>
      </c>
      <c r="W65" s="19"/>
      <c r="X65" s="9" t="s">
        <v>16</v>
      </c>
      <c r="Y65" s="20">
        <v>1189.4</v>
      </c>
      <c r="Z65" s="10">
        <v>0.0</v>
      </c>
      <c r="AA65" s="10">
        <v>1262.4</v>
      </c>
      <c r="AB65" s="24">
        <v>6531.98</v>
      </c>
      <c r="AC65" s="11">
        <v>62.0</v>
      </c>
      <c r="AD65" s="19"/>
      <c r="AE65" s="9" t="s">
        <v>16</v>
      </c>
      <c r="AF65" s="13">
        <v>2253.55</v>
      </c>
      <c r="AG65" s="10">
        <v>203.9</v>
      </c>
      <c r="AH65" s="10">
        <v>2104.55</v>
      </c>
      <c r="AI65" s="24">
        <v>5309.43</v>
      </c>
      <c r="AJ65" s="22">
        <v>104.0</v>
      </c>
      <c r="AL65" s="19"/>
      <c r="AM65" s="9" t="s">
        <v>16</v>
      </c>
      <c r="AN65" s="10">
        <f t="shared" ref="AN65:AP65" si="80">D65+K65+R65+Y65+AF65</f>
        <v>8063.99</v>
      </c>
      <c r="AO65" s="10">
        <f t="shared" si="80"/>
        <v>427.9</v>
      </c>
      <c r="AP65" s="10">
        <f t="shared" si="80"/>
        <v>7868.89</v>
      </c>
      <c r="AQ65" s="11">
        <f t="shared" si="78"/>
        <v>373</v>
      </c>
    </row>
    <row r="66">
      <c r="A66" s="19"/>
      <c r="B66" s="19"/>
      <c r="C66" s="9" t="s">
        <v>17</v>
      </c>
      <c r="D66" s="64">
        <v>170.0</v>
      </c>
      <c r="E66" s="10">
        <v>0.0</v>
      </c>
      <c r="F66" s="10">
        <v>170.0</v>
      </c>
      <c r="G66" s="21">
        <v>1295.9</v>
      </c>
      <c r="H66" s="11">
        <v>10.0</v>
      </c>
      <c r="I66" s="19"/>
      <c r="J66" s="9" t="s">
        <v>17</v>
      </c>
      <c r="K66" s="13">
        <v>1361.2</v>
      </c>
      <c r="L66" s="10">
        <v>0.0</v>
      </c>
      <c r="M66" s="17">
        <v>1361.2</v>
      </c>
      <c r="N66" s="16">
        <v>1084.9</v>
      </c>
      <c r="O66" s="11">
        <v>44.0</v>
      </c>
      <c r="P66" s="19"/>
      <c r="Q66" s="9" t="s">
        <v>17</v>
      </c>
      <c r="R66" s="13">
        <v>1272.7</v>
      </c>
      <c r="S66" s="10">
        <v>0.0</v>
      </c>
      <c r="T66" s="10">
        <v>1272.7</v>
      </c>
      <c r="U66" s="10">
        <v>1389.35</v>
      </c>
      <c r="V66" s="11">
        <v>50.0</v>
      </c>
      <c r="W66" s="19"/>
      <c r="X66" s="9" t="s">
        <v>17</v>
      </c>
      <c r="Y66" s="13">
        <v>1461.9</v>
      </c>
      <c r="Z66" s="10">
        <v>130.0</v>
      </c>
      <c r="AA66" s="10">
        <v>1331.9</v>
      </c>
      <c r="AB66" s="21">
        <v>1674.35</v>
      </c>
      <c r="AC66" s="11">
        <v>65.0</v>
      </c>
      <c r="AD66" s="19"/>
      <c r="AE66" s="9" t="s">
        <v>17</v>
      </c>
      <c r="AF66" s="13">
        <v>2434.9</v>
      </c>
      <c r="AG66" s="10">
        <v>0.0</v>
      </c>
      <c r="AH66" s="17">
        <v>2434.9</v>
      </c>
      <c r="AI66" s="14">
        <v>2056.35</v>
      </c>
      <c r="AJ66" s="22">
        <v>86.0</v>
      </c>
      <c r="AL66" s="19"/>
      <c r="AM66" s="9" t="s">
        <v>17</v>
      </c>
      <c r="AN66" s="10">
        <f t="shared" ref="AN66:AP66" si="81">D66+K66+R66+Y66+AF66</f>
        <v>6700.7</v>
      </c>
      <c r="AO66" s="10">
        <f t="shared" si="81"/>
        <v>130</v>
      </c>
      <c r="AP66" s="10">
        <f t="shared" si="81"/>
        <v>6570.7</v>
      </c>
      <c r="AQ66" s="11">
        <f t="shared" si="78"/>
        <v>255</v>
      </c>
    </row>
    <row r="67">
      <c r="A67" s="19"/>
      <c r="B67" s="19"/>
      <c r="C67" s="9" t="s">
        <v>18</v>
      </c>
      <c r="D67" s="10">
        <v>0.0</v>
      </c>
      <c r="E67" s="10">
        <v>0.0</v>
      </c>
      <c r="F67" s="10">
        <v>0.0</v>
      </c>
      <c r="G67" s="10">
        <v>584.7</v>
      </c>
      <c r="H67" s="11">
        <v>0.0</v>
      </c>
      <c r="I67" s="19"/>
      <c r="J67" s="9" t="s">
        <v>18</v>
      </c>
      <c r="K67" s="10"/>
      <c r="L67" s="10"/>
      <c r="M67" s="10"/>
      <c r="N67" s="10">
        <v>384.7</v>
      </c>
      <c r="O67" s="11"/>
      <c r="P67" s="19"/>
      <c r="Q67" s="9" t="s">
        <v>18</v>
      </c>
      <c r="R67" s="10"/>
      <c r="S67" s="10"/>
      <c r="T67" s="10"/>
      <c r="U67" s="10">
        <v>384.7</v>
      </c>
      <c r="V67" s="11"/>
      <c r="W67" s="19"/>
      <c r="X67" s="9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2">D67+K67+R67+Y67+AF67</f>
        <v>0</v>
      </c>
      <c r="AO67" s="10">
        <f t="shared" si="82"/>
        <v>0</v>
      </c>
      <c r="AP67" s="10">
        <f t="shared" si="82"/>
        <v>0</v>
      </c>
      <c r="AQ67" s="11">
        <f t="shared" si="78"/>
        <v>0</v>
      </c>
    </row>
    <row r="68">
      <c r="A68" s="19"/>
      <c r="B68" s="19"/>
      <c r="C68" s="9" t="s">
        <v>20</v>
      </c>
      <c r="D68" s="20">
        <v>375.9</v>
      </c>
      <c r="E68" s="10">
        <v>135.0</v>
      </c>
      <c r="F68" s="10">
        <v>270.9</v>
      </c>
      <c r="G68" s="14">
        <v>2124.44</v>
      </c>
      <c r="H68" s="11">
        <v>14.0</v>
      </c>
      <c r="I68" s="19"/>
      <c r="J68" s="15" t="s">
        <v>20</v>
      </c>
      <c r="K68" s="13">
        <v>669.9</v>
      </c>
      <c r="L68" s="10">
        <v>0.0</v>
      </c>
      <c r="M68" s="17">
        <v>804.9</v>
      </c>
      <c r="N68" s="14">
        <v>2297.34</v>
      </c>
      <c r="O68" s="11">
        <v>33.0</v>
      </c>
      <c r="P68" s="19"/>
      <c r="Q68" s="9" t="s">
        <v>19</v>
      </c>
      <c r="R68" s="13">
        <v>871.0</v>
      </c>
      <c r="S68" s="10">
        <v>21.0</v>
      </c>
      <c r="T68" s="10">
        <v>975.6</v>
      </c>
      <c r="U68" s="10">
        <v>2646.84</v>
      </c>
      <c r="V68" s="11">
        <v>39.0</v>
      </c>
      <c r="W68" s="19"/>
      <c r="X68" s="15" t="s">
        <v>19</v>
      </c>
      <c r="Y68" s="20">
        <v>435.0</v>
      </c>
      <c r="Z68" s="10">
        <v>0.0</v>
      </c>
      <c r="AA68" s="17">
        <v>635.0</v>
      </c>
      <c r="AB68" s="14">
        <v>2648.69</v>
      </c>
      <c r="AC68" s="11">
        <v>12.0</v>
      </c>
      <c r="AD68" s="19"/>
      <c r="AE68" s="9" t="s">
        <v>19</v>
      </c>
      <c r="AF68" s="13">
        <v>684.0</v>
      </c>
      <c r="AG68" s="10">
        <v>50.0</v>
      </c>
      <c r="AH68" s="10">
        <v>637.0</v>
      </c>
      <c r="AI68" s="14">
        <v>2476.29</v>
      </c>
      <c r="AJ68" s="11">
        <v>38.0</v>
      </c>
      <c r="AL68" s="19"/>
      <c r="AM68" s="9" t="s">
        <v>19</v>
      </c>
      <c r="AN68" s="10">
        <f t="shared" ref="AN68:AP68" si="83">D68+K68+R68+Y68+AF68</f>
        <v>3035.8</v>
      </c>
      <c r="AO68" s="10">
        <f t="shared" si="83"/>
        <v>206</v>
      </c>
      <c r="AP68" s="10">
        <f t="shared" si="83"/>
        <v>3323.4</v>
      </c>
      <c r="AQ68" s="11">
        <f t="shared" si="78"/>
        <v>136</v>
      </c>
    </row>
    <row r="69">
      <c r="A69" s="19"/>
      <c r="B69" s="19"/>
      <c r="C69" s="26" t="s">
        <v>21</v>
      </c>
      <c r="D69" s="20">
        <v>890.0</v>
      </c>
      <c r="E69" s="10">
        <v>0.0</v>
      </c>
      <c r="F69" s="10">
        <v>890.0</v>
      </c>
      <c r="G69" s="24">
        <v>6100.96</v>
      </c>
      <c r="H69" s="11">
        <v>55.0</v>
      </c>
      <c r="I69" s="19"/>
      <c r="J69" s="26" t="s">
        <v>21</v>
      </c>
      <c r="K69" s="13">
        <v>2654.47</v>
      </c>
      <c r="L69" s="14">
        <v>944.97</v>
      </c>
      <c r="M69" s="10">
        <v>1795.5</v>
      </c>
      <c r="N69" s="24">
        <v>6162.03</v>
      </c>
      <c r="O69" s="22">
        <v>104.0</v>
      </c>
      <c r="P69" s="19"/>
      <c r="Q69" s="26" t="s">
        <v>21</v>
      </c>
      <c r="R69" s="20">
        <v>548.0</v>
      </c>
      <c r="S69" s="10">
        <v>257.0</v>
      </c>
      <c r="T69" s="10">
        <v>327.0</v>
      </c>
      <c r="U69" s="10">
        <v>6831.73</v>
      </c>
      <c r="V69" s="11">
        <v>63.0</v>
      </c>
      <c r="W69" s="19"/>
      <c r="X69" s="26" t="s">
        <v>21</v>
      </c>
      <c r="Y69" s="13">
        <v>3430.11</v>
      </c>
      <c r="Z69" s="21">
        <v>341.6</v>
      </c>
      <c r="AA69" s="10">
        <v>3132.51</v>
      </c>
      <c r="AB69" s="24">
        <v>6117.63</v>
      </c>
      <c r="AC69" s="11">
        <v>87.0</v>
      </c>
      <c r="AD69" s="19"/>
      <c r="AE69" s="26" t="s">
        <v>21</v>
      </c>
      <c r="AF69" s="13">
        <v>3591.2</v>
      </c>
      <c r="AG69" s="21">
        <v>641.9</v>
      </c>
      <c r="AH69" s="10">
        <v>3261.27</v>
      </c>
      <c r="AI69" s="73">
        <v>7020.44</v>
      </c>
      <c r="AJ69" s="22">
        <v>115.0</v>
      </c>
      <c r="AL69" s="19"/>
      <c r="AM69" s="26" t="s">
        <v>21</v>
      </c>
      <c r="AN69" s="10">
        <f t="shared" ref="AN69:AP69" si="84">D69+K69+R69+Y69+AF69</f>
        <v>11113.78</v>
      </c>
      <c r="AO69" s="10">
        <f t="shared" si="84"/>
        <v>2185.47</v>
      </c>
      <c r="AP69" s="10">
        <f t="shared" si="84"/>
        <v>9406.28</v>
      </c>
      <c r="AQ69" s="11">
        <f t="shared" si="78"/>
        <v>424</v>
      </c>
    </row>
    <row r="70">
      <c r="A70" s="19"/>
      <c r="B70" s="19"/>
      <c r="C70" s="28" t="s">
        <v>23</v>
      </c>
      <c r="D70" s="32">
        <f t="shared" ref="D70:H70" si="85">D62+D63+D64+D65+D66+D67+D68+D69</f>
        <v>3652.5</v>
      </c>
      <c r="E70" s="30">
        <f t="shared" si="85"/>
        <v>309</v>
      </c>
      <c r="F70" s="31">
        <f t="shared" si="85"/>
        <v>3373.5</v>
      </c>
      <c r="G70" s="37">
        <f t="shared" si="85"/>
        <v>19748.47</v>
      </c>
      <c r="H70" s="33">
        <f t="shared" si="85"/>
        <v>193</v>
      </c>
      <c r="I70" s="19"/>
      <c r="J70" s="28" t="s">
        <v>23</v>
      </c>
      <c r="K70" s="29">
        <f t="shared" ref="K70:O70" si="86">K62+K63+K64+K65+K66+K67+K68+K69</f>
        <v>6708.11</v>
      </c>
      <c r="L70" s="30">
        <f t="shared" si="86"/>
        <v>944.97</v>
      </c>
      <c r="M70" s="36">
        <f t="shared" si="86"/>
        <v>7376.94</v>
      </c>
      <c r="N70" s="37">
        <f t="shared" si="86"/>
        <v>17347.98</v>
      </c>
      <c r="O70" s="33">
        <f t="shared" si="86"/>
        <v>254</v>
      </c>
      <c r="P70" s="19"/>
      <c r="Q70" s="28" t="s">
        <v>23</v>
      </c>
      <c r="R70" s="29">
        <f t="shared" ref="R70:V70" si="87">R62+R63+R64+R65+R66+R67+R68+R69</f>
        <v>5265</v>
      </c>
      <c r="S70" s="30">
        <f t="shared" si="87"/>
        <v>328</v>
      </c>
      <c r="T70" s="31">
        <f t="shared" si="87"/>
        <v>5152.5</v>
      </c>
      <c r="U70" s="37">
        <f t="shared" si="87"/>
        <v>19435.24</v>
      </c>
      <c r="V70" s="33">
        <f t="shared" si="87"/>
        <v>288</v>
      </c>
      <c r="W70" s="19"/>
      <c r="X70" s="28" t="s">
        <v>23</v>
      </c>
      <c r="Y70" s="34">
        <f t="shared" ref="Y70:AC70" si="88">Y62+Y63+Y64+Y65+Y66+Y67+Y68+Y69</f>
        <v>8026.41</v>
      </c>
      <c r="Z70" s="30">
        <f t="shared" si="88"/>
        <v>592.6</v>
      </c>
      <c r="AA70" s="36">
        <f t="shared" si="88"/>
        <v>7750.81</v>
      </c>
      <c r="AB70" s="37">
        <f t="shared" si="88"/>
        <v>19620.15</v>
      </c>
      <c r="AC70" s="33">
        <f t="shared" si="88"/>
        <v>306</v>
      </c>
      <c r="AD70" s="19"/>
      <c r="AE70" s="28" t="s">
        <v>23</v>
      </c>
      <c r="AF70" s="34">
        <f t="shared" ref="AF70:AJ70" si="89">AF62+AF63+AF64+AF65+AF66+AF67+AF68+AF69</f>
        <v>9816.65</v>
      </c>
      <c r="AG70" s="35">
        <f t="shared" si="89"/>
        <v>1289.8</v>
      </c>
      <c r="AH70" s="36">
        <f t="shared" si="89"/>
        <v>8968.72</v>
      </c>
      <c r="AI70" s="37">
        <f t="shared" si="89"/>
        <v>20299.01</v>
      </c>
      <c r="AJ70" s="33">
        <f t="shared" si="89"/>
        <v>404</v>
      </c>
      <c r="AL70" s="19"/>
      <c r="AM70" s="28" t="s">
        <v>23</v>
      </c>
      <c r="AN70" s="41">
        <f t="shared" ref="AN70:AQ70" si="90">AN62+AN63+AN64+AN65+AN66+AN67+AN68+AN69</f>
        <v>33468.67</v>
      </c>
      <c r="AO70" s="42">
        <f t="shared" si="90"/>
        <v>3464.37</v>
      </c>
      <c r="AP70" s="43">
        <f t="shared" si="90"/>
        <v>32622.47</v>
      </c>
      <c r="AQ70" s="44">
        <f t="shared" si="90"/>
        <v>1445</v>
      </c>
    </row>
    <row r="71" hidden="1">
      <c r="A71" s="19"/>
      <c r="B71" s="19"/>
      <c r="C71" s="45" t="s">
        <v>24</v>
      </c>
      <c r="D71" s="50">
        <f>D70-E70</f>
        <v>3343.5</v>
      </c>
      <c r="E71" s="47"/>
      <c r="F71" s="48"/>
      <c r="G71" s="51"/>
      <c r="H71" s="51"/>
      <c r="I71" s="19"/>
      <c r="J71" s="45" t="s">
        <v>24</v>
      </c>
      <c r="K71" s="50">
        <f>K70-L70</f>
        <v>5763.14</v>
      </c>
      <c r="L71" s="47"/>
      <c r="M71" s="48"/>
      <c r="N71" s="51"/>
      <c r="O71" s="51"/>
      <c r="P71" s="19"/>
      <c r="Q71" s="45" t="s">
        <v>24</v>
      </c>
      <c r="R71" s="50">
        <f>R70-S70</f>
        <v>4937</v>
      </c>
      <c r="S71" s="47"/>
      <c r="T71" s="48"/>
      <c r="U71" s="51"/>
      <c r="V71" s="51"/>
      <c r="W71" s="19"/>
      <c r="X71" s="45" t="s">
        <v>24</v>
      </c>
      <c r="Y71" s="50">
        <f>Y70-Z70</f>
        <v>7433.81</v>
      </c>
      <c r="Z71" s="47"/>
      <c r="AA71" s="48"/>
      <c r="AB71" s="51"/>
      <c r="AC71" s="51"/>
      <c r="AD71" s="19"/>
      <c r="AE71" s="45" t="s">
        <v>24</v>
      </c>
      <c r="AF71" s="50">
        <f>AF70-AG70</f>
        <v>8526.85</v>
      </c>
      <c r="AG71" s="47"/>
      <c r="AH71" s="48"/>
      <c r="AI71" s="51"/>
      <c r="AJ71" s="51"/>
      <c r="AL71" s="53"/>
      <c r="AM71" s="45" t="s">
        <v>25</v>
      </c>
      <c r="AN71" s="50">
        <f>AN70-AO70</f>
        <v>30004.3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3064.5</v>
      </c>
      <c r="E72" s="47"/>
      <c r="F72" s="48"/>
      <c r="G72" s="59"/>
      <c r="H72" s="51"/>
      <c r="I72" s="53"/>
      <c r="J72" s="56" t="s">
        <v>26</v>
      </c>
      <c r="K72" s="57">
        <f>M70-L70</f>
        <v>6431.97</v>
      </c>
      <c r="L72" s="47"/>
      <c r="M72" s="48"/>
      <c r="N72" s="51"/>
      <c r="O72" s="51"/>
      <c r="P72" s="53"/>
      <c r="Q72" s="56" t="s">
        <v>26</v>
      </c>
      <c r="R72" s="57">
        <f>T70-S70</f>
        <v>4824.5</v>
      </c>
      <c r="S72" s="47"/>
      <c r="T72" s="48"/>
      <c r="U72" s="51"/>
      <c r="V72" s="51"/>
      <c r="W72" s="53"/>
      <c r="X72" s="56" t="s">
        <v>26</v>
      </c>
      <c r="Y72" s="57">
        <f>AA70-Z70</f>
        <v>7158.21</v>
      </c>
      <c r="Z72" s="47"/>
      <c r="AA72" s="48"/>
      <c r="AB72" s="59"/>
      <c r="AC72" s="51"/>
      <c r="AD72" s="53"/>
      <c r="AE72" s="56" t="s">
        <v>26</v>
      </c>
      <c r="AF72" s="57">
        <f>AH70-AG70</f>
        <v>7678.92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45661.0</v>
      </c>
      <c r="C74" s="9" t="s">
        <v>10</v>
      </c>
      <c r="D74" s="10"/>
      <c r="E74" s="10"/>
      <c r="F74" s="10"/>
      <c r="G74" s="10"/>
      <c r="H74" s="11"/>
      <c r="I74" s="12">
        <v>45668.0</v>
      </c>
      <c r="J74" s="9"/>
      <c r="K74" s="10"/>
      <c r="L74" s="10"/>
      <c r="M74" s="10"/>
      <c r="N74" s="10"/>
      <c r="O74" s="11"/>
      <c r="P74" s="8">
        <v>45675.0</v>
      </c>
      <c r="Q74" s="9"/>
      <c r="R74" s="10"/>
      <c r="S74" s="10"/>
      <c r="T74" s="10"/>
      <c r="U74" s="10"/>
      <c r="V74" s="11"/>
      <c r="W74" s="8">
        <v>45682.0</v>
      </c>
      <c r="X74" s="9"/>
      <c r="Y74" s="10"/>
      <c r="Z74" s="10"/>
      <c r="AA74" s="10"/>
      <c r="AB74" s="10"/>
      <c r="AC74" s="11"/>
      <c r="AD74" s="12"/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/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9" t="s">
        <v>14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/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/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/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 hidden="1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/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/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43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1">D81+K81+R81+Y81+AF81</f>
        <v>0</v>
      </c>
      <c r="AO81" s="10">
        <f t="shared" si="91"/>
        <v>0</v>
      </c>
      <c r="AP81" s="10">
        <f t="shared" si="91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2">D74+D75+D76+D77+D78+D79+D80+D81</f>
        <v>0</v>
      </c>
      <c r="E82" s="30">
        <f t="shared" si="92"/>
        <v>0</v>
      </c>
      <c r="F82" s="31">
        <f t="shared" si="92"/>
        <v>0</v>
      </c>
      <c r="G82" s="32">
        <f t="shared" si="92"/>
        <v>0</v>
      </c>
      <c r="H82" s="33">
        <f t="shared" si="92"/>
        <v>0</v>
      </c>
      <c r="I82" s="19"/>
      <c r="J82" s="28" t="s">
        <v>23</v>
      </c>
      <c r="K82" s="29">
        <f t="shared" ref="K82:O82" si="93">K74+K75+K76+K77+K78+K79+K80+K81</f>
        <v>0</v>
      </c>
      <c r="L82" s="30">
        <f t="shared" si="93"/>
        <v>0</v>
      </c>
      <c r="M82" s="31">
        <f t="shared" si="93"/>
        <v>0</v>
      </c>
      <c r="N82" s="32">
        <f t="shared" si="93"/>
        <v>0</v>
      </c>
      <c r="O82" s="33">
        <f t="shared" si="93"/>
        <v>0</v>
      </c>
      <c r="P82" s="19"/>
      <c r="Q82" s="28" t="s">
        <v>23</v>
      </c>
      <c r="R82" s="29">
        <f t="shared" ref="R82:V82" si="94">R74+R75+R76+R77+R78+R79+R80+R81</f>
        <v>0</v>
      </c>
      <c r="S82" s="30">
        <f t="shared" si="94"/>
        <v>0</v>
      </c>
      <c r="T82" s="31">
        <f t="shared" si="94"/>
        <v>0</v>
      </c>
      <c r="U82" s="32">
        <f t="shared" si="94"/>
        <v>0</v>
      </c>
      <c r="V82" s="33">
        <f t="shared" si="94"/>
        <v>0</v>
      </c>
      <c r="W82" s="19"/>
      <c r="X82" s="28" t="s">
        <v>23</v>
      </c>
      <c r="Y82" s="29">
        <f t="shared" ref="Y82:AC82" si="95">Y74+Y75+Y76+Y77+Y78+Y79+Y80+Y81</f>
        <v>0</v>
      </c>
      <c r="Z82" s="30">
        <f t="shared" si="95"/>
        <v>0</v>
      </c>
      <c r="AA82" s="31">
        <f t="shared" si="95"/>
        <v>0</v>
      </c>
      <c r="AB82" s="32">
        <f t="shared" si="95"/>
        <v>0</v>
      </c>
      <c r="AC82" s="33">
        <f t="shared" si="95"/>
        <v>0</v>
      </c>
      <c r="AD82" s="19"/>
      <c r="AE82" s="28" t="s">
        <v>23</v>
      </c>
      <c r="AF82" s="29">
        <f t="shared" ref="AF82:AJ82" si="96">AF74+AF75+AF76+AF77+AF78+AF79+AF80+AF81</f>
        <v>0</v>
      </c>
      <c r="AG82" s="30">
        <f t="shared" si="96"/>
        <v>0</v>
      </c>
      <c r="AH82" s="31">
        <f t="shared" si="96"/>
        <v>0</v>
      </c>
      <c r="AI82" s="32">
        <f t="shared" si="96"/>
        <v>0</v>
      </c>
      <c r="AJ82" s="33">
        <f t="shared" si="96"/>
        <v>0</v>
      </c>
      <c r="AL82" s="19"/>
      <c r="AM82" s="28" t="s">
        <v>23</v>
      </c>
      <c r="AN82" s="41">
        <f t="shared" ref="AN82:AQ82" si="97">AN74+AN75+AN76+AN77+AN78+AN79+AN80+AN81</f>
        <v>0</v>
      </c>
      <c r="AO82" s="42">
        <f t="shared" si="97"/>
        <v>0</v>
      </c>
      <c r="AP82" s="43">
        <f t="shared" si="97"/>
        <v>0</v>
      </c>
      <c r="AQ82" s="44">
        <f t="shared" si="97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44</v>
      </c>
      <c r="D87" s="47"/>
      <c r="E87" s="47"/>
      <c r="F87" s="47"/>
      <c r="G87" s="47"/>
      <c r="H87" s="48"/>
      <c r="I87" s="76"/>
      <c r="J87" s="77" t="s">
        <v>44</v>
      </c>
      <c r="K87" s="47"/>
      <c r="L87" s="47"/>
      <c r="M87" s="47"/>
      <c r="N87" s="47"/>
      <c r="O87" s="48"/>
      <c r="P87" s="76"/>
      <c r="Q87" s="77" t="s">
        <v>44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45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10321.5</v>
      </c>
      <c r="E88" s="47"/>
      <c r="F88" s="47"/>
      <c r="G88" s="47"/>
      <c r="H88" s="48"/>
      <c r="J88" s="9" t="s">
        <v>7</v>
      </c>
      <c r="K88" s="79">
        <f>K10+K22+K34+K46+K58+K70+K82</f>
        <v>42531.37</v>
      </c>
      <c r="L88" s="47"/>
      <c r="M88" s="47"/>
      <c r="N88" s="47"/>
      <c r="O88" s="48"/>
      <c r="Q88" s="9" t="s">
        <v>7</v>
      </c>
      <c r="R88" s="79">
        <f>R10+R22+R34+R46+R58+R70+R82</f>
        <v>42288.19</v>
      </c>
      <c r="S88" s="47"/>
      <c r="T88" s="47"/>
      <c r="U88" s="47"/>
      <c r="V88" s="48"/>
      <c r="X88" s="9" t="s">
        <v>7</v>
      </c>
      <c r="Y88" s="79">
        <f>Y10+Y22+Y34+Y46+Y58+Y70+Y82</f>
        <v>49510.75</v>
      </c>
      <c r="Z88" s="47"/>
      <c r="AA88" s="47"/>
      <c r="AB88" s="47"/>
      <c r="AC88" s="48"/>
      <c r="AE88" s="9" t="s">
        <v>7</v>
      </c>
      <c r="AF88" s="79">
        <f>AF10+AF22+AF34+AF46+AF58+AF70+AF82</f>
        <v>51580.05</v>
      </c>
      <c r="AG88" s="47"/>
      <c r="AH88" s="47"/>
      <c r="AI88" s="47"/>
      <c r="AJ88" s="48"/>
      <c r="AN88" s="55">
        <f t="array" ref="AN88">AN10+AN22+AN34+AN46+AN58+AN70</f>
        <v>196231.86</v>
      </c>
      <c r="AP88" s="55">
        <f t="array" ref="AP88">AP10+AP22+AP34+AP46+AP58+AP70</f>
        <v>194405.23</v>
      </c>
    </row>
    <row r="89">
      <c r="A89" s="78"/>
      <c r="C89" s="9" t="s">
        <v>3</v>
      </c>
      <c r="D89" s="80">
        <f>E10+E22+E34+E46+E58+E70+E82</f>
        <v>1394.3</v>
      </c>
      <c r="E89" s="47"/>
      <c r="F89" s="47"/>
      <c r="G89" s="47"/>
      <c r="H89" s="48"/>
      <c r="J89" s="9" t="s">
        <v>3</v>
      </c>
      <c r="K89" s="80">
        <f>L10+L22+L34+L46+L58+L70+L82</f>
        <v>5993.67</v>
      </c>
      <c r="L89" s="47"/>
      <c r="M89" s="47"/>
      <c r="N89" s="47"/>
      <c r="O89" s="48"/>
      <c r="Q89" s="9" t="s">
        <v>3</v>
      </c>
      <c r="R89" s="80">
        <f>S10+S22+S34+S46+S58+S70+S82</f>
        <v>5495.35</v>
      </c>
      <c r="S89" s="47"/>
      <c r="T89" s="47"/>
      <c r="U89" s="47"/>
      <c r="V89" s="48"/>
      <c r="X89" s="9" t="s">
        <v>3</v>
      </c>
      <c r="Y89" s="80">
        <f>Z10+Z22+Z34+Z46+Z58+Z70+Z82</f>
        <v>6542.16</v>
      </c>
      <c r="Z89" s="47"/>
      <c r="AA89" s="47"/>
      <c r="AB89" s="47"/>
      <c r="AC89" s="48"/>
      <c r="AE89" s="9" t="s">
        <v>3</v>
      </c>
      <c r="AF89" s="80">
        <f>AG10+AG22+AG34+AG46+AG58+AG70+AG82</f>
        <v>7890.33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10029.43</v>
      </c>
      <c r="E90" s="47"/>
      <c r="F90" s="47"/>
      <c r="G90" s="47"/>
      <c r="H90" s="48"/>
      <c r="J90" s="9" t="s">
        <v>46</v>
      </c>
      <c r="K90" s="81">
        <f>M10+M22+M34+M46+M58+M70+M82</f>
        <v>44934.36</v>
      </c>
      <c r="L90" s="47"/>
      <c r="M90" s="47"/>
      <c r="N90" s="47"/>
      <c r="O90" s="48"/>
      <c r="Q90" s="9" t="s">
        <v>46</v>
      </c>
      <c r="R90" s="81">
        <f>T10+T22+T34+T46+T58+T70+T82</f>
        <v>39854.61</v>
      </c>
      <c r="S90" s="47"/>
      <c r="T90" s="47"/>
      <c r="U90" s="47"/>
      <c r="V90" s="48"/>
      <c r="X90" s="9" t="s">
        <v>46</v>
      </c>
      <c r="Y90" s="81">
        <f>AA10+AA22+AA34+AA46+AA58+AA70+AA82</f>
        <v>48875.14</v>
      </c>
      <c r="Z90" s="47"/>
      <c r="AA90" s="47"/>
      <c r="AB90" s="47"/>
      <c r="AC90" s="48"/>
      <c r="AE90" s="9" t="s">
        <v>46</v>
      </c>
      <c r="AF90" s="81">
        <f>AH10+AH22+AH34+AH46+AH58+AH70+AH82</f>
        <v>50711.69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8927.2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36537.7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36792.84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42968.59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43689.72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8635.13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38940.69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34359.26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42332.98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42821.36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466</v>
      </c>
      <c r="E93" s="47"/>
      <c r="F93" s="47"/>
      <c r="G93" s="47"/>
      <c r="H93" s="48"/>
      <c r="J93" s="9" t="s">
        <v>49</v>
      </c>
      <c r="K93" s="84">
        <f t="array" ref="K93">O10+O22+O34+O46+O58+O70+O82</f>
        <v>1751</v>
      </c>
      <c r="L93" s="47"/>
      <c r="M93" s="47"/>
      <c r="N93" s="47"/>
      <c r="O93" s="48"/>
      <c r="Q93" s="9" t="s">
        <v>49</v>
      </c>
      <c r="R93" s="84">
        <f t="array" ref="R93">V10+V22+V34+V46+V58+V70+V82</f>
        <v>1751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1855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2067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8">D2+D14+D26+D38+D50+D62</f>
        <v>1130.9</v>
      </c>
      <c r="E98" s="10">
        <f t="shared" si="98"/>
        <v>329</v>
      </c>
      <c r="F98" s="10">
        <f t="shared" si="98"/>
        <v>801.9</v>
      </c>
      <c r="G98" s="86">
        <f t="shared" ref="G98:G105" si="104">F98-E98</f>
        <v>472.9</v>
      </c>
      <c r="H98" s="87">
        <f t="shared" ref="H98:H104" si="105">H2+H14+H26+H38+H50+H62</f>
        <v>60</v>
      </c>
      <c r="J98" s="9" t="s">
        <v>10</v>
      </c>
      <c r="K98" s="85">
        <f t="shared" ref="K98:M98" si="99">K2+K14+K26+K38+K50+K62</f>
        <v>5156.63</v>
      </c>
      <c r="L98" s="10">
        <f t="shared" si="99"/>
        <v>696.4</v>
      </c>
      <c r="M98" s="10">
        <f t="shared" si="99"/>
        <v>6115.83</v>
      </c>
      <c r="N98" s="86">
        <f t="shared" ref="N98:N105" si="107">M98-L98</f>
        <v>5419.43</v>
      </c>
      <c r="O98" s="87">
        <f t="shared" ref="O98:O104" si="108">O2+O14+O26+O38+O50+O62</f>
        <v>200</v>
      </c>
      <c r="Q98" s="9" t="s">
        <v>10</v>
      </c>
      <c r="R98" s="85">
        <f t="shared" ref="R98:T98" si="100">R2+R14+R26+R38+R50+R62</f>
        <v>3763.5</v>
      </c>
      <c r="S98" s="10">
        <f t="shared" si="100"/>
        <v>164</v>
      </c>
      <c r="T98" s="10">
        <f t="shared" si="100"/>
        <v>3737.07</v>
      </c>
      <c r="U98" s="86">
        <f t="shared" ref="U98:U105" si="110">T98-S98</f>
        <v>3573.07</v>
      </c>
      <c r="V98" s="87">
        <f t="shared" ref="V98:V104" si="111">V2+V14+V26+V38+V50+V62</f>
        <v>126</v>
      </c>
      <c r="X98" s="9" t="s">
        <v>10</v>
      </c>
      <c r="Y98" s="85">
        <f t="shared" ref="Y98:AA98" si="101">Y2+Y14+Y26+Y38+Y50+Y62</f>
        <v>4653.2</v>
      </c>
      <c r="Z98" s="10">
        <f t="shared" si="101"/>
        <v>579.9</v>
      </c>
      <c r="AA98" s="10">
        <f t="shared" si="101"/>
        <v>4758.95</v>
      </c>
      <c r="AB98" s="86">
        <f t="shared" ref="AB98:AB105" si="113">AA98-Z98</f>
        <v>4179.05</v>
      </c>
      <c r="AC98" s="87">
        <f t="shared" ref="AC98:AC104" si="114">AC2+AC14+AC26+AC38+AC50+AC62</f>
        <v>195</v>
      </c>
      <c r="AE98" s="9" t="s">
        <v>10</v>
      </c>
      <c r="AF98" s="85">
        <f t="shared" ref="AF98:AH98" si="102">AF2+AF14+AF26+AF38+AF50+AF62</f>
        <v>4865.5</v>
      </c>
      <c r="AG98" s="10">
        <f t="shared" si="102"/>
        <v>529.2</v>
      </c>
      <c r="AH98" s="10">
        <f t="shared" si="102"/>
        <v>5009.4</v>
      </c>
      <c r="AI98" s="86">
        <f t="shared" ref="AI98:AI105" si="116">AH98-AG98</f>
        <v>4480.2</v>
      </c>
      <c r="AJ98" s="87">
        <f t="shared" ref="AJ98:AJ104" si="117">AJ2+AJ14+AJ26+AJ38+AJ50+AJ62</f>
        <v>201</v>
      </c>
    </row>
    <row r="99">
      <c r="C99" s="9" t="s">
        <v>12</v>
      </c>
      <c r="D99" s="85">
        <f t="shared" ref="D99:F99" si="103">D3+D15+D27+D39+D51+D63</f>
        <v>904.9</v>
      </c>
      <c r="E99" s="10">
        <f t="shared" si="103"/>
        <v>21</v>
      </c>
      <c r="F99" s="10">
        <f t="shared" si="103"/>
        <v>883.9</v>
      </c>
      <c r="G99" s="86">
        <f t="shared" si="104"/>
        <v>862.9</v>
      </c>
      <c r="H99" s="87">
        <f t="shared" si="105"/>
        <v>30</v>
      </c>
      <c r="J99" s="9" t="s">
        <v>12</v>
      </c>
      <c r="K99" s="85">
        <f t="shared" ref="K99:M99" si="106">K3+K15+K27+K39+K51+K63</f>
        <v>3648.6</v>
      </c>
      <c r="L99" s="10">
        <f t="shared" si="106"/>
        <v>734.9</v>
      </c>
      <c r="M99" s="10">
        <f t="shared" si="106"/>
        <v>3206.6</v>
      </c>
      <c r="N99" s="86">
        <f t="shared" si="107"/>
        <v>2471.7</v>
      </c>
      <c r="O99" s="87">
        <f t="shared" si="108"/>
        <v>132</v>
      </c>
      <c r="Q99" s="9" t="s">
        <v>12</v>
      </c>
      <c r="R99" s="85">
        <f t="shared" ref="R99:T99" si="109">R3+R15+R27+R39+R51+R63</f>
        <v>2641.26</v>
      </c>
      <c r="S99" s="10">
        <f t="shared" si="109"/>
        <v>462.8</v>
      </c>
      <c r="T99" s="10">
        <f t="shared" si="109"/>
        <v>2371.36</v>
      </c>
      <c r="U99" s="86">
        <f t="shared" si="110"/>
        <v>1908.56</v>
      </c>
      <c r="V99" s="87">
        <f t="shared" si="111"/>
        <v>167</v>
      </c>
      <c r="X99" s="9" t="s">
        <v>12</v>
      </c>
      <c r="Y99" s="85">
        <f t="shared" ref="Y99:AA99" si="112">Y3+Y15+Y27+Y39+Y51+Y63</f>
        <v>3497.7</v>
      </c>
      <c r="Z99" s="10">
        <f t="shared" si="112"/>
        <v>240</v>
      </c>
      <c r="AA99" s="10">
        <f t="shared" si="112"/>
        <v>3327.7</v>
      </c>
      <c r="AB99" s="86">
        <f t="shared" si="113"/>
        <v>3087.7</v>
      </c>
      <c r="AC99" s="87">
        <f t="shared" si="114"/>
        <v>151</v>
      </c>
      <c r="AE99" s="9" t="s">
        <v>12</v>
      </c>
      <c r="AF99" s="85">
        <f t="shared" ref="AF99:AH99" si="115">AF3+AF15+AF27+AF39+AF51+AF63</f>
        <v>4264.4</v>
      </c>
      <c r="AG99" s="10">
        <f t="shared" si="115"/>
        <v>2003.7</v>
      </c>
      <c r="AH99" s="10">
        <f t="shared" si="115"/>
        <v>3280.5</v>
      </c>
      <c r="AI99" s="86">
        <f t="shared" si="116"/>
        <v>1276.8</v>
      </c>
      <c r="AJ99" s="87">
        <f t="shared" si="117"/>
        <v>200</v>
      </c>
    </row>
    <row r="100">
      <c r="C100" s="9" t="s">
        <v>14</v>
      </c>
      <c r="D100" s="85">
        <f t="shared" ref="D100:F100" si="118">D4+D16+D28+D40+D52+D64</f>
        <v>0</v>
      </c>
      <c r="E100" s="10">
        <f t="shared" si="118"/>
        <v>0</v>
      </c>
      <c r="F100" s="10">
        <f t="shared" si="118"/>
        <v>0</v>
      </c>
      <c r="G100" s="86">
        <f t="shared" si="104"/>
        <v>0</v>
      </c>
      <c r="H100" s="87">
        <f t="shared" si="105"/>
        <v>0</v>
      </c>
      <c r="J100" s="9" t="s">
        <v>14</v>
      </c>
      <c r="K100" s="85">
        <f t="shared" ref="K100:M100" si="119">K4+K16+K28+K40+K52+K64</f>
        <v>0</v>
      </c>
      <c r="L100" s="10">
        <f t="shared" si="119"/>
        <v>0</v>
      </c>
      <c r="M100" s="10">
        <f t="shared" si="119"/>
        <v>0</v>
      </c>
      <c r="N100" s="86">
        <f t="shared" si="107"/>
        <v>0</v>
      </c>
      <c r="O100" s="87">
        <f t="shared" si="108"/>
        <v>0</v>
      </c>
      <c r="Q100" s="9" t="s">
        <v>14</v>
      </c>
      <c r="R100" s="85">
        <f t="shared" ref="R100:T100" si="120">R4+R16+R28+R40+R52+R64</f>
        <v>0</v>
      </c>
      <c r="S100" s="10">
        <f t="shared" si="120"/>
        <v>0</v>
      </c>
      <c r="T100" s="10">
        <f t="shared" si="120"/>
        <v>0</v>
      </c>
      <c r="U100" s="86">
        <f t="shared" si="110"/>
        <v>0</v>
      </c>
      <c r="V100" s="87">
        <f t="shared" si="111"/>
        <v>0</v>
      </c>
      <c r="X100" s="9" t="s">
        <v>14</v>
      </c>
      <c r="Y100" s="85">
        <f t="shared" ref="Y100:AA100" si="121">Y4+Y16+Y28+Y40+Y52+Y64</f>
        <v>0</v>
      </c>
      <c r="Z100" s="10">
        <f t="shared" si="121"/>
        <v>0</v>
      </c>
      <c r="AA100" s="10">
        <f t="shared" si="121"/>
        <v>0</v>
      </c>
      <c r="AB100" s="86">
        <f t="shared" si="113"/>
        <v>0</v>
      </c>
      <c r="AC100" s="87">
        <f t="shared" si="114"/>
        <v>0</v>
      </c>
      <c r="AE100" s="9" t="s">
        <v>14</v>
      </c>
      <c r="AF100" s="85">
        <f t="shared" ref="AF100:AH100" si="122">AF4+AF16+AF28+AF40+AF52+AF64</f>
        <v>0</v>
      </c>
      <c r="AG100" s="10">
        <f t="shared" si="122"/>
        <v>0</v>
      </c>
      <c r="AH100" s="10">
        <f t="shared" si="122"/>
        <v>0</v>
      </c>
      <c r="AI100" s="86">
        <f t="shared" si="116"/>
        <v>0</v>
      </c>
      <c r="AJ100" s="87">
        <f t="shared" si="117"/>
        <v>0</v>
      </c>
    </row>
    <row r="101">
      <c r="C101" s="9" t="s">
        <v>16</v>
      </c>
      <c r="D101" s="85">
        <f t="shared" ref="D101:F101" si="123">D5+D17+D29+D41+D53+D65</f>
        <v>2775.9</v>
      </c>
      <c r="E101" s="10">
        <f t="shared" si="123"/>
        <v>604</v>
      </c>
      <c r="F101" s="10">
        <f t="shared" si="123"/>
        <v>2506.9</v>
      </c>
      <c r="G101" s="86">
        <f t="shared" si="104"/>
        <v>1902.9</v>
      </c>
      <c r="H101" s="87">
        <f t="shared" si="105"/>
        <v>119</v>
      </c>
      <c r="J101" s="9" t="s">
        <v>16</v>
      </c>
      <c r="K101" s="85">
        <f t="shared" ref="K101:M101" si="124">K5+K17+K29+K41+K53+K65</f>
        <v>10295.52</v>
      </c>
      <c r="L101" s="10">
        <f t="shared" si="124"/>
        <v>1615.5</v>
      </c>
      <c r="M101" s="10">
        <f t="shared" si="124"/>
        <v>12004.28</v>
      </c>
      <c r="N101" s="86">
        <f t="shared" si="107"/>
        <v>10388.78</v>
      </c>
      <c r="O101" s="87">
        <f t="shared" si="108"/>
        <v>385</v>
      </c>
      <c r="Q101" s="9" t="s">
        <v>16</v>
      </c>
      <c r="R101" s="85">
        <f t="shared" ref="R101:T101" si="125">R5+R17+R29+R41+R53+R65</f>
        <v>10188.66</v>
      </c>
      <c r="S101" s="10">
        <f t="shared" si="125"/>
        <v>1429</v>
      </c>
      <c r="T101" s="10">
        <f t="shared" si="125"/>
        <v>9559.46</v>
      </c>
      <c r="U101" s="86">
        <f t="shared" si="110"/>
        <v>8130.46</v>
      </c>
      <c r="V101" s="87">
        <f t="shared" si="111"/>
        <v>373</v>
      </c>
      <c r="X101" s="9" t="s">
        <v>16</v>
      </c>
      <c r="Y101" s="85">
        <f t="shared" ref="Y101:AA101" si="126">Y5+Y17+Y29+Y41+Y53+Y65</f>
        <v>11546.77</v>
      </c>
      <c r="Z101" s="10">
        <f t="shared" si="126"/>
        <v>2980.51</v>
      </c>
      <c r="AA101" s="10">
        <f t="shared" si="126"/>
        <v>10583.16</v>
      </c>
      <c r="AB101" s="86">
        <f t="shared" si="113"/>
        <v>7602.65</v>
      </c>
      <c r="AC101" s="87">
        <f t="shared" si="114"/>
        <v>439</v>
      </c>
      <c r="AE101" s="9" t="s">
        <v>16</v>
      </c>
      <c r="AF101" s="85">
        <f t="shared" ref="AF101:AH101" si="127">AF5+AF17+AF29+AF41+AF53+AF65</f>
        <v>13214.07</v>
      </c>
      <c r="AG101" s="10">
        <f t="shared" si="127"/>
        <v>1721.65</v>
      </c>
      <c r="AH101" s="10">
        <f t="shared" si="127"/>
        <v>14381.72</v>
      </c>
      <c r="AI101" s="86">
        <f t="shared" si="116"/>
        <v>12660.07</v>
      </c>
      <c r="AJ101" s="87">
        <f t="shared" si="117"/>
        <v>451</v>
      </c>
    </row>
    <row r="102">
      <c r="C102" s="9" t="s">
        <v>17</v>
      </c>
      <c r="D102" s="85">
        <f t="shared" ref="D102:F102" si="128">D6+D18+D30+D42+D54+D66</f>
        <v>518</v>
      </c>
      <c r="E102" s="10">
        <f t="shared" si="128"/>
        <v>0</v>
      </c>
      <c r="F102" s="10">
        <f t="shared" si="128"/>
        <v>518</v>
      </c>
      <c r="G102" s="86">
        <f t="shared" si="104"/>
        <v>518</v>
      </c>
      <c r="H102" s="87">
        <f t="shared" si="105"/>
        <v>29</v>
      </c>
      <c r="J102" s="9" t="s">
        <v>17</v>
      </c>
      <c r="K102" s="85">
        <f t="shared" ref="K102:M102" si="129">K6+K18+K30+K42+K54+K66</f>
        <v>7290.9</v>
      </c>
      <c r="L102" s="10">
        <f t="shared" si="129"/>
        <v>40</v>
      </c>
      <c r="M102" s="10">
        <f t="shared" si="129"/>
        <v>7501.9</v>
      </c>
      <c r="N102" s="86">
        <f t="shared" si="107"/>
        <v>7461.9</v>
      </c>
      <c r="O102" s="87">
        <f t="shared" si="108"/>
        <v>308</v>
      </c>
      <c r="Q102" s="9" t="s">
        <v>17</v>
      </c>
      <c r="R102" s="85">
        <f t="shared" ref="R102:T102" si="130">R6+R18+R30+R42+R54+R66</f>
        <v>7891.35</v>
      </c>
      <c r="S102" s="10">
        <f t="shared" si="130"/>
        <v>662.35</v>
      </c>
      <c r="T102" s="10">
        <f t="shared" si="130"/>
        <v>7586.9</v>
      </c>
      <c r="U102" s="86">
        <f t="shared" si="110"/>
        <v>6924.55</v>
      </c>
      <c r="V102" s="87">
        <f t="shared" si="111"/>
        <v>336</v>
      </c>
      <c r="X102" s="9" t="s">
        <v>17</v>
      </c>
      <c r="Y102" s="85">
        <f t="shared" ref="Y102:AA102" si="131">Y6+Y18+Y30+Y42+Y54+Y66</f>
        <v>7019.8</v>
      </c>
      <c r="Z102" s="10">
        <f t="shared" si="131"/>
        <v>381</v>
      </c>
      <c r="AA102" s="10">
        <f t="shared" si="131"/>
        <v>6734.8</v>
      </c>
      <c r="AB102" s="86">
        <f t="shared" si="113"/>
        <v>6353.8</v>
      </c>
      <c r="AC102" s="87">
        <f t="shared" si="114"/>
        <v>276</v>
      </c>
      <c r="AE102" s="9" t="s">
        <v>17</v>
      </c>
      <c r="AF102" s="85">
        <f t="shared" ref="AF102:AH102" si="132">AF6+AF18+AF30+AF42+AF54+AF66</f>
        <v>7795.3</v>
      </c>
      <c r="AG102" s="10">
        <f t="shared" si="132"/>
        <v>557</v>
      </c>
      <c r="AH102" s="10">
        <f t="shared" si="132"/>
        <v>7413.3</v>
      </c>
      <c r="AI102" s="86">
        <f t="shared" si="116"/>
        <v>6856.3</v>
      </c>
      <c r="AJ102" s="87">
        <f t="shared" si="117"/>
        <v>305</v>
      </c>
    </row>
    <row r="103">
      <c r="C103" s="9" t="s">
        <v>18</v>
      </c>
      <c r="D103" s="85">
        <f t="shared" ref="D103:F103" si="133">D7+D19+D31+D43+D55+D67</f>
        <v>0</v>
      </c>
      <c r="E103" s="85">
        <f t="shared" si="133"/>
        <v>0</v>
      </c>
      <c r="F103" s="85">
        <f t="shared" si="133"/>
        <v>0</v>
      </c>
      <c r="G103" s="86">
        <f t="shared" si="104"/>
        <v>0</v>
      </c>
      <c r="H103" s="87">
        <f t="shared" si="105"/>
        <v>0</v>
      </c>
      <c r="J103" s="9" t="s">
        <v>18</v>
      </c>
      <c r="K103" s="85">
        <f t="shared" ref="K103:M103" si="134">K7+K19+K31+K43+K55+K67</f>
        <v>0</v>
      </c>
      <c r="L103" s="85">
        <f t="shared" si="134"/>
        <v>0</v>
      </c>
      <c r="M103" s="85">
        <f t="shared" si="134"/>
        <v>200</v>
      </c>
      <c r="N103" s="86">
        <f t="shared" si="107"/>
        <v>200</v>
      </c>
      <c r="O103" s="87">
        <f t="shared" si="108"/>
        <v>27</v>
      </c>
      <c r="Q103" s="9" t="s">
        <v>18</v>
      </c>
      <c r="R103" s="85">
        <f t="shared" ref="R103:T103" si="135">R7+R19+R31+R43+R55+R67</f>
        <v>0</v>
      </c>
      <c r="S103" s="85">
        <f t="shared" si="135"/>
        <v>0</v>
      </c>
      <c r="T103" s="85">
        <f t="shared" si="135"/>
        <v>0</v>
      </c>
      <c r="U103" s="86">
        <f t="shared" si="110"/>
        <v>0</v>
      </c>
      <c r="V103" s="87">
        <f t="shared" si="111"/>
        <v>0</v>
      </c>
      <c r="X103" s="9" t="s">
        <v>18</v>
      </c>
      <c r="Y103" s="85">
        <f t="shared" ref="Y103:AA103" si="136">Y7+Y19+Y31+Y43+Y55+Y67</f>
        <v>0</v>
      </c>
      <c r="Z103" s="85">
        <f t="shared" si="136"/>
        <v>0</v>
      </c>
      <c r="AA103" s="85">
        <f t="shared" si="136"/>
        <v>0</v>
      </c>
      <c r="AB103" s="86">
        <f t="shared" si="113"/>
        <v>0</v>
      </c>
      <c r="AC103" s="87">
        <f t="shared" si="114"/>
        <v>0</v>
      </c>
      <c r="AE103" s="9" t="s">
        <v>18</v>
      </c>
      <c r="AF103" s="85">
        <f t="shared" ref="AF103:AH103" si="137">AF7+AF19+AF31+AF43+AF55+AF67</f>
        <v>0</v>
      </c>
      <c r="AG103" s="85">
        <f t="shared" si="137"/>
        <v>0</v>
      </c>
      <c r="AH103" s="85">
        <f t="shared" si="137"/>
        <v>0</v>
      </c>
      <c r="AI103" s="86">
        <f t="shared" si="116"/>
        <v>0</v>
      </c>
      <c r="AJ103" s="87">
        <f t="shared" si="117"/>
        <v>0</v>
      </c>
    </row>
    <row r="104">
      <c r="C104" s="9" t="s">
        <v>19</v>
      </c>
      <c r="D104" s="85">
        <f t="shared" ref="D104:F104" si="138">D8+D20+D32+D44+D56+D68</f>
        <v>1199.1</v>
      </c>
      <c r="E104" s="10">
        <f t="shared" si="138"/>
        <v>339.3</v>
      </c>
      <c r="F104" s="10">
        <f t="shared" si="138"/>
        <v>907.8</v>
      </c>
      <c r="G104" s="86">
        <f t="shared" si="104"/>
        <v>568.5</v>
      </c>
      <c r="H104" s="87">
        <f t="shared" si="105"/>
        <v>42</v>
      </c>
      <c r="J104" s="9" t="s">
        <v>19</v>
      </c>
      <c r="K104" s="85">
        <f t="shared" ref="K104:M104" si="139">K8+K20+K32+K44+K56+K68</f>
        <v>4159.5</v>
      </c>
      <c r="L104" s="10">
        <f t="shared" si="139"/>
        <v>752.8</v>
      </c>
      <c r="M104" s="10">
        <f t="shared" si="139"/>
        <v>3986.6</v>
      </c>
      <c r="N104" s="86">
        <f t="shared" si="107"/>
        <v>3233.8</v>
      </c>
      <c r="O104" s="87">
        <f t="shared" si="108"/>
        <v>170</v>
      </c>
      <c r="Q104" s="9" t="s">
        <v>19</v>
      </c>
      <c r="R104" s="85">
        <f t="shared" ref="R104:T104" si="140">R8+R20+R32+R44+R56+R68</f>
        <v>5693.6</v>
      </c>
      <c r="S104" s="10">
        <f t="shared" si="140"/>
        <v>988.9</v>
      </c>
      <c r="T104" s="10">
        <f t="shared" si="140"/>
        <v>5344.1</v>
      </c>
      <c r="U104" s="86">
        <f t="shared" si="110"/>
        <v>4355.2</v>
      </c>
      <c r="V104" s="87">
        <f t="shared" si="111"/>
        <v>218</v>
      </c>
      <c r="X104" s="9" t="s">
        <v>19</v>
      </c>
      <c r="Y104" s="85">
        <f t="shared" ref="Y104:AA104" si="141">Y8+Y20+Y32+Y44+Y56+Y68</f>
        <v>4563.05</v>
      </c>
      <c r="Z104" s="10">
        <f t="shared" si="141"/>
        <v>615.85</v>
      </c>
      <c r="AA104" s="10">
        <f t="shared" si="141"/>
        <v>4561.2</v>
      </c>
      <c r="AB104" s="86">
        <f t="shared" si="113"/>
        <v>3945.35</v>
      </c>
      <c r="AC104" s="87">
        <f t="shared" si="114"/>
        <v>181</v>
      </c>
      <c r="AE104" s="9" t="s">
        <v>19</v>
      </c>
      <c r="AF104" s="85">
        <f t="shared" ref="AF104:AH104" si="142">AF8+AF20+AF32+AF44+AF56+AF68</f>
        <v>3867.4</v>
      </c>
      <c r="AG104" s="10">
        <f t="shared" si="142"/>
        <v>773.8</v>
      </c>
      <c r="AH104" s="10">
        <f t="shared" si="142"/>
        <v>4042.8</v>
      </c>
      <c r="AI104" s="86">
        <f t="shared" si="116"/>
        <v>3269</v>
      </c>
      <c r="AJ104" s="87">
        <f t="shared" si="117"/>
        <v>201</v>
      </c>
    </row>
    <row r="105">
      <c r="C105" s="26" t="s">
        <v>21</v>
      </c>
      <c r="D105" s="85">
        <f t="shared" ref="D105:F105" si="143">D9+D21+D33+D45+D57+D69+D81</f>
        <v>3792.7</v>
      </c>
      <c r="E105" s="10">
        <f t="shared" si="143"/>
        <v>101</v>
      </c>
      <c r="F105" s="10">
        <f t="shared" si="143"/>
        <v>4410.93</v>
      </c>
      <c r="G105" s="86">
        <f t="shared" si="104"/>
        <v>4309.93</v>
      </c>
      <c r="H105" s="87">
        <f>H9+H21+H33+H45+H57+H69+H81</f>
        <v>186</v>
      </c>
      <c r="J105" s="26" t="s">
        <v>21</v>
      </c>
      <c r="K105" s="85">
        <f t="shared" ref="K105:M105" si="144">K9+K21+K33+K45+K57+K69+K81</f>
        <v>11980.22</v>
      </c>
      <c r="L105" s="10">
        <f t="shared" si="144"/>
        <v>2154.07</v>
      </c>
      <c r="M105" s="10">
        <f t="shared" si="144"/>
        <v>11919.15</v>
      </c>
      <c r="N105" s="86">
        <f t="shared" si="107"/>
        <v>9765.08</v>
      </c>
      <c r="O105" s="87">
        <f>O9+O21+O33+O45+O57+O69+O81</f>
        <v>529</v>
      </c>
      <c r="Q105" s="26" t="s">
        <v>21</v>
      </c>
      <c r="R105" s="85">
        <f t="shared" ref="R105:T105" si="145">R9+R21+R33+R45+R57+R69+R81</f>
        <v>12109.82</v>
      </c>
      <c r="S105" s="10">
        <f t="shared" si="145"/>
        <v>1788.3</v>
      </c>
      <c r="T105" s="10">
        <f t="shared" si="145"/>
        <v>11255.72</v>
      </c>
      <c r="U105" s="86">
        <f t="shared" si="110"/>
        <v>9467.42</v>
      </c>
      <c r="V105" s="87">
        <f>V9+V21+V33+V45+V57+V69+V81</f>
        <v>531</v>
      </c>
      <c r="X105" s="26" t="s">
        <v>21</v>
      </c>
      <c r="Y105" s="85">
        <f t="shared" ref="Y105:AA105" si="146">Y9+Y21+Y33+Y45+Y57+Y69+Y81</f>
        <v>18230.23</v>
      </c>
      <c r="Z105" s="10">
        <f t="shared" si="146"/>
        <v>1744.9</v>
      </c>
      <c r="AA105" s="10">
        <f t="shared" si="146"/>
        <v>18909.33</v>
      </c>
      <c r="AB105" s="86">
        <f t="shared" si="113"/>
        <v>17164.43</v>
      </c>
      <c r="AC105" s="87">
        <f>AC9+AC21+AC33+AC45+AC57+AC69+AC81</f>
        <v>613</v>
      </c>
      <c r="AE105" s="26" t="s">
        <v>21</v>
      </c>
      <c r="AF105" s="85">
        <f t="shared" ref="AF105:AH105" si="147">AF9+AF21+AF33+AF45+AF57+AF69+AF81</f>
        <v>17573.38</v>
      </c>
      <c r="AG105" s="10">
        <f t="shared" si="147"/>
        <v>2304.98</v>
      </c>
      <c r="AH105" s="10">
        <f t="shared" si="147"/>
        <v>16583.97</v>
      </c>
      <c r="AI105" s="86">
        <f t="shared" si="116"/>
        <v>14278.99</v>
      </c>
      <c r="AJ105" s="87">
        <f>AJ9+AJ21+AJ33+AJ45+AJ57+AJ69+AJ81</f>
        <v>709</v>
      </c>
    </row>
    <row r="106">
      <c r="C106" s="88" t="s">
        <v>57</v>
      </c>
      <c r="D106" s="41">
        <f t="array" ref="D106">D98+D99+D100+D101+D102+D103+D104+D105</f>
        <v>10321.5</v>
      </c>
      <c r="E106" s="42">
        <f t="array" ref="E106">E98+E99+E100+E101+E102+E103+E104+E105</f>
        <v>1394.3</v>
      </c>
      <c r="F106" s="43">
        <f t="array" ref="F106">F98+F99+F100+F101+F102+F103+F104+F105</f>
        <v>10029.43</v>
      </c>
      <c r="G106" s="89">
        <f t="array" ref="G106">G98+G99+G100+G101+G102+G103+G104+G105</f>
        <v>8635.13</v>
      </c>
      <c r="H106" s="44">
        <f t="array" ref="H106">H98+H99+H100+H101+H102+H103+H104+H105</f>
        <v>466</v>
      </c>
      <c r="J106" s="88" t="s">
        <v>57</v>
      </c>
      <c r="K106" s="41">
        <f t="array" ref="K106">K98+K99+K100+K101+K102+K103+K104+K105</f>
        <v>42531.37</v>
      </c>
      <c r="L106" s="42">
        <f t="array" ref="L106">L98+L99+L100+L101+L102+L103+L104+L105</f>
        <v>5993.67</v>
      </c>
      <c r="M106" s="43">
        <f t="array" ref="M106">M98+M99+M100+M101+M102+M103+M104+M105</f>
        <v>44934.36</v>
      </c>
      <c r="N106" s="89">
        <f t="array" ref="N106">N98+N99+N100+N101+N102+N103+N104+N105</f>
        <v>38940.69</v>
      </c>
      <c r="O106" s="44">
        <f t="array" ref="O106">O98+O99+O100+O101+O102+O103+O104+O105</f>
        <v>1751</v>
      </c>
      <c r="Q106" s="88" t="s">
        <v>57</v>
      </c>
      <c r="R106" s="41">
        <f t="array" ref="R106">R98+R99+R100+R101+R102+R103+R104+R105</f>
        <v>42288.19</v>
      </c>
      <c r="S106" s="42">
        <f t="array" ref="S106">S98+S99+S100+S101+S102+S103+S104+S105</f>
        <v>5495.35</v>
      </c>
      <c r="T106" s="43">
        <f t="array" ref="T106">T98+T99+T100+T101+T102+T103+T104+T105</f>
        <v>39854.61</v>
      </c>
      <c r="U106" s="89">
        <f t="array" ref="U106">U98+U99+U100+U101+U102+U103+U104+U105</f>
        <v>34359.26</v>
      </c>
      <c r="V106" s="44">
        <f t="array" ref="V106">V98+V99+V100+V101+V102+V103+V104+V105</f>
        <v>1751</v>
      </c>
      <c r="X106" s="88" t="s">
        <v>57</v>
      </c>
      <c r="Y106" s="41">
        <f t="array" ref="Y106">Y98+Y99+Y100+Y101+Y102+Y103+Y104+Y105</f>
        <v>49510.75</v>
      </c>
      <c r="Z106" s="42">
        <f t="array" ref="Z106">Z98+Z99+Z100+Z101+Z102+Z103+Z104+Z105</f>
        <v>6542.16</v>
      </c>
      <c r="AA106" s="43">
        <f t="array" ref="AA106">AA98+AA99+AA100+AA101+AA102+AA103+AA104+AA105</f>
        <v>48875.14</v>
      </c>
      <c r="AB106" s="89">
        <f t="array" ref="AB106">AB98+AB99+AB100+AB101+AB102+AB103+AB104+AB105</f>
        <v>42332.98</v>
      </c>
      <c r="AC106" s="44">
        <f t="array" ref="AC106">AC98+AC99+AC100+AC101+AC102+AC103+AC104+AC105</f>
        <v>1855</v>
      </c>
      <c r="AE106" s="88" t="s">
        <v>57</v>
      </c>
      <c r="AF106" s="41">
        <f t="array" ref="AF106">AF98+AF99+AF100+AF101+AF102+AF103+AF104+AF105</f>
        <v>51580.05</v>
      </c>
      <c r="AG106" s="42">
        <f t="array" ref="AG106">AG98+AG99+AG100+AG101+AG102+AG103+AG104+AG105</f>
        <v>7890.33</v>
      </c>
      <c r="AH106" s="43">
        <f t="array" ref="AH106">AH98+AH99+AH100+AH101+AH102+AH103+AH104+AH105</f>
        <v>50711.69</v>
      </c>
      <c r="AI106" s="89">
        <f t="array" ref="AI106">AI98+AI99+AI100+AI101+AI102+AI103+AI104+AI105</f>
        <v>42821.36</v>
      </c>
      <c r="AJ106" s="44">
        <f t="array" ref="AJ106">AJ98+AJ99+AJ100+AJ101+AJ102+AJ103+AJ104+AJ105</f>
        <v>2067</v>
      </c>
    </row>
    <row r="107">
      <c r="A107" s="55"/>
      <c r="B107" s="55"/>
      <c r="C107" s="90" t="s">
        <v>58</v>
      </c>
      <c r="D107" s="91">
        <f t="shared" ref="D107:H107" si="148">D106/6</f>
        <v>1720.25</v>
      </c>
      <c r="E107" s="92">
        <f t="shared" si="148"/>
        <v>232.3833333</v>
      </c>
      <c r="F107" s="93">
        <f t="shared" si="148"/>
        <v>1671.571667</v>
      </c>
      <c r="G107" s="89">
        <f t="shared" si="148"/>
        <v>1439.188333</v>
      </c>
      <c r="H107" s="94">
        <f t="shared" si="148"/>
        <v>77.66666667</v>
      </c>
      <c r="I107" s="55"/>
      <c r="J107" s="90" t="s">
        <v>58</v>
      </c>
      <c r="K107" s="91">
        <f t="shared" ref="K107:O107" si="149">K106/6</f>
        <v>7088.561667</v>
      </c>
      <c r="L107" s="92">
        <f t="shared" si="149"/>
        <v>998.945</v>
      </c>
      <c r="M107" s="93">
        <f t="shared" si="149"/>
        <v>7489.06</v>
      </c>
      <c r="N107" s="89">
        <f t="shared" si="149"/>
        <v>6490.115</v>
      </c>
      <c r="O107" s="94">
        <f t="shared" si="149"/>
        <v>291.8333333</v>
      </c>
      <c r="P107" s="55"/>
      <c r="Q107" s="90" t="s">
        <v>58</v>
      </c>
      <c r="R107" s="91">
        <f t="shared" ref="R107:V107" si="150">R106/6</f>
        <v>7048.031667</v>
      </c>
      <c r="S107" s="92">
        <f t="shared" si="150"/>
        <v>915.8916667</v>
      </c>
      <c r="T107" s="93">
        <f t="shared" si="150"/>
        <v>6642.435</v>
      </c>
      <c r="U107" s="89">
        <f t="shared" si="150"/>
        <v>5726.543333</v>
      </c>
      <c r="V107" s="94">
        <f t="shared" si="150"/>
        <v>291.8333333</v>
      </c>
      <c r="W107" s="55"/>
      <c r="X107" s="90" t="s">
        <v>58</v>
      </c>
      <c r="Y107" s="91">
        <f t="shared" ref="Y107:AC107" si="151">Y106/6</f>
        <v>8251.791667</v>
      </c>
      <c r="Z107" s="92">
        <f t="shared" si="151"/>
        <v>1090.36</v>
      </c>
      <c r="AA107" s="93">
        <f t="shared" si="151"/>
        <v>8145.856667</v>
      </c>
      <c r="AB107" s="89">
        <f t="shared" si="151"/>
        <v>7055.496667</v>
      </c>
      <c r="AC107" s="94">
        <f t="shared" si="151"/>
        <v>309.1666667</v>
      </c>
      <c r="AD107" s="55"/>
      <c r="AE107" s="90" t="s">
        <v>58</v>
      </c>
      <c r="AF107" s="91">
        <f t="shared" ref="AF107:AJ107" si="152">AF106/6</f>
        <v>8596.675</v>
      </c>
      <c r="AG107" s="92">
        <f t="shared" si="152"/>
        <v>1315.055</v>
      </c>
      <c r="AH107" s="93">
        <f t="shared" si="152"/>
        <v>8451.948333</v>
      </c>
      <c r="AI107" s="89">
        <f t="shared" si="152"/>
        <v>7136.893333</v>
      </c>
      <c r="AJ107" s="94">
        <f t="shared" si="152"/>
        <v>344.5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L124" s="96">
        <v>46053.0</v>
      </c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V126" s="55"/>
      <c r="AC126" s="55"/>
      <c r="AJ126" s="55"/>
    </row>
    <row r="127">
      <c r="C127" s="9" t="s">
        <v>10</v>
      </c>
      <c r="D127" s="100">
        <f t="shared" ref="D127:H127" si="153">D98+K98+R98+Y98+AF98</f>
        <v>19569.73</v>
      </c>
      <c r="E127" s="101">
        <f t="shared" si="153"/>
        <v>2298.5</v>
      </c>
      <c r="F127" s="102">
        <f t="shared" si="153"/>
        <v>20423.15</v>
      </c>
      <c r="G127" s="86">
        <f t="shared" si="153"/>
        <v>18124.65</v>
      </c>
      <c r="H127" s="103">
        <f t="shared" si="153"/>
        <v>782</v>
      </c>
      <c r="I127" s="104" t="s">
        <v>71</v>
      </c>
      <c r="J127" s="105">
        <f t="shared" ref="J127:J134" si="155">D98+K98+R98+Y98+AF98</f>
        <v>19569.73</v>
      </c>
      <c r="K127" s="105"/>
      <c r="L127" s="106"/>
      <c r="M127" s="107">
        <f t="shared" ref="M127:M134" si="156">J127/26</f>
        <v>752.6819231</v>
      </c>
      <c r="N127" s="107">
        <f t="shared" ref="N127:N134" si="157">(M127*0)+J127</f>
        <v>19569.73</v>
      </c>
      <c r="O127" s="55"/>
      <c r="V127" s="55"/>
      <c r="AC127" s="55"/>
      <c r="AJ127" s="55"/>
    </row>
    <row r="128">
      <c r="C128" s="9" t="s">
        <v>12</v>
      </c>
      <c r="D128" s="100">
        <f t="shared" ref="D128:H128" si="154">D99+K99+R99+Y99+AF99</f>
        <v>14956.86</v>
      </c>
      <c r="E128" s="101">
        <f t="shared" si="154"/>
        <v>3462.4</v>
      </c>
      <c r="F128" s="102">
        <f t="shared" si="154"/>
        <v>13070.06</v>
      </c>
      <c r="G128" s="86">
        <f t="shared" si="154"/>
        <v>9607.66</v>
      </c>
      <c r="H128" s="103">
        <f t="shared" si="154"/>
        <v>680</v>
      </c>
      <c r="I128" s="104" t="s">
        <v>72</v>
      </c>
      <c r="J128" s="105">
        <f t="shared" si="155"/>
        <v>14956.86</v>
      </c>
      <c r="K128" s="105"/>
      <c r="L128" s="9"/>
      <c r="M128" s="107">
        <f t="shared" si="156"/>
        <v>575.2638462</v>
      </c>
      <c r="N128" s="107">
        <f t="shared" si="157"/>
        <v>14956.86</v>
      </c>
      <c r="O128" s="55"/>
      <c r="V128" s="55"/>
      <c r="AC128" s="55"/>
      <c r="AJ128" s="55"/>
    </row>
    <row r="129">
      <c r="C129" s="9" t="s">
        <v>14</v>
      </c>
      <c r="D129" s="100">
        <f t="shared" ref="D129:H129" si="158">D100+K100+R100+Y100+AF100</f>
        <v>0</v>
      </c>
      <c r="E129" s="101">
        <f t="shared" si="158"/>
        <v>0</v>
      </c>
      <c r="F129" s="102">
        <f t="shared" si="158"/>
        <v>0</v>
      </c>
      <c r="G129" s="86">
        <f t="shared" si="158"/>
        <v>0</v>
      </c>
      <c r="H129" s="103">
        <f t="shared" si="158"/>
        <v>0</v>
      </c>
      <c r="I129" s="104" t="s">
        <v>73</v>
      </c>
      <c r="J129" s="105">
        <f t="shared" si="155"/>
        <v>0</v>
      </c>
      <c r="K129" s="105"/>
      <c r="L129" s="9"/>
      <c r="M129" s="107">
        <f t="shared" si="156"/>
        <v>0</v>
      </c>
      <c r="N129" s="107">
        <f t="shared" si="157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59">D101+K101+R101+Y101+AF101</f>
        <v>48020.92</v>
      </c>
      <c r="E130" s="101">
        <f t="shared" si="159"/>
        <v>8350.66</v>
      </c>
      <c r="F130" s="102">
        <f t="shared" si="159"/>
        <v>49035.52</v>
      </c>
      <c r="G130" s="86">
        <f t="shared" si="159"/>
        <v>40684.86</v>
      </c>
      <c r="H130" s="103">
        <f t="shared" si="159"/>
        <v>1767</v>
      </c>
      <c r="I130" s="104" t="s">
        <v>74</v>
      </c>
      <c r="J130" s="108">
        <f t="shared" si="155"/>
        <v>48020.92</v>
      </c>
      <c r="K130" s="105"/>
      <c r="L130" s="106"/>
      <c r="M130" s="107">
        <f t="shared" si="156"/>
        <v>1846.958462</v>
      </c>
      <c r="N130" s="107">
        <f t="shared" si="157"/>
        <v>48020.92</v>
      </c>
      <c r="O130" s="55"/>
      <c r="V130" s="55"/>
      <c r="AC130" s="55"/>
      <c r="AJ130" s="55"/>
    </row>
    <row r="131">
      <c r="C131" s="9" t="s">
        <v>17</v>
      </c>
      <c r="D131" s="100">
        <f t="shared" ref="D131:H131" si="160">D102+K102+R102+Y102+AF102</f>
        <v>30515.35</v>
      </c>
      <c r="E131" s="101">
        <f t="shared" si="160"/>
        <v>1640.35</v>
      </c>
      <c r="F131" s="102">
        <f t="shared" si="160"/>
        <v>29754.9</v>
      </c>
      <c r="G131" s="86">
        <f t="shared" si="160"/>
        <v>28114.55</v>
      </c>
      <c r="H131" s="103">
        <f t="shared" si="160"/>
        <v>1254</v>
      </c>
      <c r="I131" s="104" t="s">
        <v>75</v>
      </c>
      <c r="J131" s="108">
        <f t="shared" si="155"/>
        <v>30515.35</v>
      </c>
      <c r="K131" s="105"/>
      <c r="L131" s="9"/>
      <c r="M131" s="107">
        <f t="shared" si="156"/>
        <v>1173.667308</v>
      </c>
      <c r="N131" s="107">
        <f t="shared" si="157"/>
        <v>30515.35</v>
      </c>
      <c r="O131" s="55"/>
      <c r="V131" s="55"/>
      <c r="AC131" s="55"/>
      <c r="AJ131" s="55"/>
    </row>
    <row r="132">
      <c r="C132" s="9" t="s">
        <v>18</v>
      </c>
      <c r="D132" s="13">
        <f t="shared" ref="D132:H132" si="161">D103+K103+R103+Y103+AF103</f>
        <v>0</v>
      </c>
      <c r="E132" s="21">
        <f t="shared" si="161"/>
        <v>0</v>
      </c>
      <c r="F132" s="17">
        <f t="shared" si="161"/>
        <v>200</v>
      </c>
      <c r="G132" s="16">
        <f t="shared" si="161"/>
        <v>200</v>
      </c>
      <c r="H132" s="109">
        <f t="shared" si="161"/>
        <v>27</v>
      </c>
      <c r="I132" s="104" t="s">
        <v>76</v>
      </c>
      <c r="J132" s="105">
        <f t="shared" si="155"/>
        <v>0</v>
      </c>
      <c r="K132" s="105"/>
      <c r="L132" s="9"/>
      <c r="M132" s="107">
        <f t="shared" si="156"/>
        <v>0</v>
      </c>
      <c r="N132" s="107">
        <f t="shared" si="157"/>
        <v>0</v>
      </c>
      <c r="O132" s="55"/>
      <c r="V132" s="55"/>
      <c r="AC132" s="55"/>
      <c r="AJ132" s="55"/>
    </row>
    <row r="133">
      <c r="C133" s="9" t="s">
        <v>19</v>
      </c>
      <c r="D133" s="100">
        <f t="shared" ref="D133:H133" si="162">D104+K104+R104+Y104+AF104</f>
        <v>19482.65</v>
      </c>
      <c r="E133" s="101">
        <f t="shared" si="162"/>
        <v>3470.65</v>
      </c>
      <c r="F133" s="102">
        <f t="shared" si="162"/>
        <v>18842.5</v>
      </c>
      <c r="G133" s="86">
        <f t="shared" si="162"/>
        <v>15371.85</v>
      </c>
      <c r="H133" s="103">
        <f t="shared" si="162"/>
        <v>812</v>
      </c>
      <c r="I133" s="104" t="s">
        <v>77</v>
      </c>
      <c r="J133" s="105">
        <f t="shared" si="155"/>
        <v>19482.65</v>
      </c>
      <c r="K133" s="105"/>
      <c r="L133" s="106"/>
      <c r="M133" s="107">
        <f t="shared" si="156"/>
        <v>749.3326923</v>
      </c>
      <c r="N133" s="107">
        <f t="shared" si="157"/>
        <v>19482.65</v>
      </c>
      <c r="O133" s="55"/>
      <c r="V133" s="55"/>
      <c r="AC133" s="55"/>
      <c r="AJ133" s="55"/>
    </row>
    <row r="134">
      <c r="C134" s="26" t="s">
        <v>22</v>
      </c>
      <c r="D134" s="100">
        <f t="shared" ref="D134:H134" si="163">D105+K105+R105+Y105+AF105</f>
        <v>63686.35</v>
      </c>
      <c r="E134" s="101">
        <f t="shared" si="163"/>
        <v>8093.25</v>
      </c>
      <c r="F134" s="102">
        <f t="shared" si="163"/>
        <v>63079.1</v>
      </c>
      <c r="G134" s="86">
        <f t="shared" si="163"/>
        <v>54985.85</v>
      </c>
      <c r="H134" s="103">
        <f t="shared" si="163"/>
        <v>2568</v>
      </c>
      <c r="I134" s="104" t="s">
        <v>78</v>
      </c>
      <c r="J134" s="105">
        <f t="shared" si="155"/>
        <v>63686.35</v>
      </c>
      <c r="K134" s="105"/>
      <c r="L134" s="106"/>
      <c r="M134" s="107">
        <f t="shared" si="156"/>
        <v>2449.475</v>
      </c>
      <c r="N134" s="107">
        <f t="shared" si="157"/>
        <v>63686.35</v>
      </c>
      <c r="O134" s="55"/>
      <c r="V134" s="55"/>
      <c r="AC134" s="55"/>
      <c r="AJ134" s="55"/>
    </row>
    <row r="135">
      <c r="C135" s="78"/>
      <c r="I135" s="104" t="s">
        <v>79</v>
      </c>
      <c r="J135" s="105"/>
      <c r="K135" s="105"/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/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/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/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196231.86</v>
      </c>
      <c r="K139" s="112">
        <f>SUM(K127+K128+K129+K130+K131+K132+K133+K134+K135+K136+K137+K138)</f>
        <v>0</v>
      </c>
      <c r="L139" s="113"/>
      <c r="M139" s="112">
        <f t="shared" ref="M139:N139" si="164">SUM(M127+M128+M129+M130+M131+M132+M133+M134)</f>
        <v>7547.379231</v>
      </c>
      <c r="N139" s="112">
        <f t="shared" si="164"/>
        <v>196231.86</v>
      </c>
      <c r="O139" s="55"/>
      <c r="V139" s="55"/>
      <c r="AC139" s="55"/>
      <c r="AJ139" s="55"/>
    </row>
    <row r="140">
      <c r="O140" s="55"/>
      <c r="V140" s="55"/>
      <c r="AC140" s="55"/>
      <c r="AJ140" s="55"/>
    </row>
    <row r="141">
      <c r="O141" s="55"/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196231.86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196231.86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27315.81</v>
      </c>
      <c r="E144" s="47"/>
      <c r="F144" s="47"/>
      <c r="G144" s="47"/>
      <c r="H144" s="48"/>
      <c r="L144" s="97" t="s">
        <v>87</v>
      </c>
      <c r="M144" s="114">
        <f>J139+(M139*0)</f>
        <v>196231.86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194405.23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168916.05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167089.42</v>
      </c>
      <c r="E147" s="47"/>
      <c r="F147" s="47"/>
      <c r="G147" s="47"/>
      <c r="H147" s="48"/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7890</v>
      </c>
      <c r="E148" s="47"/>
      <c r="F148" s="47"/>
      <c r="G148" s="47"/>
      <c r="H148" s="48"/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194405.23</v>
      </c>
      <c r="E151" s="47"/>
      <c r="F151" s="47"/>
      <c r="G151" s="47"/>
      <c r="H151" s="48"/>
      <c r="O151" s="55"/>
      <c r="V151" s="55"/>
      <c r="AC151" s="55"/>
      <c r="AJ151" s="55"/>
    </row>
    <row r="152"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7547.379231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1050.608077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6496.771154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D143:G143/26</f>
        <v>7547.379231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29"/>
      <c r="Q203" s="9" t="s">
        <v>10</v>
      </c>
      <c r="R203" s="120"/>
      <c r="S203" s="49"/>
      <c r="T203" s="49"/>
      <c r="U203" s="49"/>
      <c r="V203" s="51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9">
        <v>202.0</v>
      </c>
      <c r="R204" s="122"/>
      <c r="S204" s="49"/>
      <c r="T204" s="49"/>
      <c r="U204" s="49"/>
      <c r="V204" s="51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9">
        <v>213.0</v>
      </c>
      <c r="R205" s="122"/>
      <c r="S205" s="49"/>
      <c r="T205" s="49"/>
      <c r="U205" s="49"/>
      <c r="V205" s="51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9">
        <v>307.0</v>
      </c>
      <c r="R206" s="122"/>
      <c r="S206" s="49"/>
      <c r="T206" s="49"/>
      <c r="U206" s="49"/>
      <c r="V206" s="51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9">
        <v>313.0</v>
      </c>
      <c r="R207" s="122"/>
      <c r="S207" s="49"/>
      <c r="T207" s="49"/>
      <c r="U207" s="49"/>
      <c r="V207" s="51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9" t="s">
        <v>19</v>
      </c>
      <c r="R208" s="122"/>
      <c r="S208" s="49"/>
      <c r="T208" s="49"/>
      <c r="U208" s="49"/>
      <c r="V208" s="51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9" t="s">
        <v>22</v>
      </c>
      <c r="R209" s="123"/>
      <c r="S209" s="48"/>
      <c r="T209" s="120"/>
      <c r="U209" s="49"/>
      <c r="V209" s="51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5419.65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2700.8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4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R209:S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2.88"/>
    <col customWidth="1" min="2" max="2" width="10.38"/>
  </cols>
  <sheetData>
    <row r="1">
      <c r="A1" s="66"/>
      <c r="J1" s="77" t="s">
        <v>119</v>
      </c>
      <c r="K1" s="47"/>
      <c r="L1" s="47"/>
      <c r="M1" s="48"/>
    </row>
    <row r="2">
      <c r="I2" s="118" t="s">
        <v>62</v>
      </c>
      <c r="J2" s="2" t="s">
        <v>120</v>
      </c>
      <c r="K2" s="2" t="s">
        <v>121</v>
      </c>
      <c r="L2" s="2" t="s">
        <v>122</v>
      </c>
      <c r="M2" s="2" t="s">
        <v>123</v>
      </c>
    </row>
    <row r="3">
      <c r="I3" s="135">
        <v>202.0</v>
      </c>
      <c r="J3" s="10">
        <v>14688.94</v>
      </c>
      <c r="K3" s="10">
        <v>16995.73</v>
      </c>
      <c r="L3" s="10">
        <v>13920.6</v>
      </c>
      <c r="M3" s="10">
        <v>9776.45</v>
      </c>
    </row>
    <row r="4">
      <c r="I4" s="135">
        <v>213.0</v>
      </c>
      <c r="J4" s="10">
        <v>17401.26</v>
      </c>
      <c r="K4" s="10">
        <v>17473.56</v>
      </c>
      <c r="L4" s="10">
        <v>14995.9</v>
      </c>
      <c r="M4" s="10">
        <v>17427.74</v>
      </c>
    </row>
    <row r="5">
      <c r="I5" s="135">
        <v>307.0</v>
      </c>
      <c r="J5" s="10">
        <v>39820.56</v>
      </c>
      <c r="K5" s="10">
        <v>41926.9</v>
      </c>
      <c r="L5" s="10">
        <v>37635.21</v>
      </c>
      <c r="M5" s="10">
        <v>38715.8</v>
      </c>
    </row>
    <row r="6">
      <c r="I6" s="135">
        <v>313.0</v>
      </c>
      <c r="J6" s="10">
        <v>0.0</v>
      </c>
      <c r="K6" s="10">
        <v>7543.0</v>
      </c>
      <c r="L6" s="10">
        <v>13055.9</v>
      </c>
      <c r="M6" s="10">
        <v>10273.45</v>
      </c>
    </row>
    <row r="7">
      <c r="I7" s="135" t="s">
        <v>71</v>
      </c>
      <c r="J7" s="136"/>
      <c r="K7" s="51"/>
      <c r="L7" s="10">
        <v>4075.53</v>
      </c>
      <c r="M7" s="10">
        <v>8989.87</v>
      </c>
    </row>
    <row r="8">
      <c r="I8" s="135" t="s">
        <v>19</v>
      </c>
      <c r="J8" s="10">
        <v>24877.16</v>
      </c>
      <c r="K8" s="10">
        <v>17318.11</v>
      </c>
      <c r="L8" s="10">
        <v>19683.3</v>
      </c>
      <c r="M8" s="10">
        <v>17992.5</v>
      </c>
    </row>
    <row r="9">
      <c r="I9" s="137" t="s">
        <v>57</v>
      </c>
      <c r="J9" s="138">
        <f t="shared" ref="J9:M9" si="1">J3+J4+J5+J6+J7+J8</f>
        <v>96787.92</v>
      </c>
      <c r="K9" s="138">
        <f t="shared" si="1"/>
        <v>101257.3</v>
      </c>
      <c r="L9" s="138">
        <f t="shared" si="1"/>
        <v>103366.44</v>
      </c>
      <c r="M9" s="138">
        <f t="shared" si="1"/>
        <v>103175.81</v>
      </c>
    </row>
    <row r="10">
      <c r="I10" s="139" t="s">
        <v>124</v>
      </c>
      <c r="J10" s="140">
        <f>J9+K9+L9+M9</f>
        <v>404587.47</v>
      </c>
      <c r="K10" s="47"/>
      <c r="L10" s="47"/>
      <c r="M10" s="48"/>
    </row>
    <row r="12">
      <c r="B12" s="77" t="s">
        <v>125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8"/>
    </row>
    <row r="13">
      <c r="A13" s="118" t="s">
        <v>62</v>
      </c>
      <c r="B13" s="2" t="s">
        <v>126</v>
      </c>
      <c r="C13" s="2" t="s">
        <v>127</v>
      </c>
      <c r="D13" s="2" t="s">
        <v>128</v>
      </c>
      <c r="E13" s="2" t="s">
        <v>129</v>
      </c>
      <c r="F13" s="2" t="s">
        <v>130</v>
      </c>
      <c r="G13" s="2" t="s">
        <v>131</v>
      </c>
      <c r="H13" s="2" t="s">
        <v>132</v>
      </c>
      <c r="I13" s="2" t="s">
        <v>133</v>
      </c>
      <c r="J13" s="2" t="s">
        <v>120</v>
      </c>
      <c r="K13" s="2" t="s">
        <v>121</v>
      </c>
      <c r="L13" s="2" t="s">
        <v>134</v>
      </c>
      <c r="M13" s="2" t="s">
        <v>123</v>
      </c>
      <c r="O13" s="2" t="s">
        <v>135</v>
      </c>
    </row>
    <row r="14">
      <c r="A14" s="141" t="s">
        <v>32</v>
      </c>
      <c r="B14" s="10">
        <v>11957.8</v>
      </c>
      <c r="C14" s="10">
        <v>9855.58</v>
      </c>
      <c r="D14" s="10">
        <v>11843.23</v>
      </c>
      <c r="E14" s="10">
        <v>13074.46</v>
      </c>
      <c r="F14" s="10">
        <v>11484.73</v>
      </c>
      <c r="G14" s="10">
        <v>13540.53</v>
      </c>
      <c r="H14" s="10">
        <v>17314.1</v>
      </c>
      <c r="I14" s="10">
        <v>17483.18</v>
      </c>
      <c r="J14" s="10">
        <v>15424.26</v>
      </c>
      <c r="K14" s="10">
        <v>13337.64</v>
      </c>
      <c r="L14" s="10">
        <v>16819.49</v>
      </c>
      <c r="M14" s="10">
        <v>14128.32</v>
      </c>
      <c r="O14" s="51">
        <f t="shared" ref="O14:O17" si="2">(C14+D14+E14+F14+G14+H14+I14+J14+K14+L14+M14)/12</f>
        <v>12858.79333</v>
      </c>
    </row>
    <row r="15">
      <c r="A15" s="141" t="s">
        <v>14</v>
      </c>
      <c r="B15" s="10">
        <v>18085.15</v>
      </c>
      <c r="C15" s="10">
        <v>16018.83</v>
      </c>
      <c r="D15" s="10">
        <v>14639.95</v>
      </c>
      <c r="E15" s="10">
        <v>16569.81</v>
      </c>
      <c r="F15" s="10">
        <v>18127.68</v>
      </c>
      <c r="G15" s="10">
        <v>16896.93</v>
      </c>
      <c r="H15" s="10">
        <v>17790.89</v>
      </c>
      <c r="I15" s="10">
        <v>19754.73</v>
      </c>
      <c r="J15" s="10">
        <v>17001.54</v>
      </c>
      <c r="K15" s="10">
        <v>17803.02</v>
      </c>
      <c r="L15" s="10">
        <v>13036.38</v>
      </c>
      <c r="M15" s="10">
        <v>17726.84</v>
      </c>
      <c r="O15" s="51">
        <f t="shared" si="2"/>
        <v>15447.21667</v>
      </c>
    </row>
    <row r="16">
      <c r="A16" s="141" t="s">
        <v>16</v>
      </c>
      <c r="B16" s="10">
        <v>40832.92</v>
      </c>
      <c r="C16" s="10">
        <v>34766.15</v>
      </c>
      <c r="D16" s="10">
        <v>37138.31</v>
      </c>
      <c r="E16" s="10">
        <v>36583.9</v>
      </c>
      <c r="F16" s="10">
        <v>35900.67</v>
      </c>
      <c r="G16" s="10">
        <v>32882.06</v>
      </c>
      <c r="H16" s="10">
        <v>40662.58</v>
      </c>
      <c r="I16" s="10">
        <v>39584.16</v>
      </c>
      <c r="J16" s="10">
        <v>37348.14</v>
      </c>
      <c r="K16" s="10">
        <v>43194.11</v>
      </c>
      <c r="L16" s="10">
        <v>39268.88</v>
      </c>
      <c r="M16" s="10">
        <v>40693.26</v>
      </c>
      <c r="O16" s="51">
        <f t="shared" si="2"/>
        <v>34835.185</v>
      </c>
    </row>
    <row r="17">
      <c r="A17" s="141" t="s">
        <v>17</v>
      </c>
      <c r="B17" s="10">
        <v>9680.39</v>
      </c>
      <c r="C17" s="10">
        <v>11122.08</v>
      </c>
      <c r="D17" s="10">
        <v>12643.38</v>
      </c>
      <c r="E17" s="10">
        <v>13284.78</v>
      </c>
      <c r="F17" s="10">
        <v>12605.04</v>
      </c>
      <c r="G17" s="10">
        <v>13112.08</v>
      </c>
      <c r="H17" s="10">
        <v>14477.14</v>
      </c>
      <c r="I17" s="10">
        <v>12789.4</v>
      </c>
      <c r="J17" s="10">
        <v>14418.09</v>
      </c>
      <c r="K17" s="10">
        <v>11108.22</v>
      </c>
      <c r="L17" s="10">
        <v>14684.53</v>
      </c>
      <c r="M17" s="10">
        <v>13726.15</v>
      </c>
      <c r="O17" s="51">
        <f t="shared" si="2"/>
        <v>11997.57417</v>
      </c>
    </row>
    <row r="18">
      <c r="A18" s="141" t="s">
        <v>29</v>
      </c>
      <c r="B18" s="10"/>
      <c r="C18" s="10"/>
      <c r="D18" s="10"/>
      <c r="E18" s="10"/>
      <c r="F18" s="10"/>
      <c r="G18" s="51"/>
      <c r="H18" s="10"/>
      <c r="I18" s="10">
        <v>4456.43</v>
      </c>
      <c r="J18" s="10">
        <v>8695.66</v>
      </c>
      <c r="K18" s="10">
        <v>12076.09</v>
      </c>
      <c r="L18" s="10">
        <v>11549.62</v>
      </c>
      <c r="M18" s="10">
        <v>9387.9</v>
      </c>
      <c r="O18" s="51">
        <f>(C18+D18+E18+F18+G18+H18+I18+J18+K18+L18+M18)/5</f>
        <v>9233.14</v>
      </c>
    </row>
    <row r="19">
      <c r="A19" s="141" t="s">
        <v>10</v>
      </c>
      <c r="B19" s="142">
        <v>12000.82</v>
      </c>
      <c r="C19" s="10">
        <v>9407.74</v>
      </c>
      <c r="D19" s="10">
        <v>12603.58</v>
      </c>
      <c r="E19" s="10">
        <v>12708.46</v>
      </c>
      <c r="F19" s="10">
        <v>18034.45</v>
      </c>
      <c r="G19" s="10">
        <v>16798.24</v>
      </c>
      <c r="H19" s="10">
        <v>16481.65</v>
      </c>
      <c r="I19" s="10">
        <v>18241.19</v>
      </c>
      <c r="J19" s="10">
        <v>16195.89</v>
      </c>
      <c r="K19" s="10">
        <v>18783.68</v>
      </c>
      <c r="L19" s="10">
        <v>20264.86</v>
      </c>
      <c r="M19" s="10">
        <v>15775.31</v>
      </c>
      <c r="O19" s="51">
        <f t="shared" ref="O19:O20" si="3">(C19+D19+E19+F19+G19+H19+I19+J19+K19+L19+M19)/12</f>
        <v>14607.92083</v>
      </c>
    </row>
    <row r="20">
      <c r="A20" s="141" t="s">
        <v>19</v>
      </c>
      <c r="B20" s="10">
        <v>21809.85</v>
      </c>
      <c r="C20" s="10">
        <v>19266.65</v>
      </c>
      <c r="D20" s="10">
        <v>16581.98</v>
      </c>
      <c r="E20" s="10">
        <v>14334.25</v>
      </c>
      <c r="F20" s="10">
        <v>17403.8</v>
      </c>
      <c r="G20" s="10">
        <v>19475.73</v>
      </c>
      <c r="H20" s="10">
        <v>22992.38</v>
      </c>
      <c r="I20" s="10">
        <v>19444.64</v>
      </c>
      <c r="J20" s="10">
        <v>15245.15</v>
      </c>
      <c r="K20" s="10">
        <v>18224.85</v>
      </c>
      <c r="L20" s="10">
        <v>16608.49</v>
      </c>
      <c r="M20" s="10">
        <v>18105.8</v>
      </c>
      <c r="O20" s="51">
        <f t="shared" si="3"/>
        <v>16473.64333</v>
      </c>
    </row>
    <row r="21">
      <c r="A21" s="141" t="s">
        <v>22</v>
      </c>
      <c r="B21" s="10"/>
      <c r="C21" s="142"/>
      <c r="D21" s="10">
        <v>21353.58</v>
      </c>
      <c r="E21" s="10">
        <v>30809.12</v>
      </c>
      <c r="F21" s="10">
        <v>35437.47</v>
      </c>
      <c r="G21" s="10">
        <v>48159.72</v>
      </c>
      <c r="H21" s="10">
        <v>55238.9</v>
      </c>
      <c r="I21" s="10">
        <v>53474.74</v>
      </c>
      <c r="J21" s="10">
        <v>53145.15</v>
      </c>
      <c r="K21" s="10">
        <v>57749.37</v>
      </c>
      <c r="L21" s="10">
        <v>49235.12</v>
      </c>
      <c r="M21" s="10">
        <v>47041.73</v>
      </c>
      <c r="O21" s="51">
        <f>(C21+D21+E21+F21+G21+H21+I21+J21+K21+L21+M21)/10</f>
        <v>45164.49</v>
      </c>
    </row>
    <row r="22">
      <c r="A22" s="137" t="s">
        <v>136</v>
      </c>
      <c r="B22" s="138">
        <f t="shared" ref="B22:M22" si="4">B14+B15+B16+B17+B18+B19+B20+B21</f>
        <v>114366.93</v>
      </c>
      <c r="C22" s="138">
        <f t="shared" si="4"/>
        <v>100437.03</v>
      </c>
      <c r="D22" s="138">
        <f t="shared" si="4"/>
        <v>126804.01</v>
      </c>
      <c r="E22" s="138">
        <f t="shared" si="4"/>
        <v>137364.78</v>
      </c>
      <c r="F22" s="138">
        <f t="shared" si="4"/>
        <v>148993.84</v>
      </c>
      <c r="G22" s="138">
        <f t="shared" si="4"/>
        <v>160865.29</v>
      </c>
      <c r="H22" s="138">
        <f t="shared" si="4"/>
        <v>184957.64</v>
      </c>
      <c r="I22" s="138">
        <f t="shared" si="4"/>
        <v>185228.47</v>
      </c>
      <c r="J22" s="138">
        <f t="shared" si="4"/>
        <v>177473.88</v>
      </c>
      <c r="K22" s="138">
        <f t="shared" si="4"/>
        <v>192276.98</v>
      </c>
      <c r="L22" s="138">
        <f t="shared" si="4"/>
        <v>181467.37</v>
      </c>
      <c r="M22" s="138">
        <f t="shared" si="4"/>
        <v>176585.31</v>
      </c>
      <c r="O22" s="138">
        <f>(C22+D22+E22+F22+G22+H22+I22+J22+K22+L22+M22)/12</f>
        <v>147704.55</v>
      </c>
    </row>
    <row r="23">
      <c r="A23" s="97" t="s">
        <v>124</v>
      </c>
      <c r="B23" s="140">
        <f>B22+C22+D22+E22+F22+G22+H22+I22+J22+K22+L22+M22</f>
        <v>1886821.53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8"/>
    </row>
    <row r="25">
      <c r="B25" s="77" t="s">
        <v>137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8"/>
      <c r="O25" s="54"/>
    </row>
    <row r="26">
      <c r="A26" s="118" t="s">
        <v>62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130</v>
      </c>
      <c r="G26" s="2" t="s">
        <v>131</v>
      </c>
      <c r="H26" s="2" t="s">
        <v>132</v>
      </c>
      <c r="I26" s="2" t="s">
        <v>133</v>
      </c>
      <c r="J26" s="2" t="s">
        <v>120</v>
      </c>
      <c r="K26" s="2" t="s">
        <v>121</v>
      </c>
      <c r="L26" s="2" t="s">
        <v>134</v>
      </c>
      <c r="M26" s="143" t="s">
        <v>123</v>
      </c>
      <c r="N26" s="54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>
      <c r="A27" s="141" t="s">
        <v>32</v>
      </c>
      <c r="B27" s="10">
        <v>18140.59</v>
      </c>
      <c r="C27" s="10">
        <v>15528.37</v>
      </c>
      <c r="D27" s="10">
        <v>15073.15</v>
      </c>
      <c r="E27" s="10">
        <v>15135.61</v>
      </c>
      <c r="F27" s="13">
        <v>19623.04</v>
      </c>
      <c r="G27" s="10">
        <v>18366.98</v>
      </c>
      <c r="H27" s="13">
        <v>21472.85</v>
      </c>
      <c r="I27" s="10">
        <v>17722.95</v>
      </c>
      <c r="J27" s="13">
        <v>19589.33</v>
      </c>
      <c r="K27" s="10">
        <v>18448.43</v>
      </c>
      <c r="L27" s="10">
        <v>17093.15</v>
      </c>
      <c r="M27" s="10">
        <v>12555.4</v>
      </c>
      <c r="N27" s="144"/>
      <c r="O27" s="72">
        <v>20000.0</v>
      </c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A28" s="141" t="s">
        <v>14</v>
      </c>
      <c r="B28" s="10">
        <v>16491.46</v>
      </c>
      <c r="C28" s="10">
        <v>12876.86</v>
      </c>
      <c r="D28" s="10">
        <v>16473.35</v>
      </c>
      <c r="E28" s="10">
        <v>5346.9</v>
      </c>
      <c r="F28" s="10">
        <v>23.4</v>
      </c>
      <c r="G28" s="10">
        <v>0.0</v>
      </c>
      <c r="H28" s="10">
        <v>266.9</v>
      </c>
      <c r="I28" s="10">
        <v>233.0</v>
      </c>
      <c r="J28" s="10">
        <v>110.0</v>
      </c>
      <c r="K28" s="10">
        <v>682.8</v>
      </c>
      <c r="L28" s="10">
        <v>360.0</v>
      </c>
      <c r="M28" s="10">
        <v>54.9</v>
      </c>
      <c r="N28" s="144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141" t="s">
        <v>16</v>
      </c>
      <c r="B29" s="10">
        <v>43525.27</v>
      </c>
      <c r="C29" s="10">
        <v>33837.39</v>
      </c>
      <c r="D29" s="10">
        <v>34965.59</v>
      </c>
      <c r="E29" s="10">
        <v>38467.01</v>
      </c>
      <c r="F29" s="13">
        <v>47263.05</v>
      </c>
      <c r="G29" s="10">
        <v>38706.32</v>
      </c>
      <c r="H29" s="13">
        <v>44217.01</v>
      </c>
      <c r="I29" s="10">
        <v>42862.3</v>
      </c>
      <c r="J29" s="13">
        <v>44423.08</v>
      </c>
      <c r="K29" s="13">
        <v>44606.51</v>
      </c>
      <c r="L29" s="10">
        <v>38493.02</v>
      </c>
      <c r="M29" s="13">
        <v>44165.31</v>
      </c>
      <c r="N29" s="144"/>
      <c r="O29" s="72">
        <v>44000.0</v>
      </c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A30" s="141" t="s">
        <v>17</v>
      </c>
      <c r="B30" s="10">
        <v>21962.36</v>
      </c>
      <c r="C30" s="10">
        <v>12537.45</v>
      </c>
      <c r="D30" s="10">
        <v>19666.08</v>
      </c>
      <c r="E30" s="10">
        <v>21202.74</v>
      </c>
      <c r="F30" s="13">
        <v>29454.83</v>
      </c>
      <c r="G30" s="13">
        <v>26999.2</v>
      </c>
      <c r="H30" s="13">
        <v>26380.18</v>
      </c>
      <c r="I30" s="10">
        <v>27309.15</v>
      </c>
      <c r="J30" s="13">
        <v>26091.28</v>
      </c>
      <c r="K30" s="10">
        <v>25097.95</v>
      </c>
      <c r="L30" s="10">
        <v>21978.9</v>
      </c>
      <c r="M30" s="10">
        <v>21777.68</v>
      </c>
      <c r="N30" s="144"/>
      <c r="O30" s="72">
        <v>28000.0</v>
      </c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A31" s="141" t="s">
        <v>29</v>
      </c>
      <c r="B31" s="10">
        <v>15848.95</v>
      </c>
      <c r="C31" s="10">
        <v>8847.69</v>
      </c>
      <c r="D31" s="10">
        <v>13651.71</v>
      </c>
      <c r="E31" s="10">
        <v>15100.58</v>
      </c>
      <c r="F31" s="10">
        <v>15504.5</v>
      </c>
      <c r="G31" s="10">
        <v>17680.89</v>
      </c>
      <c r="H31" s="10">
        <v>13408.4</v>
      </c>
      <c r="I31" s="10">
        <v>16213.0</v>
      </c>
      <c r="J31" s="10">
        <v>15156.9</v>
      </c>
      <c r="K31" s="10">
        <v>13950.8</v>
      </c>
      <c r="L31" s="10">
        <v>10917.25</v>
      </c>
      <c r="M31" s="10">
        <v>5809.86</v>
      </c>
      <c r="N31" s="144"/>
      <c r="O31" s="72"/>
      <c r="P31" s="72"/>
      <c r="Q31" s="72"/>
      <c r="R31" s="72"/>
      <c r="S31" s="72"/>
      <c r="T31" s="55"/>
      <c r="U31" s="72"/>
      <c r="V31" s="72"/>
      <c r="W31" s="72"/>
      <c r="X31" s="72"/>
      <c r="Y31" s="72"/>
      <c r="Z31" s="72"/>
    </row>
    <row r="32">
      <c r="A32" s="141" t="s">
        <v>10</v>
      </c>
      <c r="B32" s="142">
        <v>17360.97</v>
      </c>
      <c r="C32" s="10">
        <v>16812.79</v>
      </c>
      <c r="D32" s="10">
        <v>16366.79</v>
      </c>
      <c r="E32" s="10">
        <v>17614.19</v>
      </c>
      <c r="F32" s="13">
        <v>22195.55</v>
      </c>
      <c r="G32" s="10">
        <v>22858.11</v>
      </c>
      <c r="H32" s="13">
        <v>23633.26</v>
      </c>
      <c r="I32" s="10">
        <v>18961.82</v>
      </c>
      <c r="J32" s="13">
        <v>23331.76</v>
      </c>
      <c r="K32" s="10">
        <v>21151.72</v>
      </c>
      <c r="L32" s="10">
        <v>16791.69</v>
      </c>
      <c r="M32" s="10">
        <v>18192.62</v>
      </c>
      <c r="N32" s="144"/>
      <c r="O32" s="145">
        <v>23000.0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A33" s="141" t="s">
        <v>19</v>
      </c>
      <c r="B33" s="13">
        <v>21302.49</v>
      </c>
      <c r="C33" s="10">
        <v>15823.85</v>
      </c>
      <c r="D33" s="10">
        <v>19665.84</v>
      </c>
      <c r="E33" s="10">
        <v>20658.61</v>
      </c>
      <c r="F33" s="10">
        <v>18943.27</v>
      </c>
      <c r="G33" s="10">
        <v>19884.67</v>
      </c>
      <c r="H33" s="10">
        <v>18736.87</v>
      </c>
      <c r="I33" s="10">
        <v>19783.77</v>
      </c>
      <c r="J33" s="13">
        <v>21980.55</v>
      </c>
      <c r="K33" s="10">
        <v>18246.38</v>
      </c>
      <c r="L33" s="10">
        <v>14083.21</v>
      </c>
      <c r="M33" s="10">
        <v>17840.81</v>
      </c>
      <c r="N33" s="144"/>
      <c r="O33" s="72">
        <v>21000.0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>
      <c r="A34" s="141" t="s">
        <v>22</v>
      </c>
      <c r="B34" s="13">
        <v>62860.36</v>
      </c>
      <c r="C34" s="142">
        <v>48283.62</v>
      </c>
      <c r="D34" s="10">
        <v>56924.27</v>
      </c>
      <c r="E34" s="10">
        <v>59868.86</v>
      </c>
      <c r="F34" s="13">
        <v>64708.01</v>
      </c>
      <c r="G34" s="10">
        <v>55012.69</v>
      </c>
      <c r="H34" s="13">
        <v>71350.15</v>
      </c>
      <c r="I34" s="10">
        <v>57628.49</v>
      </c>
      <c r="J34" s="13">
        <v>64575.91</v>
      </c>
      <c r="K34" s="10">
        <v>54630.2</v>
      </c>
      <c r="L34" s="10">
        <v>59398.06</v>
      </c>
      <c r="M34" s="10">
        <v>55236.21</v>
      </c>
      <c r="N34" s="144"/>
      <c r="O34" s="72">
        <v>64000.0</v>
      </c>
      <c r="P34" s="145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>
      <c r="A35" s="137" t="s">
        <v>136</v>
      </c>
      <c r="B35" s="146">
        <f t="shared" ref="B35:M35" si="5">B27+B28+B29+B30+B31+B32+B33+B34</f>
        <v>217492.45</v>
      </c>
      <c r="C35" s="42">
        <f t="shared" si="5"/>
        <v>164548.02</v>
      </c>
      <c r="D35" s="138">
        <f t="shared" si="5"/>
        <v>192786.78</v>
      </c>
      <c r="E35" s="138">
        <f t="shared" si="5"/>
        <v>193394.5</v>
      </c>
      <c r="F35" s="146">
        <f t="shared" si="5"/>
        <v>217715.65</v>
      </c>
      <c r="G35" s="138">
        <f t="shared" si="5"/>
        <v>199508.86</v>
      </c>
      <c r="H35" s="146">
        <f t="shared" si="5"/>
        <v>219465.62</v>
      </c>
      <c r="I35" s="138">
        <f t="shared" si="5"/>
        <v>200714.48</v>
      </c>
      <c r="J35" s="146">
        <f t="shared" si="5"/>
        <v>215258.81</v>
      </c>
      <c r="K35" s="138">
        <f t="shared" si="5"/>
        <v>196814.79</v>
      </c>
      <c r="L35" s="42">
        <f t="shared" si="5"/>
        <v>179115.28</v>
      </c>
      <c r="M35" s="42">
        <f t="shared" si="5"/>
        <v>175632.79</v>
      </c>
      <c r="N35" s="95"/>
      <c r="O35" s="147">
        <f>O27+O28+O29+O30+O31+O32+O33+O34</f>
        <v>200000</v>
      </c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>
      <c r="A36" s="97" t="s">
        <v>124</v>
      </c>
      <c r="B36" s="140">
        <f>B35+C35+D35+E35+F35+G35+H35+I35+J35+K35+L35+M35</f>
        <v>2372448.03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8"/>
      <c r="N36" s="95"/>
      <c r="O36" s="148"/>
    </row>
    <row r="38">
      <c r="A38" s="54"/>
      <c r="B38" s="77" t="s">
        <v>138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8"/>
    </row>
    <row r="39">
      <c r="A39" s="118" t="s">
        <v>62</v>
      </c>
      <c r="B39" s="2" t="s">
        <v>126</v>
      </c>
      <c r="C39" s="2" t="s">
        <v>127</v>
      </c>
      <c r="D39" s="2" t="s">
        <v>128</v>
      </c>
      <c r="E39" s="2" t="s">
        <v>129</v>
      </c>
      <c r="F39" s="2" t="s">
        <v>130</v>
      </c>
      <c r="G39" s="2" t="s">
        <v>131</v>
      </c>
      <c r="H39" s="2" t="s">
        <v>132</v>
      </c>
      <c r="I39" s="2" t="s">
        <v>133</v>
      </c>
      <c r="J39" s="2" t="s">
        <v>120</v>
      </c>
      <c r="K39" s="2" t="s">
        <v>121</v>
      </c>
      <c r="L39" s="2" t="s">
        <v>134</v>
      </c>
      <c r="M39" s="2" t="s">
        <v>123</v>
      </c>
    </row>
    <row r="40">
      <c r="A40" s="141" t="s">
        <v>32</v>
      </c>
      <c r="B40" s="10">
        <f>Jan!D128</f>
        <v>14956.86</v>
      </c>
      <c r="C40" s="10">
        <f>Fev!D128</f>
        <v>15394.71</v>
      </c>
      <c r="D40" s="10">
        <f>Mar!D128</f>
        <v>0</v>
      </c>
      <c r="E40" s="10">
        <f>Abr!D128</f>
        <v>0</v>
      </c>
      <c r="F40" s="10">
        <f>Mai!D128</f>
        <v>0</v>
      </c>
      <c r="G40" s="51">
        <f>Jun!D128</f>
        <v>0</v>
      </c>
      <c r="H40" s="10">
        <f>Jul!D128</f>
        <v>0</v>
      </c>
      <c r="I40" s="10">
        <f>Ago!D128</f>
        <v>0</v>
      </c>
      <c r="J40" s="10">
        <f>Set!D128</f>
        <v>0</v>
      </c>
      <c r="K40" s="10">
        <f>Out!D128</f>
        <v>0</v>
      </c>
      <c r="L40" s="10">
        <f>Nov!D128</f>
        <v>0</v>
      </c>
      <c r="M40" s="10">
        <f>Dez!D128</f>
        <v>0</v>
      </c>
      <c r="N40" s="78"/>
      <c r="O40" s="149">
        <v>20000.0</v>
      </c>
    </row>
    <row r="41">
      <c r="A41" s="150" t="s">
        <v>139</v>
      </c>
      <c r="B41" s="10">
        <f>Jan!D129</f>
        <v>0</v>
      </c>
      <c r="C41" s="10">
        <f>Fev!D129</f>
        <v>0</v>
      </c>
      <c r="D41" s="10">
        <f>Mar!D129</f>
        <v>0</v>
      </c>
      <c r="E41" s="10">
        <f>Abr!D129</f>
        <v>0</v>
      </c>
      <c r="F41" s="10">
        <f>Mai!D129</f>
        <v>0</v>
      </c>
      <c r="G41" s="51">
        <f>Jun!D129</f>
        <v>0</v>
      </c>
      <c r="H41" s="10">
        <f>Jul!D129</f>
        <v>0</v>
      </c>
      <c r="I41" s="10">
        <f>Ago!D129</f>
        <v>0</v>
      </c>
      <c r="J41" s="10">
        <f>Set!D129</f>
        <v>0</v>
      </c>
      <c r="K41" s="10">
        <f>Out!D129</f>
        <v>0</v>
      </c>
      <c r="L41" s="10">
        <f>Nov!D129</f>
        <v>0</v>
      </c>
      <c r="M41" s="10">
        <f>Dez!D129</f>
        <v>0</v>
      </c>
      <c r="O41" s="151"/>
    </row>
    <row r="42">
      <c r="A42" s="141" t="s">
        <v>16</v>
      </c>
      <c r="B42" s="13">
        <f>Jan!D130</f>
        <v>48020.92</v>
      </c>
      <c r="C42" s="10">
        <f>Fev!D130</f>
        <v>32756.95</v>
      </c>
      <c r="D42" s="10">
        <f>Mar!D130</f>
        <v>0</v>
      </c>
      <c r="E42" s="10">
        <f>Abr!D130</f>
        <v>0</v>
      </c>
      <c r="F42" s="10">
        <f>Mai!D130</f>
        <v>0</v>
      </c>
      <c r="G42" s="51">
        <f>Jun!D130</f>
        <v>0</v>
      </c>
      <c r="H42" s="10">
        <f>Jul!D130</f>
        <v>0</v>
      </c>
      <c r="I42" s="10">
        <f>Ago!D130</f>
        <v>0</v>
      </c>
      <c r="J42" s="10">
        <f>Set!D130</f>
        <v>0</v>
      </c>
      <c r="K42" s="10">
        <f>Out!D130</f>
        <v>0</v>
      </c>
      <c r="L42" s="10">
        <f>Nov!D130</f>
        <v>0</v>
      </c>
      <c r="M42" s="10">
        <f>Dez!D130</f>
        <v>0</v>
      </c>
      <c r="O42" s="149">
        <v>44000.0</v>
      </c>
    </row>
    <row r="43">
      <c r="A43" s="141" t="s">
        <v>17</v>
      </c>
      <c r="B43" s="13">
        <f>Jan!D131</f>
        <v>30515.35</v>
      </c>
      <c r="C43" s="10">
        <f>Fev!D131</f>
        <v>18490.14</v>
      </c>
      <c r="D43" s="10">
        <f>Mar!D131</f>
        <v>0</v>
      </c>
      <c r="E43" s="10">
        <f>Abr!D131</f>
        <v>0</v>
      </c>
      <c r="F43" s="10">
        <f>Mai!D131</f>
        <v>0</v>
      </c>
      <c r="G43" s="51">
        <f>Jun!D131</f>
        <v>0</v>
      </c>
      <c r="H43" s="10">
        <f>Jul!D131</f>
        <v>0</v>
      </c>
      <c r="I43" s="10">
        <f>Ago!D131</f>
        <v>0</v>
      </c>
      <c r="J43" s="10">
        <f>Set!D131</f>
        <v>0</v>
      </c>
      <c r="K43" s="10">
        <f>Out!D131</f>
        <v>0</v>
      </c>
      <c r="L43" s="10">
        <f>Nov!D131</f>
        <v>0</v>
      </c>
      <c r="M43" s="10">
        <f>Dez!D131</f>
        <v>0</v>
      </c>
      <c r="O43" s="149">
        <v>28000.0</v>
      </c>
    </row>
    <row r="44">
      <c r="A44" s="150" t="s">
        <v>29</v>
      </c>
      <c r="B44" s="10">
        <f>Jan!D132</f>
        <v>0</v>
      </c>
      <c r="C44" s="10">
        <f>Fev!D132</f>
        <v>0</v>
      </c>
      <c r="D44" s="10">
        <f>Mar!D132</f>
        <v>0</v>
      </c>
      <c r="E44" s="10">
        <f>Abr!D132</f>
        <v>0</v>
      </c>
      <c r="F44" s="10">
        <f>Mai!D132</f>
        <v>0</v>
      </c>
      <c r="G44" s="51">
        <f>Jun!D132</f>
        <v>0</v>
      </c>
      <c r="H44" s="10">
        <f>Jul!D132</f>
        <v>0</v>
      </c>
      <c r="I44" s="10">
        <f>Ago!D132</f>
        <v>0</v>
      </c>
      <c r="J44" s="10">
        <f>Set!D132</f>
        <v>0</v>
      </c>
      <c r="K44" s="10">
        <f>Out!D132</f>
        <v>0</v>
      </c>
      <c r="L44" s="10">
        <f>Nov!D132</f>
        <v>0</v>
      </c>
      <c r="M44" s="10">
        <f>Dez!D132</f>
        <v>0</v>
      </c>
      <c r="O44" s="151"/>
    </row>
    <row r="45">
      <c r="A45" s="141" t="s">
        <v>10</v>
      </c>
      <c r="B45" s="142">
        <f>Jan!D127</f>
        <v>19569.73</v>
      </c>
      <c r="C45" s="51">
        <f>Fev!D127</f>
        <v>17496.33</v>
      </c>
      <c r="D45" s="10">
        <f>Mar!D127</f>
        <v>0</v>
      </c>
      <c r="E45" s="10">
        <f>Abr!D127</f>
        <v>0</v>
      </c>
      <c r="F45" s="10">
        <f>Mai!D127</f>
        <v>0</v>
      </c>
      <c r="G45" s="51">
        <f>Jun!D127</f>
        <v>0</v>
      </c>
      <c r="H45" s="10">
        <f>Jul!D127</f>
        <v>0</v>
      </c>
      <c r="I45" s="10">
        <f>Ago!D127</f>
        <v>0</v>
      </c>
      <c r="J45" s="10">
        <f>Set!D127</f>
        <v>0</v>
      </c>
      <c r="K45" s="10">
        <f>Out!D127</f>
        <v>0</v>
      </c>
      <c r="L45" s="10">
        <f>Nov!D127</f>
        <v>0</v>
      </c>
      <c r="M45" s="10">
        <f>Dez!D127</f>
        <v>0</v>
      </c>
      <c r="O45" s="149">
        <v>23000.0</v>
      </c>
    </row>
    <row r="46">
      <c r="A46" s="141" t="s">
        <v>19</v>
      </c>
      <c r="B46" s="10">
        <f>Jan!D133</f>
        <v>19482.65</v>
      </c>
      <c r="C46" s="10">
        <f>Fev!D133</f>
        <v>10796.04</v>
      </c>
      <c r="D46" s="10">
        <f>Mar!D133</f>
        <v>0</v>
      </c>
      <c r="E46" s="10">
        <f>Abr!D133</f>
        <v>0</v>
      </c>
      <c r="F46" s="10">
        <f>Mai!D133</f>
        <v>0</v>
      </c>
      <c r="G46" s="51">
        <f>Jun!D133</f>
        <v>0</v>
      </c>
      <c r="H46" s="10">
        <f>Jul!D133</f>
        <v>0</v>
      </c>
      <c r="I46" s="10">
        <f>Ago!D133</f>
        <v>0</v>
      </c>
      <c r="J46" s="10">
        <f>Set!D133</f>
        <v>0</v>
      </c>
      <c r="K46" s="10">
        <f>Out!D133</f>
        <v>0</v>
      </c>
      <c r="L46" s="10">
        <f>Nov!D133</f>
        <v>0</v>
      </c>
      <c r="M46" s="10">
        <f>Dez!D133</f>
        <v>0</v>
      </c>
      <c r="O46" s="149">
        <v>21000.0</v>
      </c>
    </row>
    <row r="47">
      <c r="A47" s="141" t="s">
        <v>22</v>
      </c>
      <c r="B47" s="10">
        <f>Jan!D134</f>
        <v>63686.35</v>
      </c>
      <c r="C47" s="142">
        <f>Fev!D134</f>
        <v>42089.98</v>
      </c>
      <c r="D47" s="10">
        <f>Mar!D134</f>
        <v>0</v>
      </c>
      <c r="E47" s="10">
        <f>Abr!D134</f>
        <v>0</v>
      </c>
      <c r="F47" s="10">
        <f>Mai!D134</f>
        <v>0</v>
      </c>
      <c r="G47" s="51">
        <f>Jun!D134</f>
        <v>0</v>
      </c>
      <c r="H47" s="10">
        <f>Jul!D134</f>
        <v>0</v>
      </c>
      <c r="I47" s="10">
        <f>Ago!D134</f>
        <v>0</v>
      </c>
      <c r="J47" s="10">
        <f>Set!D134</f>
        <v>0</v>
      </c>
      <c r="K47" s="10">
        <f>Out!D134</f>
        <v>0</v>
      </c>
      <c r="L47" s="10">
        <f>Nov!D134</f>
        <v>0</v>
      </c>
      <c r="M47" s="10">
        <f>Dez!D134</f>
        <v>0</v>
      </c>
      <c r="O47" s="149">
        <v>64000.0</v>
      </c>
    </row>
    <row r="48">
      <c r="A48" s="137" t="s">
        <v>136</v>
      </c>
      <c r="B48" s="138">
        <f t="shared" ref="B48:M48" si="6">B40+B41+B42+B43+B44+B45+B46+B47</f>
        <v>196231.86</v>
      </c>
      <c r="C48" s="138">
        <f t="shared" si="6"/>
        <v>137024.15</v>
      </c>
      <c r="D48" s="138">
        <f t="shared" si="6"/>
        <v>0</v>
      </c>
      <c r="E48" s="138">
        <f t="shared" si="6"/>
        <v>0</v>
      </c>
      <c r="F48" s="138">
        <f t="shared" si="6"/>
        <v>0</v>
      </c>
      <c r="G48" s="138">
        <f t="shared" si="6"/>
        <v>0</v>
      </c>
      <c r="H48" s="138">
        <f t="shared" si="6"/>
        <v>0</v>
      </c>
      <c r="I48" s="138">
        <f t="shared" si="6"/>
        <v>0</v>
      </c>
      <c r="J48" s="138">
        <f t="shared" si="6"/>
        <v>0</v>
      </c>
      <c r="K48" s="138">
        <f t="shared" si="6"/>
        <v>0</v>
      </c>
      <c r="L48" s="138">
        <f t="shared" si="6"/>
        <v>0</v>
      </c>
      <c r="M48" s="138">
        <f t="shared" si="6"/>
        <v>0</v>
      </c>
      <c r="O48" s="152">
        <f>O40+O41+O42+O43+O44+O45+O46+O47</f>
        <v>200000</v>
      </c>
      <c r="P48" s="153">
        <f>O48/2</f>
        <v>100000</v>
      </c>
    </row>
    <row r="49">
      <c r="A49" s="97" t="s">
        <v>124</v>
      </c>
      <c r="B49" s="140">
        <f>B48+C48+D48+E48+F48+G48+H48+I48+J48+K48+L48+M48</f>
        <v>333256.01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8"/>
      <c r="P49" s="78">
        <v>297.0</v>
      </c>
    </row>
    <row r="50">
      <c r="H50" s="78"/>
    </row>
    <row r="74">
      <c r="B74" s="77" t="s">
        <v>140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8"/>
    </row>
    <row r="75">
      <c r="A75" s="118" t="s">
        <v>62</v>
      </c>
      <c r="B75" s="2" t="s">
        <v>126</v>
      </c>
      <c r="C75" s="2" t="s">
        <v>127</v>
      </c>
      <c r="D75" s="2" t="s">
        <v>128</v>
      </c>
      <c r="E75" s="2" t="s">
        <v>129</v>
      </c>
      <c r="F75" s="2" t="s">
        <v>130</v>
      </c>
      <c r="G75" s="2" t="s">
        <v>131</v>
      </c>
      <c r="H75" s="2" t="s">
        <v>141</v>
      </c>
      <c r="I75" s="2" t="s">
        <v>133</v>
      </c>
      <c r="J75" s="2" t="s">
        <v>120</v>
      </c>
      <c r="K75" s="2" t="s">
        <v>121</v>
      </c>
      <c r="L75" s="2" t="s">
        <v>134</v>
      </c>
      <c r="M75" s="2" t="s">
        <v>123</v>
      </c>
    </row>
    <row r="76">
      <c r="A76" s="141" t="s">
        <v>32</v>
      </c>
      <c r="B76" s="11">
        <f>Jan!H128</f>
        <v>680</v>
      </c>
      <c r="C76" s="11">
        <f>Fev!H128</f>
        <v>656</v>
      </c>
      <c r="D76" s="11">
        <f>Mar!H128</f>
        <v>0</v>
      </c>
      <c r="E76" s="11">
        <f>Abr!H128</f>
        <v>0</v>
      </c>
      <c r="F76" s="11">
        <f>Mai!H128</f>
        <v>0</v>
      </c>
      <c r="G76" s="11">
        <f>Jun!H128</f>
        <v>0</v>
      </c>
      <c r="H76" s="11">
        <f>Jul!H128</f>
        <v>0</v>
      </c>
      <c r="I76" s="11">
        <f>Ago!H128</f>
        <v>0</v>
      </c>
      <c r="J76" s="11">
        <f>Set!H128</f>
        <v>0</v>
      </c>
      <c r="K76" s="11">
        <f>Out!H128</f>
        <v>0</v>
      </c>
      <c r="L76" s="11">
        <f>Nov!H128</f>
        <v>0</v>
      </c>
      <c r="M76" s="11">
        <f>Dez!H128</f>
        <v>0</v>
      </c>
    </row>
    <row r="77">
      <c r="A77" s="141" t="s">
        <v>14</v>
      </c>
      <c r="B77" s="11">
        <f>Jan!H129</f>
        <v>0</v>
      </c>
      <c r="C77" s="11">
        <f>Fev!H129</f>
        <v>0</v>
      </c>
      <c r="D77" s="11">
        <f>Mar!H129</f>
        <v>0</v>
      </c>
      <c r="E77" s="11">
        <f>Abr!H129</f>
        <v>0</v>
      </c>
      <c r="F77" s="11">
        <f>Mai!H129</f>
        <v>0</v>
      </c>
      <c r="G77" s="11">
        <f>Jun!H129</f>
        <v>0</v>
      </c>
      <c r="H77" s="11">
        <f>Jul!H129</f>
        <v>0</v>
      </c>
      <c r="I77" s="11">
        <f>Ago!H129</f>
        <v>0</v>
      </c>
      <c r="J77" s="11">
        <f>Set!H129</f>
        <v>0</v>
      </c>
      <c r="K77" s="11">
        <f>Out!H129</f>
        <v>0</v>
      </c>
      <c r="L77" s="11">
        <f>Nov!H129</f>
        <v>0</v>
      </c>
      <c r="M77" s="11">
        <f>Dez!H129</f>
        <v>0</v>
      </c>
    </row>
    <row r="78">
      <c r="A78" s="141" t="s">
        <v>16</v>
      </c>
      <c r="B78" s="11">
        <f>Jan!H130</f>
        <v>1767</v>
      </c>
      <c r="C78" s="11">
        <f>Fev!H130</f>
        <v>1516</v>
      </c>
      <c r="D78" s="11">
        <f>Mar!H130</f>
        <v>0</v>
      </c>
      <c r="E78" s="11">
        <f>Abr!H130</f>
        <v>0</v>
      </c>
      <c r="F78" s="11">
        <f>Mai!H130</f>
        <v>0</v>
      </c>
      <c r="G78" s="11">
        <f>Jun!H130</f>
        <v>0</v>
      </c>
      <c r="H78" s="11">
        <f>Jul!H130</f>
        <v>0</v>
      </c>
      <c r="I78" s="11">
        <f>Ago!H130</f>
        <v>0</v>
      </c>
      <c r="J78" s="11">
        <f>Set!H130</f>
        <v>0</v>
      </c>
      <c r="K78" s="11">
        <f>Out!H130</f>
        <v>0</v>
      </c>
      <c r="L78" s="11">
        <f>Nov!H130</f>
        <v>0</v>
      </c>
      <c r="M78" s="11">
        <f>Dez!H130</f>
        <v>0</v>
      </c>
    </row>
    <row r="79">
      <c r="A79" s="141" t="s">
        <v>17</v>
      </c>
      <c r="B79" s="11">
        <f>Jan!H131</f>
        <v>1254</v>
      </c>
      <c r="C79" s="11">
        <f>Fev!H131</f>
        <v>909</v>
      </c>
      <c r="D79" s="11">
        <f>Mar!H131</f>
        <v>0</v>
      </c>
      <c r="E79" s="11">
        <f>Abr!H131</f>
        <v>0</v>
      </c>
      <c r="F79" s="11">
        <f>Mai!H131</f>
        <v>0</v>
      </c>
      <c r="G79" s="11">
        <f>Jun!H131</f>
        <v>0</v>
      </c>
      <c r="H79" s="11">
        <f>Jul!H131</f>
        <v>0</v>
      </c>
      <c r="I79" s="11">
        <f>Ago!H131</f>
        <v>0</v>
      </c>
      <c r="J79" s="11">
        <f>Set!H131</f>
        <v>0</v>
      </c>
      <c r="K79" s="11">
        <f>Out!H131</f>
        <v>0</v>
      </c>
      <c r="L79" s="11">
        <f>Nov!H131</f>
        <v>0</v>
      </c>
      <c r="M79" s="11">
        <f>Dez!H131</f>
        <v>0</v>
      </c>
    </row>
    <row r="80">
      <c r="A80" s="141" t="s">
        <v>29</v>
      </c>
      <c r="B80" s="11">
        <f>Jan!H132</f>
        <v>27</v>
      </c>
      <c r="C80" s="11">
        <f>Fev!H132</f>
        <v>0</v>
      </c>
      <c r="D80" s="11">
        <f>Mar!H132</f>
        <v>0</v>
      </c>
      <c r="E80" s="11">
        <f>Abr!H132</f>
        <v>0</v>
      </c>
      <c r="F80" s="11">
        <f>Mai!H132</f>
        <v>0</v>
      </c>
      <c r="G80" s="11">
        <f>Jun!H132</f>
        <v>0</v>
      </c>
      <c r="H80" s="11">
        <f>Jul!H132</f>
        <v>0</v>
      </c>
      <c r="I80" s="11">
        <f>Ago!H132</f>
        <v>0</v>
      </c>
      <c r="J80" s="11">
        <f>Set!H132</f>
        <v>0</v>
      </c>
      <c r="K80" s="11">
        <f>Out!H132</f>
        <v>0</v>
      </c>
      <c r="L80" s="11">
        <f>Nov!H132</f>
        <v>0</v>
      </c>
      <c r="M80" s="11">
        <f>Dez!H132</f>
        <v>0</v>
      </c>
    </row>
    <row r="81">
      <c r="A81" s="141" t="s">
        <v>10</v>
      </c>
      <c r="B81" s="154">
        <f>Jan!H127</f>
        <v>782</v>
      </c>
      <c r="C81" s="154">
        <f>Fev!H127</f>
        <v>724</v>
      </c>
      <c r="D81" s="11">
        <f>Mar!H127</f>
        <v>0</v>
      </c>
      <c r="E81" s="11">
        <f>Abr!H127</f>
        <v>0</v>
      </c>
      <c r="F81" s="11">
        <f>Mai!H127</f>
        <v>0</v>
      </c>
      <c r="G81" s="11">
        <f>Jun!H127</f>
        <v>0</v>
      </c>
      <c r="H81" s="11">
        <f>Jul!H127</f>
        <v>0</v>
      </c>
      <c r="I81" s="11">
        <f>Ago!H127</f>
        <v>0</v>
      </c>
      <c r="J81" s="11">
        <f>Set!H127</f>
        <v>0</v>
      </c>
      <c r="K81" s="11">
        <f>Out!H127</f>
        <v>0</v>
      </c>
      <c r="L81" s="11">
        <f>Nov!H127</f>
        <v>0</v>
      </c>
      <c r="M81" s="11">
        <f>Dez!H127</f>
        <v>0</v>
      </c>
    </row>
    <row r="82">
      <c r="A82" s="141" t="s">
        <v>19</v>
      </c>
      <c r="B82" s="11">
        <f>Jan!H133</f>
        <v>812</v>
      </c>
      <c r="C82" s="11">
        <f>Fev!H133</f>
        <v>525</v>
      </c>
      <c r="D82" s="11">
        <f>Mar!H133</f>
        <v>0</v>
      </c>
      <c r="E82" s="11">
        <f>Abr!H133</f>
        <v>0</v>
      </c>
      <c r="F82" s="11">
        <f>Mai!H133</f>
        <v>0</v>
      </c>
      <c r="G82" s="11">
        <f>Jun!H133</f>
        <v>0</v>
      </c>
      <c r="H82" s="11">
        <f>Jul!H133</f>
        <v>0</v>
      </c>
      <c r="I82" s="11">
        <f>Ago!H133</f>
        <v>0</v>
      </c>
      <c r="J82" s="11">
        <f>Set!H133</f>
        <v>0</v>
      </c>
      <c r="K82" s="11">
        <f>Out!H133</f>
        <v>0</v>
      </c>
      <c r="L82" s="11">
        <f>Nov!H133</f>
        <v>0</v>
      </c>
      <c r="M82" s="11">
        <f>Dez!H133</f>
        <v>0</v>
      </c>
    </row>
    <row r="83">
      <c r="A83" s="141" t="s">
        <v>22</v>
      </c>
      <c r="B83" s="154">
        <f>Jan!H134</f>
        <v>2568</v>
      </c>
      <c r="C83" s="154">
        <f>Fev!H134</f>
        <v>2206</v>
      </c>
      <c r="D83" s="11">
        <f>Mar!H134</f>
        <v>0</v>
      </c>
      <c r="E83" s="11">
        <f>Abr!H134</f>
        <v>0</v>
      </c>
      <c r="F83" s="11">
        <f>Mai!H134</f>
        <v>0</v>
      </c>
      <c r="G83" s="11">
        <f>Jun!H134</f>
        <v>0</v>
      </c>
      <c r="H83" s="11">
        <f>Jul!H134</f>
        <v>0</v>
      </c>
      <c r="I83" s="11">
        <f>Ago!H134</f>
        <v>0</v>
      </c>
      <c r="J83" s="11">
        <f>Set!H134</f>
        <v>0</v>
      </c>
      <c r="K83" s="11">
        <f>Out!H134</f>
        <v>0</v>
      </c>
      <c r="L83" s="11">
        <f>Nov!H134</f>
        <v>0</v>
      </c>
      <c r="M83" s="11">
        <f>Dez!H134</f>
        <v>0</v>
      </c>
    </row>
    <row r="84">
      <c r="A84" s="137" t="s">
        <v>136</v>
      </c>
      <c r="B84" s="155">
        <f>B76+B77+B78+B79+B80+B81+B82+B83</f>
        <v>7890</v>
      </c>
      <c r="C84" s="156">
        <f>C76+C77+C78+C79+C81+C82+C83</f>
        <v>6536</v>
      </c>
      <c r="D84" s="156">
        <f t="shared" ref="D84:M84" si="7">D76+D77+D78+D79+D80+D81+D82+D83</f>
        <v>0</v>
      </c>
      <c r="E84" s="156">
        <f t="shared" si="7"/>
        <v>0</v>
      </c>
      <c r="F84" s="155">
        <f t="shared" si="7"/>
        <v>0</v>
      </c>
      <c r="G84" s="156">
        <f t="shared" si="7"/>
        <v>0</v>
      </c>
      <c r="H84" s="155">
        <f t="shared" si="7"/>
        <v>0</v>
      </c>
      <c r="I84" s="156">
        <f t="shared" si="7"/>
        <v>0</v>
      </c>
      <c r="J84" s="155">
        <f t="shared" si="7"/>
        <v>0</v>
      </c>
      <c r="K84" s="156">
        <f t="shared" si="7"/>
        <v>0</v>
      </c>
      <c r="L84" s="156">
        <f t="shared" si="7"/>
        <v>0</v>
      </c>
      <c r="M84" s="156">
        <f t="shared" si="7"/>
        <v>0</v>
      </c>
    </row>
    <row r="85">
      <c r="A85" s="97" t="s">
        <v>124</v>
      </c>
      <c r="B85" s="157">
        <f>B84+C84+D84+E84+F84+G84+H84+I84+J84+K84+L84+M84</f>
        <v>14426</v>
      </c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8"/>
    </row>
    <row r="88">
      <c r="B88" s="77" t="s">
        <v>142</v>
      </c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8"/>
    </row>
    <row r="89">
      <c r="A89" s="118" t="s">
        <v>62</v>
      </c>
      <c r="B89" s="2" t="s">
        <v>126</v>
      </c>
      <c r="C89" s="2" t="s">
        <v>127</v>
      </c>
      <c r="D89" s="2" t="s">
        <v>128</v>
      </c>
      <c r="E89" s="2" t="s">
        <v>129</v>
      </c>
      <c r="F89" s="2" t="s">
        <v>130</v>
      </c>
      <c r="G89" s="2" t="s">
        <v>131</v>
      </c>
      <c r="H89" s="2" t="s">
        <v>141</v>
      </c>
      <c r="I89" s="2" t="s">
        <v>133</v>
      </c>
      <c r="J89" s="2" t="s">
        <v>120</v>
      </c>
      <c r="K89" s="2" t="s">
        <v>121</v>
      </c>
      <c r="L89" s="2" t="s">
        <v>134</v>
      </c>
      <c r="M89" s="2" t="s">
        <v>123</v>
      </c>
    </row>
    <row r="90">
      <c r="A90" s="141" t="s">
        <v>32</v>
      </c>
      <c r="B90" s="11">
        <v>923.0</v>
      </c>
      <c r="C90" s="11">
        <v>807.0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41" t="s">
        <v>14</v>
      </c>
      <c r="B91" s="11">
        <v>873.0</v>
      </c>
      <c r="C91" s="11">
        <v>632.0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41" t="s">
        <v>16</v>
      </c>
      <c r="B92" s="11">
        <v>1707.0</v>
      </c>
      <c r="C92" s="11">
        <v>1623.0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41" t="s">
        <v>17</v>
      </c>
      <c r="B93" s="11">
        <v>983.0</v>
      </c>
      <c r="C93" s="11">
        <v>696.0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41" t="s">
        <v>29</v>
      </c>
      <c r="B94" s="11">
        <v>662.0</v>
      </c>
      <c r="C94" s="11">
        <v>508.0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41" t="s">
        <v>10</v>
      </c>
      <c r="B95" s="154">
        <v>723.0</v>
      </c>
      <c r="C95" s="154">
        <v>707.0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41" t="s">
        <v>19</v>
      </c>
      <c r="B96" s="11">
        <v>929.0</v>
      </c>
      <c r="C96" s="11">
        <v>833.0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41" t="s">
        <v>22</v>
      </c>
      <c r="B97" s="154">
        <v>3142.0</v>
      </c>
      <c r="C97" s="154">
        <v>2771.0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37" t="s">
        <v>136</v>
      </c>
      <c r="B98" s="155">
        <f>B90+B91+B92+B93+B94+B95+B96+B97</f>
        <v>9942</v>
      </c>
      <c r="C98" s="156">
        <f>C90+C91+C92+C93+C95+C96+C97</f>
        <v>8069</v>
      </c>
      <c r="D98" s="156">
        <f t="shared" ref="D98:M98" si="8">D90+D91+D92+D93+D94+D95+D96+D97</f>
        <v>0</v>
      </c>
      <c r="E98" s="156">
        <f t="shared" si="8"/>
        <v>0</v>
      </c>
      <c r="F98" s="155">
        <f t="shared" si="8"/>
        <v>0</v>
      </c>
      <c r="G98" s="156">
        <f t="shared" si="8"/>
        <v>0</v>
      </c>
      <c r="H98" s="155">
        <f t="shared" si="8"/>
        <v>0</v>
      </c>
      <c r="I98" s="156">
        <f t="shared" si="8"/>
        <v>0</v>
      </c>
      <c r="J98" s="155">
        <f t="shared" si="8"/>
        <v>0</v>
      </c>
      <c r="K98" s="156">
        <f t="shared" si="8"/>
        <v>0</v>
      </c>
      <c r="L98" s="156">
        <f t="shared" si="8"/>
        <v>0</v>
      </c>
      <c r="M98" s="156">
        <f t="shared" si="8"/>
        <v>0</v>
      </c>
    </row>
    <row r="99">
      <c r="A99" s="97" t="s">
        <v>124</v>
      </c>
      <c r="B99" s="157">
        <f>B98+C98+D98+E98+F98+G98+H98+I98+J98+K98+L98+M98</f>
        <v>18011</v>
      </c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8"/>
    </row>
    <row r="117">
      <c r="C117" s="72"/>
    </row>
    <row r="118">
      <c r="C118" s="72"/>
    </row>
    <row r="119">
      <c r="C119" s="72"/>
    </row>
    <row r="120">
      <c r="C120" s="72"/>
    </row>
    <row r="121">
      <c r="C121" s="72"/>
    </row>
    <row r="122">
      <c r="C122" s="72"/>
    </row>
    <row r="123">
      <c r="C123" s="72"/>
    </row>
    <row r="129">
      <c r="B129" s="78">
        <v>1.0</v>
      </c>
      <c r="C129" s="78" t="s">
        <v>143</v>
      </c>
    </row>
    <row r="130">
      <c r="B130" s="78">
        <v>2.0</v>
      </c>
      <c r="C130" s="78" t="s">
        <v>144</v>
      </c>
    </row>
    <row r="131">
      <c r="B131" s="78">
        <v>3.0</v>
      </c>
      <c r="C131" s="78" t="s">
        <v>145</v>
      </c>
    </row>
    <row r="132">
      <c r="B132" s="78">
        <v>4.0</v>
      </c>
      <c r="C132" s="78" t="s">
        <v>146</v>
      </c>
    </row>
    <row r="133">
      <c r="B133" s="78">
        <v>5.0</v>
      </c>
      <c r="C133" s="78" t="s">
        <v>147</v>
      </c>
    </row>
    <row r="134">
      <c r="B134" s="78">
        <v>6.0</v>
      </c>
      <c r="C134" s="78" t="s">
        <v>148</v>
      </c>
    </row>
    <row r="135">
      <c r="B135" s="78">
        <v>7.0</v>
      </c>
      <c r="C135" s="78" t="s">
        <v>149</v>
      </c>
    </row>
    <row r="136">
      <c r="B136" s="78">
        <v>8.0</v>
      </c>
      <c r="C136" s="78" t="s">
        <v>150</v>
      </c>
    </row>
    <row r="137">
      <c r="B137" s="78">
        <v>9.0</v>
      </c>
      <c r="C137" s="78" t="s">
        <v>151</v>
      </c>
    </row>
    <row r="142">
      <c r="B142" s="158" t="s">
        <v>152</v>
      </c>
      <c r="C142" s="48"/>
      <c r="D142" s="159"/>
    </row>
    <row r="143">
      <c r="A143" s="118" t="s">
        <v>62</v>
      </c>
      <c r="B143" s="160" t="s">
        <v>153</v>
      </c>
      <c r="C143" s="161" t="s">
        <v>154</v>
      </c>
    </row>
    <row r="144">
      <c r="A144" s="135">
        <v>202.0</v>
      </c>
      <c r="B144" s="10">
        <v>13000.0</v>
      </c>
      <c r="C144" s="10">
        <f t="shared" ref="C144:C148" si="9">B144*0.1</f>
        <v>1300</v>
      </c>
    </row>
    <row r="145">
      <c r="A145" s="135">
        <v>213.0</v>
      </c>
      <c r="B145" s="10">
        <v>16500.0</v>
      </c>
      <c r="C145" s="10">
        <f t="shared" si="9"/>
        <v>1650</v>
      </c>
    </row>
    <row r="146">
      <c r="A146" s="135">
        <v>307.0</v>
      </c>
      <c r="B146" s="10">
        <v>36500.0</v>
      </c>
      <c r="C146" s="10">
        <f t="shared" si="9"/>
        <v>3650</v>
      </c>
    </row>
    <row r="147">
      <c r="A147" s="135">
        <v>313.0</v>
      </c>
      <c r="B147" s="10">
        <v>13000.0</v>
      </c>
      <c r="C147" s="10">
        <f t="shared" si="9"/>
        <v>1300</v>
      </c>
    </row>
    <row r="148">
      <c r="A148" s="135" t="s">
        <v>71</v>
      </c>
      <c r="B148" s="10">
        <v>12700.0</v>
      </c>
      <c r="C148" s="10">
        <f t="shared" si="9"/>
        <v>1270</v>
      </c>
    </row>
    <row r="149">
      <c r="A149" s="135" t="s">
        <v>19</v>
      </c>
      <c r="B149" s="10">
        <v>14300.0</v>
      </c>
      <c r="C149" s="10">
        <f>B149*0.3</f>
        <v>4290</v>
      </c>
    </row>
    <row r="150">
      <c r="A150" s="135" t="s">
        <v>22</v>
      </c>
      <c r="B150" s="10">
        <v>30800.0</v>
      </c>
      <c r="C150" s="10">
        <f>B150*0.1</f>
        <v>3080</v>
      </c>
    </row>
  </sheetData>
  <mergeCells count="15">
    <mergeCell ref="B36:M36"/>
    <mergeCell ref="B38:M38"/>
    <mergeCell ref="B49:M49"/>
    <mergeCell ref="B74:M74"/>
    <mergeCell ref="B85:M85"/>
    <mergeCell ref="B88:M88"/>
    <mergeCell ref="B99:M99"/>
    <mergeCell ref="B142:C142"/>
    <mergeCell ref="J1:M1"/>
    <mergeCell ref="J10:M10"/>
    <mergeCell ref="B12:M12"/>
    <mergeCell ref="B23:M23"/>
    <mergeCell ref="B25:M25"/>
    <mergeCell ref="O25:Z25"/>
    <mergeCell ref="O36:Z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2" t="s">
        <v>1</v>
      </c>
      <c r="Y1" s="4" t="s">
        <v>7</v>
      </c>
      <c r="Z1" s="2" t="s">
        <v>3</v>
      </c>
      <c r="AA1" s="2" t="s">
        <v>4</v>
      </c>
      <c r="AB1" s="2" t="s">
        <v>5</v>
      </c>
      <c r="AC1" s="5" t="s">
        <v>6</v>
      </c>
      <c r="AD1" s="2" t="s">
        <v>0</v>
      </c>
      <c r="AE1" s="2" t="s">
        <v>1</v>
      </c>
      <c r="AF1" s="4" t="s">
        <v>7</v>
      </c>
      <c r="AG1" s="2" t="s">
        <v>3</v>
      </c>
      <c r="AH1" s="2" t="s">
        <v>4</v>
      </c>
      <c r="AI1" s="2" t="s">
        <v>5</v>
      </c>
      <c r="AJ1" s="5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/>
      <c r="C2" s="9" t="s">
        <v>10</v>
      </c>
      <c r="D2" s="10"/>
      <c r="E2" s="10"/>
      <c r="F2" s="10"/>
      <c r="G2" s="10"/>
      <c r="H2" s="11"/>
      <c r="I2" s="12">
        <v>46055.0</v>
      </c>
      <c r="J2" s="9" t="s">
        <v>10</v>
      </c>
      <c r="K2" s="20">
        <v>358.6</v>
      </c>
      <c r="L2" s="10">
        <v>54.9</v>
      </c>
      <c r="M2" s="17">
        <v>430.7</v>
      </c>
      <c r="N2" s="16">
        <v>857.0</v>
      </c>
      <c r="O2" s="11">
        <v>33.0</v>
      </c>
      <c r="P2" s="12">
        <v>46062.0</v>
      </c>
      <c r="Q2" s="9" t="s">
        <v>10</v>
      </c>
      <c r="R2" s="10">
        <v>474.91</v>
      </c>
      <c r="S2" s="10">
        <v>0.0</v>
      </c>
      <c r="T2" s="10">
        <v>474.91</v>
      </c>
      <c r="U2" s="21">
        <v>1661.4</v>
      </c>
      <c r="V2" s="11">
        <v>28.0</v>
      </c>
      <c r="W2" s="8">
        <v>46069.0</v>
      </c>
      <c r="X2" s="9" t="s">
        <v>10</v>
      </c>
      <c r="Y2" s="10">
        <v>451.8</v>
      </c>
      <c r="Z2" s="10">
        <v>0.0</v>
      </c>
      <c r="AA2" s="10">
        <v>451.8</v>
      </c>
      <c r="AB2" s="10">
        <v>1876.4</v>
      </c>
      <c r="AC2" s="11">
        <v>18.0</v>
      </c>
      <c r="AD2" s="8">
        <v>46076.0</v>
      </c>
      <c r="AE2" s="9" t="s">
        <v>10</v>
      </c>
      <c r="AF2" s="13">
        <v>611.61</v>
      </c>
      <c r="AG2" s="10">
        <v>232.87</v>
      </c>
      <c r="AH2" s="10">
        <v>433.64</v>
      </c>
      <c r="AI2" s="10">
        <v>1300.97</v>
      </c>
      <c r="AJ2" s="11">
        <v>43.0</v>
      </c>
      <c r="AL2" s="18" t="s">
        <v>11</v>
      </c>
      <c r="AM2" s="9" t="s">
        <v>10</v>
      </c>
      <c r="AN2" s="10">
        <f t="shared" ref="AN2:AP2" si="1">D2+K2+R2+Y2+AF2</f>
        <v>1896.92</v>
      </c>
      <c r="AO2" s="10">
        <f t="shared" si="1"/>
        <v>287.77</v>
      </c>
      <c r="AP2" s="10">
        <f t="shared" si="1"/>
        <v>1791.05</v>
      </c>
      <c r="AQ2" s="11">
        <f t="shared" ref="AQ2:AQ9" si="3">H2+O2+V2+AC2+AJ2</f>
        <v>122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9" t="s">
        <v>12</v>
      </c>
      <c r="K3" s="10">
        <v>417.0</v>
      </c>
      <c r="L3" s="10">
        <v>0.0</v>
      </c>
      <c r="M3" s="17">
        <v>517.0</v>
      </c>
      <c r="N3" s="14">
        <v>2407.4</v>
      </c>
      <c r="O3" s="11">
        <v>13.0</v>
      </c>
      <c r="P3" s="19"/>
      <c r="Q3" s="9" t="s">
        <v>12</v>
      </c>
      <c r="R3" s="20">
        <v>170.0</v>
      </c>
      <c r="S3" s="10">
        <v>45.0</v>
      </c>
      <c r="T3" s="10">
        <v>125.0</v>
      </c>
      <c r="U3" s="16">
        <v>920.6</v>
      </c>
      <c r="V3" s="11">
        <v>39.0</v>
      </c>
      <c r="W3" s="19"/>
      <c r="X3" s="9" t="s">
        <v>12</v>
      </c>
      <c r="Y3" s="10">
        <v>214.0</v>
      </c>
      <c r="Z3" s="10">
        <v>0.0</v>
      </c>
      <c r="AA3" s="10">
        <v>480.0</v>
      </c>
      <c r="AB3" s="10">
        <v>1177.4</v>
      </c>
      <c r="AC3" s="11">
        <v>11.0</v>
      </c>
      <c r="AD3" s="19"/>
      <c r="AE3" s="9" t="s">
        <v>12</v>
      </c>
      <c r="AF3" s="10">
        <v>395.9</v>
      </c>
      <c r="AG3" s="21">
        <v>305.9</v>
      </c>
      <c r="AH3" s="10">
        <v>135.0</v>
      </c>
      <c r="AI3" s="10">
        <v>2326.1</v>
      </c>
      <c r="AJ3" s="11">
        <v>17.0</v>
      </c>
      <c r="AL3" s="19"/>
      <c r="AM3" s="9" t="s">
        <v>12</v>
      </c>
      <c r="AN3" s="10">
        <f t="shared" ref="AN3:AP3" si="2">D3+K3+R3+Y3+AF3</f>
        <v>1196.9</v>
      </c>
      <c r="AO3" s="10">
        <f t="shared" si="2"/>
        <v>350.9</v>
      </c>
      <c r="AP3" s="10">
        <f t="shared" si="2"/>
        <v>1257</v>
      </c>
      <c r="AQ3" s="11">
        <f t="shared" si="3"/>
        <v>80</v>
      </c>
    </row>
    <row r="4">
      <c r="B4" s="19"/>
      <c r="C4" s="9" t="s">
        <v>14</v>
      </c>
      <c r="D4" s="10"/>
      <c r="E4" s="10"/>
      <c r="F4" s="10"/>
      <c r="G4" s="10"/>
      <c r="H4" s="11"/>
      <c r="I4" s="19"/>
      <c r="J4" s="9" t="s">
        <v>14</v>
      </c>
      <c r="K4" s="10"/>
      <c r="L4" s="10"/>
      <c r="M4" s="10"/>
      <c r="N4" s="10"/>
      <c r="O4" s="11"/>
      <c r="P4" s="19"/>
      <c r="Q4" s="162" t="s">
        <v>14</v>
      </c>
      <c r="R4" s="10"/>
      <c r="S4" s="10"/>
      <c r="T4" s="10"/>
      <c r="U4" s="10"/>
      <c r="V4" s="11"/>
      <c r="W4" s="19"/>
      <c r="X4" s="9" t="s">
        <v>14</v>
      </c>
      <c r="Y4" s="10"/>
      <c r="Z4" s="10"/>
      <c r="AA4" s="10"/>
      <c r="AB4" s="10"/>
      <c r="AC4" s="11"/>
      <c r="AD4" s="19"/>
      <c r="AE4" s="9" t="s">
        <v>14</v>
      </c>
      <c r="AF4" s="10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10"/>
      <c r="H5" s="11"/>
      <c r="I5" s="19"/>
      <c r="J5" s="9" t="s">
        <v>16</v>
      </c>
      <c r="K5" s="13">
        <v>2695.4</v>
      </c>
      <c r="L5" s="21">
        <v>752.0</v>
      </c>
      <c r="M5" s="10">
        <v>2115.4</v>
      </c>
      <c r="N5" s="24">
        <v>5889.43</v>
      </c>
      <c r="O5" s="22">
        <v>100.0</v>
      </c>
      <c r="P5" s="19"/>
      <c r="Q5" s="9" t="s">
        <v>16</v>
      </c>
      <c r="R5" s="13">
        <v>3038.0</v>
      </c>
      <c r="S5" s="21">
        <v>853.0</v>
      </c>
      <c r="T5" s="10">
        <v>2970.08</v>
      </c>
      <c r="U5" s="24">
        <v>5906.96</v>
      </c>
      <c r="V5" s="25">
        <v>150.0</v>
      </c>
      <c r="W5" s="19"/>
      <c r="X5" s="9" t="s">
        <v>16</v>
      </c>
      <c r="Y5" s="10">
        <v>1102.7</v>
      </c>
      <c r="Z5" s="10">
        <v>186.9</v>
      </c>
      <c r="AA5" s="10">
        <v>1289.91</v>
      </c>
      <c r="AB5" s="10">
        <v>5087.45</v>
      </c>
      <c r="AC5" s="163">
        <v>47.0</v>
      </c>
      <c r="AD5" s="19"/>
      <c r="AE5" s="9" t="s">
        <v>16</v>
      </c>
      <c r="AF5" s="20">
        <v>694.8</v>
      </c>
      <c r="AG5" s="10">
        <v>132.9</v>
      </c>
      <c r="AH5" s="10">
        <v>651.9</v>
      </c>
      <c r="AI5" s="10">
        <v>5474.51</v>
      </c>
      <c r="AJ5" s="11">
        <v>23.0</v>
      </c>
      <c r="AL5" s="19"/>
      <c r="AM5" s="9" t="s">
        <v>16</v>
      </c>
      <c r="AN5" s="10">
        <f t="shared" ref="AN5:AP5" si="5">D5+K5+R5+Y5+AF5</f>
        <v>7530.9</v>
      </c>
      <c r="AO5" s="10">
        <f t="shared" si="5"/>
        <v>1924.8</v>
      </c>
      <c r="AP5" s="10">
        <f t="shared" si="5"/>
        <v>7027.29</v>
      </c>
      <c r="AQ5" s="11">
        <f t="shared" si="3"/>
        <v>320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13">
        <f>3947.6-2664</f>
        <v>1283.6</v>
      </c>
      <c r="L6" s="10">
        <v>0.0</v>
      </c>
      <c r="M6" s="17">
        <v>1363.6</v>
      </c>
      <c r="N6" s="21">
        <f>4623.35-2664</f>
        <v>1959.35</v>
      </c>
      <c r="O6" s="22">
        <f>162-75</f>
        <v>87</v>
      </c>
      <c r="P6" s="19"/>
      <c r="Q6" s="9" t="s">
        <v>17</v>
      </c>
      <c r="R6" s="13">
        <v>962.9</v>
      </c>
      <c r="S6" s="10">
        <v>60.0</v>
      </c>
      <c r="T6" s="10">
        <v>902.9</v>
      </c>
      <c r="U6" s="21">
        <v>1562.6</v>
      </c>
      <c r="V6" s="11">
        <v>43.0</v>
      </c>
      <c r="W6" s="19"/>
      <c r="X6" s="9" t="s">
        <v>17</v>
      </c>
      <c r="Y6" s="10">
        <v>407.9</v>
      </c>
      <c r="Z6" s="10">
        <v>0.0</v>
      </c>
      <c r="AA6" s="10">
        <v>407.9</v>
      </c>
      <c r="AB6" s="10">
        <v>1533.6</v>
      </c>
      <c r="AC6" s="11">
        <v>28.0</v>
      </c>
      <c r="AD6" s="19"/>
      <c r="AE6" s="9" t="s">
        <v>17</v>
      </c>
      <c r="AF6" s="13">
        <v>1463.3</v>
      </c>
      <c r="AG6" s="21">
        <v>423.0</v>
      </c>
      <c r="AH6" s="10">
        <v>1040.3</v>
      </c>
      <c r="AI6" s="10">
        <v>1942.1</v>
      </c>
      <c r="AJ6" s="11">
        <v>57.0</v>
      </c>
      <c r="AL6" s="19"/>
      <c r="AM6" s="9" t="s">
        <v>17</v>
      </c>
      <c r="AN6" s="10">
        <f t="shared" ref="AN6:AP6" si="6">D6+K6+R6+Y6+AF6</f>
        <v>4117.7</v>
      </c>
      <c r="AO6" s="10">
        <f t="shared" si="6"/>
        <v>483</v>
      </c>
      <c r="AP6" s="10">
        <f t="shared" si="6"/>
        <v>3714.7</v>
      </c>
      <c r="AQ6" s="11">
        <f t="shared" si="3"/>
        <v>215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9" t="s">
        <v>18</v>
      </c>
      <c r="K7" s="10"/>
      <c r="L7" s="10"/>
      <c r="M7" s="10"/>
      <c r="N7" s="10"/>
      <c r="O7" s="11"/>
      <c r="P7" s="19"/>
      <c r="Q7" s="9" t="s">
        <v>18</v>
      </c>
      <c r="R7" s="10"/>
      <c r="S7" s="10"/>
      <c r="T7" s="10"/>
      <c r="U7" s="10"/>
      <c r="V7" s="11"/>
      <c r="W7" s="19"/>
      <c r="X7" s="9" t="s">
        <v>18</v>
      </c>
      <c r="Y7" s="10"/>
      <c r="Z7" s="10"/>
      <c r="AA7" s="10"/>
      <c r="AB7" s="10"/>
      <c r="AC7" s="11"/>
      <c r="AD7" s="19"/>
      <c r="AE7" s="9" t="s">
        <v>18</v>
      </c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0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9" t="s">
        <v>20</v>
      </c>
      <c r="K8" s="13">
        <v>817.0</v>
      </c>
      <c r="L8" s="10">
        <v>42.0</v>
      </c>
      <c r="M8" s="17">
        <v>1051.0</v>
      </c>
      <c r="N8" s="14">
        <v>2242.29</v>
      </c>
      <c r="O8" s="11">
        <v>42.0</v>
      </c>
      <c r="P8" s="19"/>
      <c r="Q8" s="15" t="s">
        <v>19</v>
      </c>
      <c r="R8" s="20">
        <v>314.9</v>
      </c>
      <c r="S8" s="10">
        <v>54.9</v>
      </c>
      <c r="T8" s="17">
        <v>676.9</v>
      </c>
      <c r="U8" s="14">
        <v>2066.79</v>
      </c>
      <c r="V8" s="11">
        <v>25.0</v>
      </c>
      <c r="W8" s="19"/>
      <c r="X8" s="164" t="s">
        <v>19</v>
      </c>
      <c r="Y8" s="165"/>
      <c r="Z8" s="165"/>
      <c r="AA8" s="165"/>
      <c r="AB8" s="165"/>
      <c r="AC8" s="166"/>
      <c r="AD8" s="19"/>
      <c r="AE8" s="9" t="s">
        <v>19</v>
      </c>
      <c r="AF8" s="13">
        <v>807.8</v>
      </c>
      <c r="AG8" s="21">
        <v>807.8</v>
      </c>
      <c r="AH8" s="10">
        <v>113.35</v>
      </c>
      <c r="AI8" s="10">
        <v>2703.24</v>
      </c>
      <c r="AJ8" s="11">
        <v>46.0</v>
      </c>
      <c r="AL8" s="19"/>
      <c r="AM8" s="9" t="s">
        <v>19</v>
      </c>
      <c r="AN8" s="10">
        <f t="shared" ref="AN8:AP8" si="8">D8+K8+R8+Y8+AF8</f>
        <v>1939.7</v>
      </c>
      <c r="AO8" s="10">
        <f t="shared" si="8"/>
        <v>904.7</v>
      </c>
      <c r="AP8" s="10">
        <f t="shared" si="8"/>
        <v>1841.25</v>
      </c>
      <c r="AQ8" s="11">
        <f t="shared" si="3"/>
        <v>113</v>
      </c>
    </row>
    <row r="9">
      <c r="B9" s="19"/>
      <c r="C9" s="26" t="s">
        <v>21</v>
      </c>
      <c r="D9" s="10"/>
      <c r="E9" s="10"/>
      <c r="F9" s="10"/>
      <c r="G9" s="10"/>
      <c r="H9" s="11"/>
      <c r="I9" s="19"/>
      <c r="J9" s="26" t="s">
        <v>22</v>
      </c>
      <c r="K9" s="13">
        <v>2308.7</v>
      </c>
      <c r="L9" s="10">
        <v>0.0</v>
      </c>
      <c r="M9" s="17">
        <v>2843.6</v>
      </c>
      <c r="N9" s="24">
        <v>6485.54</v>
      </c>
      <c r="O9" s="22">
        <v>139.0</v>
      </c>
      <c r="P9" s="19"/>
      <c r="Q9" s="26" t="s">
        <v>21</v>
      </c>
      <c r="R9" s="13">
        <v>4599.0</v>
      </c>
      <c r="S9" s="21">
        <v>711.0</v>
      </c>
      <c r="T9" s="10">
        <v>3906.0</v>
      </c>
      <c r="U9" s="24">
        <v>7330.24</v>
      </c>
      <c r="V9" s="22">
        <v>195.0</v>
      </c>
      <c r="W9" s="19"/>
      <c r="X9" s="26" t="s">
        <v>21</v>
      </c>
      <c r="Y9" s="10">
        <v>898.6</v>
      </c>
      <c r="Z9" s="10">
        <v>164.7</v>
      </c>
      <c r="AA9" s="10">
        <v>922.9</v>
      </c>
      <c r="AB9" s="10">
        <v>7214.64</v>
      </c>
      <c r="AC9" s="11">
        <v>37.0</v>
      </c>
      <c r="AD9" s="19"/>
      <c r="AE9" s="26" t="s">
        <v>21</v>
      </c>
      <c r="AF9" s="13">
        <v>3714.34</v>
      </c>
      <c r="AG9" s="21">
        <v>776.4</v>
      </c>
      <c r="AH9" s="10">
        <v>3119.22</v>
      </c>
      <c r="AI9" s="10">
        <v>7950.16</v>
      </c>
      <c r="AJ9" s="22">
        <v>138.0</v>
      </c>
      <c r="AL9" s="19"/>
      <c r="AM9" s="26" t="s">
        <v>21</v>
      </c>
      <c r="AN9" s="10">
        <f t="shared" ref="AN9:AP9" si="9">D9+K9+R9+Y9+AF9</f>
        <v>11520.64</v>
      </c>
      <c r="AO9" s="10">
        <f t="shared" si="9"/>
        <v>1652.1</v>
      </c>
      <c r="AP9" s="10">
        <f t="shared" si="9"/>
        <v>10791.72</v>
      </c>
      <c r="AQ9" s="11">
        <f t="shared" si="3"/>
        <v>509</v>
      </c>
    </row>
    <row r="10">
      <c r="B10" s="19"/>
      <c r="C10" s="28" t="s">
        <v>23</v>
      </c>
      <c r="D10" s="29">
        <f t="shared" ref="D10:H10" si="10">D2+D3+D4+D5+D6+D7+D8+D9</f>
        <v>0</v>
      </c>
      <c r="E10" s="30">
        <f t="shared" si="10"/>
        <v>0</v>
      </c>
      <c r="F10" s="31">
        <f t="shared" si="10"/>
        <v>0</v>
      </c>
      <c r="G10" s="32">
        <f t="shared" si="10"/>
        <v>0</v>
      </c>
      <c r="H10" s="33">
        <f t="shared" si="10"/>
        <v>0</v>
      </c>
      <c r="I10" s="19"/>
      <c r="J10" s="28" t="s">
        <v>23</v>
      </c>
      <c r="K10" s="61">
        <f t="shared" ref="K10:O10" si="11">K2+K3+K4+K5+K6+K7+K8+K9</f>
        <v>7880.3</v>
      </c>
      <c r="L10" s="30">
        <f t="shared" si="11"/>
        <v>848.9</v>
      </c>
      <c r="M10" s="36">
        <f t="shared" si="11"/>
        <v>8321.3</v>
      </c>
      <c r="N10" s="37">
        <f t="shared" si="11"/>
        <v>19841.01</v>
      </c>
      <c r="O10" s="38">
        <f t="shared" si="11"/>
        <v>414</v>
      </c>
      <c r="P10" s="19"/>
      <c r="Q10" s="28" t="s">
        <v>23</v>
      </c>
      <c r="R10" s="61">
        <f t="shared" ref="R10:V10" si="12">R2+R3+R4+R5+R6+R7+R8+R9</f>
        <v>9559.71</v>
      </c>
      <c r="S10" s="35">
        <f t="shared" si="12"/>
        <v>1723.9</v>
      </c>
      <c r="T10" s="31">
        <f t="shared" si="12"/>
        <v>9055.79</v>
      </c>
      <c r="U10" s="37">
        <f t="shared" si="12"/>
        <v>19448.59</v>
      </c>
      <c r="V10" s="33">
        <f t="shared" si="12"/>
        <v>480</v>
      </c>
      <c r="W10" s="19"/>
      <c r="X10" s="28" t="s">
        <v>23</v>
      </c>
      <c r="Y10" s="29">
        <f t="shared" ref="Y10:AC10" si="13">Y2+Y3+Y4+Y5+Y6+Y7+Y8+Y9</f>
        <v>3075</v>
      </c>
      <c r="Z10" s="35">
        <f t="shared" si="13"/>
        <v>351.6</v>
      </c>
      <c r="AA10" s="36">
        <f t="shared" si="13"/>
        <v>3552.51</v>
      </c>
      <c r="AB10" s="37">
        <f t="shared" si="13"/>
        <v>16889.49</v>
      </c>
      <c r="AC10" s="33">
        <f t="shared" si="13"/>
        <v>141</v>
      </c>
      <c r="AD10" s="19"/>
      <c r="AE10" s="28" t="s">
        <v>23</v>
      </c>
      <c r="AF10" s="61">
        <f t="shared" ref="AF10:AJ10" si="14">AF2+AF3+AF4+AF5+AF6+AF7+AF8+AF9</f>
        <v>7687.75</v>
      </c>
      <c r="AG10" s="40">
        <f t="shared" si="14"/>
        <v>2678.87</v>
      </c>
      <c r="AH10" s="31">
        <f t="shared" si="14"/>
        <v>5493.41</v>
      </c>
      <c r="AI10" s="37">
        <f t="shared" si="14"/>
        <v>21697.08</v>
      </c>
      <c r="AJ10" s="33">
        <f t="shared" si="14"/>
        <v>324</v>
      </c>
      <c r="AL10" s="19"/>
      <c r="AM10" s="28" t="s">
        <v>23</v>
      </c>
      <c r="AN10" s="41">
        <f t="shared" ref="AN10:AQ10" si="15">AN2+AN3+AN4+AN5+AN6+AN7+AN8+AN9</f>
        <v>28202.76</v>
      </c>
      <c r="AO10" s="42">
        <f t="shared" si="15"/>
        <v>5603.27</v>
      </c>
      <c r="AP10" s="43">
        <f t="shared" si="15"/>
        <v>26423.01</v>
      </c>
      <c r="AQ10" s="44">
        <f t="shared" si="15"/>
        <v>1359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7031.4</v>
      </c>
      <c r="L11" s="47"/>
      <c r="M11" s="48"/>
      <c r="N11" s="51"/>
      <c r="O11" s="52"/>
      <c r="P11" s="19"/>
      <c r="Q11" s="45" t="s">
        <v>24</v>
      </c>
      <c r="R11" s="50">
        <f>R10-S10</f>
        <v>7835.81</v>
      </c>
      <c r="S11" s="47"/>
      <c r="T11" s="48"/>
      <c r="U11" s="51"/>
      <c r="V11" s="52"/>
      <c r="W11" s="19"/>
      <c r="X11" s="45" t="s">
        <v>24</v>
      </c>
      <c r="Y11" s="50">
        <f>Y10-Z10</f>
        <v>2723.4</v>
      </c>
      <c r="Z11" s="47"/>
      <c r="AA11" s="48"/>
      <c r="AB11" s="51"/>
      <c r="AC11" s="52"/>
      <c r="AD11" s="19"/>
      <c r="AE11" s="45" t="s">
        <v>24</v>
      </c>
      <c r="AF11" s="50">
        <f>AF10-AG10</f>
        <v>5008.88</v>
      </c>
      <c r="AG11" s="47"/>
      <c r="AH11" s="48"/>
      <c r="AI11" s="51"/>
      <c r="AJ11" s="52"/>
      <c r="AL11" s="53"/>
      <c r="AM11" s="45" t="s">
        <v>25</v>
      </c>
      <c r="AN11" s="50">
        <f>AN10-AO10</f>
        <v>22599.49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7472.4</v>
      </c>
      <c r="L12" s="47"/>
      <c r="M12" s="48"/>
      <c r="N12" s="51"/>
      <c r="O12" s="52"/>
      <c r="P12" s="53"/>
      <c r="Q12" s="56" t="s">
        <v>26</v>
      </c>
      <c r="R12" s="57">
        <f>T10-S10</f>
        <v>7331.89</v>
      </c>
      <c r="S12" s="47"/>
      <c r="T12" s="48"/>
      <c r="U12" s="51"/>
      <c r="V12" s="52"/>
      <c r="W12" s="53"/>
      <c r="X12" s="56" t="s">
        <v>26</v>
      </c>
      <c r="Y12" s="57">
        <f>AA10-Z10</f>
        <v>3200.91</v>
      </c>
      <c r="Z12" s="47"/>
      <c r="AA12" s="48"/>
      <c r="AB12" s="51"/>
      <c r="AC12" s="52"/>
      <c r="AD12" s="53"/>
      <c r="AE12" s="56" t="s">
        <v>26</v>
      </c>
      <c r="AF12" s="57">
        <f>AH10-AG10</f>
        <v>2814.54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2" t="s">
        <v>1</v>
      </c>
      <c r="Y13" s="4" t="s">
        <v>7</v>
      </c>
      <c r="Z13" s="2" t="s">
        <v>3</v>
      </c>
      <c r="AA13" s="2" t="s">
        <v>4</v>
      </c>
      <c r="AB13" s="2" t="s">
        <v>5</v>
      </c>
      <c r="AC13" s="5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/>
      <c r="C14" s="9" t="s">
        <v>10</v>
      </c>
      <c r="D14" s="10"/>
      <c r="E14" s="10"/>
      <c r="F14" s="10"/>
      <c r="G14" s="10"/>
      <c r="H14" s="11"/>
      <c r="I14" s="12">
        <v>46056.0</v>
      </c>
      <c r="J14" s="15" t="s">
        <v>10</v>
      </c>
      <c r="K14" s="10">
        <v>573.8</v>
      </c>
      <c r="L14" s="10">
        <v>30.0</v>
      </c>
      <c r="M14" s="17">
        <v>704.8</v>
      </c>
      <c r="N14" s="16">
        <v>726.0</v>
      </c>
      <c r="O14" s="11">
        <v>19.0</v>
      </c>
      <c r="P14" s="8">
        <v>46063.0</v>
      </c>
      <c r="Q14" s="9" t="s">
        <v>10</v>
      </c>
      <c r="R14" s="13">
        <v>951.5</v>
      </c>
      <c r="S14" s="10">
        <v>190.0</v>
      </c>
      <c r="T14" s="10">
        <v>761.5</v>
      </c>
      <c r="U14" s="21">
        <v>1851.4</v>
      </c>
      <c r="V14" s="11">
        <v>35.0</v>
      </c>
      <c r="W14" s="167">
        <v>46070.0</v>
      </c>
      <c r="X14" s="63" t="s">
        <v>10</v>
      </c>
      <c r="Y14" s="64"/>
      <c r="Z14" s="64"/>
      <c r="AA14" s="64"/>
      <c r="AB14" s="64"/>
      <c r="AC14" s="22"/>
      <c r="AD14" s="8">
        <v>46077.0</v>
      </c>
      <c r="AE14" s="9" t="s">
        <v>10</v>
      </c>
      <c r="AF14" s="13">
        <v>890.7</v>
      </c>
      <c r="AG14" s="10">
        <v>0.0</v>
      </c>
      <c r="AH14" s="17">
        <v>975.7</v>
      </c>
      <c r="AI14" s="10">
        <v>1215.97</v>
      </c>
      <c r="AJ14" s="11">
        <v>40.0</v>
      </c>
      <c r="AL14" s="18" t="s">
        <v>28</v>
      </c>
      <c r="AM14" s="9" t="s">
        <v>10</v>
      </c>
      <c r="AN14" s="10">
        <f t="shared" ref="AN14:AP14" si="16">D14+K14+R14+Y14+AF14</f>
        <v>2416</v>
      </c>
      <c r="AO14" s="10">
        <f t="shared" si="16"/>
        <v>220</v>
      </c>
      <c r="AP14" s="10">
        <f t="shared" si="16"/>
        <v>2442</v>
      </c>
      <c r="AQ14" s="11">
        <f t="shared" ref="AQ14:AQ21" si="18">H14+O14+V14+AC14+AJ14</f>
        <v>94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9" t="s">
        <v>12</v>
      </c>
      <c r="K15" s="20">
        <v>90.2</v>
      </c>
      <c r="L15" s="10">
        <v>30.0</v>
      </c>
      <c r="M15" s="10">
        <v>120.2</v>
      </c>
      <c r="N15" s="14">
        <v>2377.4</v>
      </c>
      <c r="O15" s="11">
        <v>15.0</v>
      </c>
      <c r="P15" s="19"/>
      <c r="Q15" s="9" t="s">
        <v>12</v>
      </c>
      <c r="R15" s="13">
        <v>927.0</v>
      </c>
      <c r="S15" s="21">
        <v>406.0</v>
      </c>
      <c r="T15" s="10">
        <v>575.0</v>
      </c>
      <c r="U15" s="21">
        <v>1272.6</v>
      </c>
      <c r="V15" s="11">
        <v>45.0</v>
      </c>
      <c r="W15" s="19"/>
      <c r="X15" s="63" t="s">
        <v>12</v>
      </c>
      <c r="Y15" s="64"/>
      <c r="Z15" s="64"/>
      <c r="AA15" s="64"/>
      <c r="AB15" s="64"/>
      <c r="AC15" s="22"/>
      <c r="AD15" s="19"/>
      <c r="AE15" s="9" t="s">
        <v>12</v>
      </c>
      <c r="AF15" s="10">
        <v>447.3</v>
      </c>
      <c r="AG15" s="21">
        <v>329.4</v>
      </c>
      <c r="AH15" s="10">
        <v>117.9</v>
      </c>
      <c r="AI15" s="10">
        <v>2655.5</v>
      </c>
      <c r="AJ15" s="11">
        <v>21.0</v>
      </c>
      <c r="AL15" s="19"/>
      <c r="AM15" s="9" t="s">
        <v>12</v>
      </c>
      <c r="AN15" s="10">
        <f t="shared" ref="AN15:AP15" si="17">D15+K15+R15+Y15+AF15</f>
        <v>1464.5</v>
      </c>
      <c r="AO15" s="10">
        <f t="shared" si="17"/>
        <v>765.4</v>
      </c>
      <c r="AP15" s="10">
        <f t="shared" si="17"/>
        <v>813.1</v>
      </c>
      <c r="AQ15" s="11">
        <f t="shared" si="18"/>
        <v>81</v>
      </c>
    </row>
    <row r="16">
      <c r="A16" s="19"/>
      <c r="B16" s="19"/>
      <c r="C16" s="9" t="s">
        <v>14</v>
      </c>
      <c r="D16" s="10"/>
      <c r="E16" s="10"/>
      <c r="F16" s="10"/>
      <c r="G16" s="10"/>
      <c r="H16" s="11"/>
      <c r="I16" s="19"/>
      <c r="J16" s="9" t="s">
        <v>14</v>
      </c>
      <c r="K16" s="10"/>
      <c r="L16" s="10"/>
      <c r="M16" s="10"/>
      <c r="N16" s="10"/>
      <c r="O16" s="11"/>
      <c r="P16" s="19"/>
      <c r="Q16" s="9" t="s">
        <v>14</v>
      </c>
      <c r="R16" s="10"/>
      <c r="S16" s="10"/>
      <c r="T16" s="10"/>
      <c r="U16" s="10"/>
      <c r="V16" s="11"/>
      <c r="W16" s="19"/>
      <c r="X16" s="63" t="s">
        <v>14</v>
      </c>
      <c r="Y16" s="64"/>
      <c r="Z16" s="64"/>
      <c r="AA16" s="64"/>
      <c r="AB16" s="64"/>
      <c r="AC16" s="22"/>
      <c r="AD16" s="19"/>
      <c r="AE16" s="9" t="s">
        <v>14</v>
      </c>
      <c r="AF16" s="10"/>
      <c r="AG16" s="10"/>
      <c r="AH16" s="10"/>
      <c r="AI16" s="10"/>
      <c r="AJ16" s="11"/>
      <c r="AL16" s="19"/>
      <c r="AM16" s="9" t="s">
        <v>14</v>
      </c>
      <c r="AN16" s="10">
        <f t="shared" ref="AN16:AP16" si="19">D16+K16+R16+Y16+AF16</f>
        <v>0</v>
      </c>
      <c r="AO16" s="10">
        <f t="shared" si="19"/>
        <v>0</v>
      </c>
      <c r="AP16" s="10">
        <f t="shared" si="19"/>
        <v>0</v>
      </c>
      <c r="AQ16" s="11">
        <f t="shared" si="18"/>
        <v>0</v>
      </c>
    </row>
    <row r="17">
      <c r="A17" s="19"/>
      <c r="B17" s="19"/>
      <c r="C17" s="9" t="s">
        <v>16</v>
      </c>
      <c r="D17" s="10"/>
      <c r="E17" s="10"/>
      <c r="F17" s="10"/>
      <c r="G17" s="10"/>
      <c r="H17" s="11"/>
      <c r="I17" s="19"/>
      <c r="J17" s="9" t="s">
        <v>16</v>
      </c>
      <c r="K17" s="13">
        <v>2241.63</v>
      </c>
      <c r="L17" s="10">
        <v>55.33</v>
      </c>
      <c r="M17" s="17">
        <v>2365.3</v>
      </c>
      <c r="N17" s="24">
        <v>5765.76</v>
      </c>
      <c r="O17" s="22">
        <v>93.0</v>
      </c>
      <c r="P17" s="19"/>
      <c r="Q17" s="15" t="s">
        <v>15</v>
      </c>
      <c r="R17" s="20">
        <v>1353.8</v>
      </c>
      <c r="S17" s="10">
        <v>75.0</v>
      </c>
      <c r="T17" s="17">
        <v>1594.2</v>
      </c>
      <c r="U17" s="24">
        <v>5659.96</v>
      </c>
      <c r="V17" s="22">
        <v>73.0</v>
      </c>
      <c r="W17" s="19"/>
      <c r="X17" s="63" t="s">
        <v>16</v>
      </c>
      <c r="Y17" s="64"/>
      <c r="Z17" s="64"/>
      <c r="AA17" s="64"/>
      <c r="AB17" s="64"/>
      <c r="AC17" s="22"/>
      <c r="AD17" s="19"/>
      <c r="AE17" s="9" t="s">
        <v>16</v>
      </c>
      <c r="AF17" s="10">
        <v>1505.9</v>
      </c>
      <c r="AG17" s="10">
        <v>80.0</v>
      </c>
      <c r="AH17" s="10">
        <v>1473.9</v>
      </c>
      <c r="AI17" s="10">
        <v>5506.51</v>
      </c>
      <c r="AJ17" s="22">
        <v>90.0</v>
      </c>
      <c r="AL17" s="19"/>
      <c r="AM17" s="9" t="s">
        <v>16</v>
      </c>
      <c r="AN17" s="10">
        <f t="shared" ref="AN17:AP17" si="20">D17+K17+R17+Y17+AF17</f>
        <v>5101.33</v>
      </c>
      <c r="AO17" s="10">
        <f t="shared" si="20"/>
        <v>210.33</v>
      </c>
      <c r="AP17" s="10">
        <f t="shared" si="20"/>
        <v>5433.4</v>
      </c>
      <c r="AQ17" s="11">
        <f t="shared" si="18"/>
        <v>256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15" t="s">
        <v>17</v>
      </c>
      <c r="K18" s="13">
        <v>687.0</v>
      </c>
      <c r="L18" s="10">
        <v>80.0</v>
      </c>
      <c r="M18" s="17">
        <v>1234.55</v>
      </c>
      <c r="N18" s="21">
        <f>4075.8-2664</f>
        <v>1411.8</v>
      </c>
      <c r="O18" s="11">
        <v>46.0</v>
      </c>
      <c r="P18" s="19"/>
      <c r="Q18" s="9" t="s">
        <v>17</v>
      </c>
      <c r="R18" s="13">
        <v>873.0</v>
      </c>
      <c r="S18" s="10">
        <v>249.0</v>
      </c>
      <c r="T18" s="10">
        <v>734.0</v>
      </c>
      <c r="U18" s="21">
        <v>1701.6</v>
      </c>
      <c r="V18" s="11">
        <v>39.0</v>
      </c>
      <c r="W18" s="19"/>
      <c r="X18" s="63" t="s">
        <v>17</v>
      </c>
      <c r="Y18" s="64"/>
      <c r="Z18" s="64"/>
      <c r="AA18" s="64"/>
      <c r="AB18" s="64"/>
      <c r="AC18" s="22"/>
      <c r="AD18" s="19"/>
      <c r="AE18" s="9" t="s">
        <v>17</v>
      </c>
      <c r="AF18" s="13">
        <v>707.9</v>
      </c>
      <c r="AG18" s="10">
        <v>0.0</v>
      </c>
      <c r="AH18" s="17">
        <v>707.9</v>
      </c>
      <c r="AI18" s="10">
        <v>1942.1</v>
      </c>
      <c r="AJ18" s="11">
        <v>29.0</v>
      </c>
      <c r="AL18" s="19"/>
      <c r="AM18" s="9" t="s">
        <v>17</v>
      </c>
      <c r="AN18" s="10">
        <f t="shared" ref="AN18:AP18" si="21">D18+K18+R18+Y18+AF18</f>
        <v>2267.9</v>
      </c>
      <c r="AO18" s="10">
        <f t="shared" si="21"/>
        <v>329</v>
      </c>
      <c r="AP18" s="10">
        <f t="shared" si="21"/>
        <v>2676.45</v>
      </c>
      <c r="AQ18" s="11">
        <f t="shared" si="18"/>
        <v>114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9" t="s">
        <v>18</v>
      </c>
      <c r="K19" s="10"/>
      <c r="L19" s="10"/>
      <c r="M19" s="10"/>
      <c r="N19" s="10"/>
      <c r="O19" s="11"/>
      <c r="P19" s="19"/>
      <c r="Q19" s="9" t="s">
        <v>29</v>
      </c>
      <c r="R19" s="10"/>
      <c r="S19" s="10"/>
      <c r="T19" s="10"/>
      <c r="U19" s="10"/>
      <c r="V19" s="11"/>
      <c r="W19" s="19"/>
      <c r="X19" s="63" t="s">
        <v>18</v>
      </c>
      <c r="Y19" s="64"/>
      <c r="Z19" s="64"/>
      <c r="AA19" s="64"/>
      <c r="AB19" s="64"/>
      <c r="AC19" s="22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2">D19+K19+R19+Y19+AF19</f>
        <v>0</v>
      </c>
      <c r="AO19" s="10">
        <f t="shared" si="22"/>
        <v>0</v>
      </c>
      <c r="AP19" s="10">
        <f t="shared" si="22"/>
        <v>0</v>
      </c>
      <c r="AQ19" s="11">
        <f t="shared" si="18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0">
        <v>441.04</v>
      </c>
      <c r="L20" s="10">
        <v>0.0</v>
      </c>
      <c r="M20" s="10">
        <v>476.04</v>
      </c>
      <c r="N20" s="14">
        <v>2207.29</v>
      </c>
      <c r="O20" s="11">
        <v>23.0</v>
      </c>
      <c r="P20" s="19"/>
      <c r="Q20" s="9" t="s">
        <v>19</v>
      </c>
      <c r="R20" s="20">
        <v>163.9</v>
      </c>
      <c r="S20" s="10">
        <v>0.0</v>
      </c>
      <c r="T20" s="10">
        <v>213.9</v>
      </c>
      <c r="U20" s="14">
        <v>2016.79</v>
      </c>
      <c r="V20" s="11">
        <v>11.0</v>
      </c>
      <c r="W20" s="19"/>
      <c r="X20" s="63" t="s">
        <v>19</v>
      </c>
      <c r="Y20" s="64"/>
      <c r="Z20" s="64"/>
      <c r="AA20" s="64"/>
      <c r="AB20" s="64"/>
      <c r="AC20" s="22"/>
      <c r="AD20" s="19"/>
      <c r="AE20" s="9" t="s">
        <v>19</v>
      </c>
      <c r="AF20" s="13">
        <v>926.0</v>
      </c>
      <c r="AG20" s="10">
        <v>0.0</v>
      </c>
      <c r="AH20" s="17">
        <v>1203.0</v>
      </c>
      <c r="AI20" s="10">
        <v>2426.24</v>
      </c>
      <c r="AJ20" s="11">
        <v>25.0</v>
      </c>
      <c r="AL20" s="19"/>
      <c r="AM20" s="9" t="s">
        <v>19</v>
      </c>
      <c r="AN20" s="10">
        <f t="shared" ref="AN20:AP20" si="23">D20+K20+R20+Y20+AF20</f>
        <v>1530.94</v>
      </c>
      <c r="AO20" s="10">
        <f t="shared" si="23"/>
        <v>0</v>
      </c>
      <c r="AP20" s="10">
        <f t="shared" si="23"/>
        <v>1892.94</v>
      </c>
      <c r="AQ20" s="11">
        <f t="shared" si="18"/>
        <v>59</v>
      </c>
    </row>
    <row r="21">
      <c r="A21" s="19"/>
      <c r="B21" s="19"/>
      <c r="C21" s="26" t="s">
        <v>21</v>
      </c>
      <c r="D21" s="10"/>
      <c r="E21" s="10"/>
      <c r="F21" s="10"/>
      <c r="G21" s="10"/>
      <c r="H21" s="11"/>
      <c r="I21" s="19"/>
      <c r="J21" s="26" t="s">
        <v>22</v>
      </c>
      <c r="K21" s="20">
        <v>992.7</v>
      </c>
      <c r="L21" s="21">
        <v>328.9</v>
      </c>
      <c r="M21" s="10">
        <v>728.8</v>
      </c>
      <c r="N21" s="24">
        <v>6749.44</v>
      </c>
      <c r="O21" s="11">
        <v>53.0</v>
      </c>
      <c r="P21" s="19"/>
      <c r="Q21" s="26" t="s">
        <v>21</v>
      </c>
      <c r="R21" s="13">
        <v>2034.7</v>
      </c>
      <c r="S21" s="10">
        <v>68.0</v>
      </c>
      <c r="T21" s="10">
        <v>2020.7</v>
      </c>
      <c r="U21" s="24">
        <v>7344.24</v>
      </c>
      <c r="V21" s="22">
        <v>139.0</v>
      </c>
      <c r="W21" s="19"/>
      <c r="X21" s="65" t="s">
        <v>21</v>
      </c>
      <c r="Y21" s="64"/>
      <c r="Z21" s="64"/>
      <c r="AA21" s="64"/>
      <c r="AB21" s="64"/>
      <c r="AC21" s="22"/>
      <c r="AD21" s="19"/>
      <c r="AE21" s="26" t="s">
        <v>21</v>
      </c>
      <c r="AF21" s="10">
        <v>1434.4</v>
      </c>
      <c r="AG21" s="10">
        <v>276.0</v>
      </c>
      <c r="AH21" s="17">
        <v>1538.3</v>
      </c>
      <c r="AI21" s="10">
        <v>7660.26</v>
      </c>
      <c r="AJ21" s="22">
        <v>90.0</v>
      </c>
      <c r="AL21" s="19"/>
      <c r="AM21" s="26" t="s">
        <v>21</v>
      </c>
      <c r="AN21" s="10">
        <f t="shared" ref="AN21:AP21" si="24">D21+K21+R21+Y21+AF21</f>
        <v>4461.8</v>
      </c>
      <c r="AO21" s="10">
        <f t="shared" si="24"/>
        <v>672.9</v>
      </c>
      <c r="AP21" s="10">
        <f t="shared" si="24"/>
        <v>4287.8</v>
      </c>
      <c r="AQ21" s="11">
        <f t="shared" si="18"/>
        <v>282</v>
      </c>
    </row>
    <row r="22">
      <c r="A22" s="19"/>
      <c r="B22" s="19"/>
      <c r="C22" s="28" t="s">
        <v>23</v>
      </c>
      <c r="D22" s="29">
        <f t="shared" ref="D22:H22" si="25">D14+D15+D16+D17+D18+D19+D20+D21</f>
        <v>0</v>
      </c>
      <c r="E22" s="30">
        <f t="shared" si="25"/>
        <v>0</v>
      </c>
      <c r="F22" s="31">
        <f t="shared" si="25"/>
        <v>0</v>
      </c>
      <c r="G22" s="32">
        <f t="shared" si="25"/>
        <v>0</v>
      </c>
      <c r="H22" s="33">
        <f t="shared" si="25"/>
        <v>0</v>
      </c>
      <c r="I22" s="19"/>
      <c r="J22" s="28" t="s">
        <v>23</v>
      </c>
      <c r="K22" s="29">
        <f t="shared" ref="K22:O22" si="26">K14+K15+K16+K17+K18+K19+K20+K21</f>
        <v>5026.37</v>
      </c>
      <c r="L22" s="30">
        <f t="shared" si="26"/>
        <v>524.23</v>
      </c>
      <c r="M22" s="36">
        <f t="shared" si="26"/>
        <v>5629.69</v>
      </c>
      <c r="N22" s="37">
        <f t="shared" si="26"/>
        <v>19237.69</v>
      </c>
      <c r="O22" s="33">
        <f t="shared" si="26"/>
        <v>249</v>
      </c>
      <c r="P22" s="19"/>
      <c r="Q22" s="28" t="s">
        <v>23</v>
      </c>
      <c r="R22" s="29">
        <f t="shared" ref="R22:V22" si="27">R14+R15+R16+R17+R18+R19+R20+R21</f>
        <v>6303.9</v>
      </c>
      <c r="S22" s="35">
        <f t="shared" si="27"/>
        <v>988</v>
      </c>
      <c r="T22" s="31">
        <f t="shared" si="27"/>
        <v>5899.3</v>
      </c>
      <c r="U22" s="37">
        <f t="shared" si="27"/>
        <v>19846.59</v>
      </c>
      <c r="V22" s="33">
        <f t="shared" si="27"/>
        <v>342</v>
      </c>
      <c r="W22" s="19"/>
      <c r="X22" s="28" t="s">
        <v>23</v>
      </c>
      <c r="Y22" s="29">
        <f t="shared" ref="Y22:AC22" si="28">Y14+Y15+Y16+Y17+Y18+Y19+Y20+Y21</f>
        <v>0</v>
      </c>
      <c r="Z22" s="30">
        <f t="shared" si="28"/>
        <v>0</v>
      </c>
      <c r="AA22" s="31">
        <f t="shared" si="28"/>
        <v>0</v>
      </c>
      <c r="AB22" s="37">
        <f t="shared" si="28"/>
        <v>0</v>
      </c>
      <c r="AC22" s="33">
        <f t="shared" si="28"/>
        <v>0</v>
      </c>
      <c r="AD22" s="19"/>
      <c r="AE22" s="28" t="s">
        <v>23</v>
      </c>
      <c r="AF22" s="29">
        <f t="shared" ref="AF22:AJ22" si="29">AF14+AF15+AF16+AF17+AF18+AF19+AF20+AF21</f>
        <v>5912.2</v>
      </c>
      <c r="AG22" s="30">
        <f t="shared" si="29"/>
        <v>685.4</v>
      </c>
      <c r="AH22" s="31">
        <f t="shared" si="29"/>
        <v>6016.7</v>
      </c>
      <c r="AI22" s="37">
        <f t="shared" si="29"/>
        <v>21406.58</v>
      </c>
      <c r="AJ22" s="33">
        <f t="shared" si="29"/>
        <v>295</v>
      </c>
      <c r="AL22" s="19"/>
      <c r="AM22" s="28" t="s">
        <v>23</v>
      </c>
      <c r="AN22" s="41">
        <f t="shared" ref="AN22:AQ22" si="30">AN14+AN15+AN16+AN17+AN18+AN19+AN20+AN21</f>
        <v>17242.47</v>
      </c>
      <c r="AO22" s="42">
        <f t="shared" si="30"/>
        <v>2197.63</v>
      </c>
      <c r="AP22" s="43">
        <f t="shared" si="30"/>
        <v>17545.69</v>
      </c>
      <c r="AQ22" s="44">
        <f t="shared" si="30"/>
        <v>886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4502.14</v>
      </c>
      <c r="L23" s="47"/>
      <c r="M23" s="48"/>
      <c r="N23" s="51"/>
      <c r="O23" s="51"/>
      <c r="P23" s="19"/>
      <c r="Q23" s="45" t="s">
        <v>24</v>
      </c>
      <c r="R23" s="50">
        <f>R22-S22</f>
        <v>5315.9</v>
      </c>
      <c r="S23" s="47"/>
      <c r="T23" s="48"/>
      <c r="U23" s="51"/>
      <c r="V23" s="51"/>
      <c r="W23" s="19"/>
      <c r="X23" s="45" t="s">
        <v>24</v>
      </c>
      <c r="Y23" s="50">
        <f>Y22-Z22</f>
        <v>0</v>
      </c>
      <c r="Z23" s="47"/>
      <c r="AA23" s="48"/>
      <c r="AB23" s="51"/>
      <c r="AC23" s="51"/>
      <c r="AD23" s="19"/>
      <c r="AE23" s="45" t="s">
        <v>24</v>
      </c>
      <c r="AF23" s="50">
        <f>AF22-AG22</f>
        <v>5226.8</v>
      </c>
      <c r="AG23" s="47"/>
      <c r="AH23" s="48"/>
      <c r="AI23" s="51"/>
      <c r="AJ23" s="51"/>
      <c r="AL23" s="53"/>
      <c r="AM23" s="45" t="s">
        <v>25</v>
      </c>
      <c r="AN23" s="50">
        <f>AN22-AO22</f>
        <v>15044.84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5105.46</v>
      </c>
      <c r="L24" s="47"/>
      <c r="M24" s="48"/>
      <c r="N24" s="51"/>
      <c r="O24" s="51"/>
      <c r="P24" s="53"/>
      <c r="Q24" s="56" t="s">
        <v>26</v>
      </c>
      <c r="R24" s="57">
        <f>T22-S22</f>
        <v>4911.3</v>
      </c>
      <c r="S24" s="47"/>
      <c r="T24" s="48"/>
      <c r="U24" s="51"/>
      <c r="V24" s="51"/>
      <c r="W24" s="53"/>
      <c r="X24" s="56" t="s">
        <v>26</v>
      </c>
      <c r="Y24" s="57">
        <f>AA22-Z22</f>
        <v>0</v>
      </c>
      <c r="Z24" s="47"/>
      <c r="AA24" s="48"/>
      <c r="AB24" s="51"/>
      <c r="AC24" s="51"/>
      <c r="AD24" s="53"/>
      <c r="AE24" s="56" t="s">
        <v>26</v>
      </c>
      <c r="AF24" s="57">
        <f>AH22-AG22</f>
        <v>5331.3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2" t="s">
        <v>1</v>
      </c>
      <c r="K25" s="4" t="s">
        <v>7</v>
      </c>
      <c r="L25" s="2" t="s">
        <v>3</v>
      </c>
      <c r="M25" s="2" t="s">
        <v>4</v>
      </c>
      <c r="N25" s="2" t="s">
        <v>5</v>
      </c>
      <c r="O25" s="5" t="s">
        <v>6</v>
      </c>
      <c r="P25" s="2" t="s">
        <v>0</v>
      </c>
      <c r="Q25" s="2" t="s">
        <v>1</v>
      </c>
      <c r="R25" s="4" t="s">
        <v>7</v>
      </c>
      <c r="S25" s="2" t="s">
        <v>3</v>
      </c>
      <c r="T25" s="2" t="s">
        <v>4</v>
      </c>
      <c r="U25" s="2" t="s">
        <v>5</v>
      </c>
      <c r="V25" s="5" t="s">
        <v>6</v>
      </c>
      <c r="W25" s="2" t="s">
        <v>0</v>
      </c>
      <c r="X25" s="2" t="s">
        <v>1</v>
      </c>
      <c r="Y25" s="4" t="s">
        <v>7</v>
      </c>
      <c r="Z25" s="2" t="s">
        <v>3</v>
      </c>
      <c r="AA25" s="2" t="s">
        <v>4</v>
      </c>
      <c r="AB25" s="2" t="s">
        <v>5</v>
      </c>
      <c r="AC25" s="5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168"/>
      <c r="C26" s="9" t="s">
        <v>10</v>
      </c>
      <c r="D26" s="10"/>
      <c r="E26" s="10"/>
      <c r="F26" s="10"/>
      <c r="G26" s="10"/>
      <c r="H26" s="11"/>
      <c r="I26" s="12">
        <v>46057.0</v>
      </c>
      <c r="J26" s="9" t="s">
        <v>10</v>
      </c>
      <c r="K26" s="13">
        <v>913.0</v>
      </c>
      <c r="L26" s="10">
        <v>75.0</v>
      </c>
      <c r="M26" s="10">
        <v>838.0</v>
      </c>
      <c r="N26" s="16">
        <v>801.0</v>
      </c>
      <c r="O26" s="11">
        <v>38.0</v>
      </c>
      <c r="P26" s="8">
        <v>46064.0</v>
      </c>
      <c r="Q26" s="9" t="s">
        <v>10</v>
      </c>
      <c r="R26" s="13">
        <v>1026.0</v>
      </c>
      <c r="S26" s="10">
        <v>0.0</v>
      </c>
      <c r="T26" s="17">
        <v>1056.0</v>
      </c>
      <c r="U26" s="21">
        <v>1821.4</v>
      </c>
      <c r="V26" s="11">
        <v>29.0</v>
      </c>
      <c r="W26" s="8">
        <v>46071.0</v>
      </c>
      <c r="X26" s="9" t="s">
        <v>10</v>
      </c>
      <c r="Y26" s="13">
        <v>996.5</v>
      </c>
      <c r="Z26" s="10">
        <v>105.0</v>
      </c>
      <c r="AA26" s="10">
        <v>1857.1</v>
      </c>
      <c r="AB26" s="10">
        <v>1015.8</v>
      </c>
      <c r="AC26" s="11">
        <v>14.0</v>
      </c>
      <c r="AD26" s="8">
        <v>46078.0</v>
      </c>
      <c r="AE26" s="9" t="s">
        <v>10</v>
      </c>
      <c r="AF26" s="13">
        <v>1136.0</v>
      </c>
      <c r="AG26" s="10">
        <v>60.0</v>
      </c>
      <c r="AH26" s="17">
        <v>1876.0</v>
      </c>
      <c r="AI26" s="10">
        <v>1275.97</v>
      </c>
      <c r="AJ26" s="11">
        <v>56.0</v>
      </c>
      <c r="AL26" s="18" t="s">
        <v>31</v>
      </c>
      <c r="AM26" s="9" t="s">
        <v>10</v>
      </c>
      <c r="AN26" s="10">
        <f t="shared" ref="AN26:AP26" si="31">D26+K26+R26+Y26+AF26</f>
        <v>4071.5</v>
      </c>
      <c r="AO26" s="10">
        <f t="shared" si="31"/>
        <v>240</v>
      </c>
      <c r="AP26" s="10">
        <f t="shared" si="31"/>
        <v>5627.1</v>
      </c>
      <c r="AQ26" s="11">
        <f t="shared" ref="AQ26:AQ33" si="33">H26+O26+V26+AC26+AJ26</f>
        <v>137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3">
        <v>623.6</v>
      </c>
      <c r="L27" s="10">
        <v>36.0</v>
      </c>
      <c r="M27" s="10">
        <v>587.6</v>
      </c>
      <c r="N27" s="14">
        <v>2413.4</v>
      </c>
      <c r="O27" s="11">
        <v>33.0</v>
      </c>
      <c r="P27" s="19"/>
      <c r="Q27" s="9" t="s">
        <v>12</v>
      </c>
      <c r="R27" s="13">
        <v>611.8</v>
      </c>
      <c r="S27" s="10">
        <v>91.9</v>
      </c>
      <c r="T27" s="10">
        <v>519.9</v>
      </c>
      <c r="U27" s="21">
        <v>1364.5</v>
      </c>
      <c r="V27" s="11">
        <v>28.0</v>
      </c>
      <c r="W27" s="19"/>
      <c r="X27" s="9" t="s">
        <v>12</v>
      </c>
      <c r="Y27" s="20">
        <v>198.0</v>
      </c>
      <c r="Z27" s="10">
        <v>0.0</v>
      </c>
      <c r="AA27" s="10">
        <v>250.0</v>
      </c>
      <c r="AB27" s="10">
        <v>1125.4</v>
      </c>
      <c r="AC27" s="11">
        <v>16.0</v>
      </c>
      <c r="AD27" s="19"/>
      <c r="AE27" s="9" t="s">
        <v>12</v>
      </c>
      <c r="AF27" s="13">
        <v>654.62</v>
      </c>
      <c r="AG27" s="21">
        <v>473.62</v>
      </c>
      <c r="AH27" s="10">
        <v>181.0</v>
      </c>
      <c r="AI27" s="10">
        <v>3129.12</v>
      </c>
      <c r="AJ27" s="11">
        <v>20.0</v>
      </c>
      <c r="AL27" s="19"/>
      <c r="AM27" s="9" t="s">
        <v>12</v>
      </c>
      <c r="AN27" s="10">
        <f t="shared" ref="AN27:AP27" si="32">D27+K27+R27+Y27+AF27</f>
        <v>2088.02</v>
      </c>
      <c r="AO27" s="10">
        <f t="shared" si="32"/>
        <v>601.52</v>
      </c>
      <c r="AP27" s="10">
        <f t="shared" si="32"/>
        <v>1538.5</v>
      </c>
      <c r="AQ27" s="11">
        <f t="shared" si="33"/>
        <v>97</v>
      </c>
    </row>
    <row r="28">
      <c r="A28" s="19"/>
      <c r="B28" s="19"/>
      <c r="C28" s="9" t="s">
        <v>14</v>
      </c>
      <c r="D28" s="10"/>
      <c r="E28" s="10"/>
      <c r="F28" s="10"/>
      <c r="G28" s="10"/>
      <c r="H28" s="11"/>
      <c r="I28" s="19"/>
      <c r="J28" s="9" t="s">
        <v>14</v>
      </c>
      <c r="K28" s="10"/>
      <c r="L28" s="10"/>
      <c r="M28" s="10"/>
      <c r="N28" s="10"/>
      <c r="O28" s="11"/>
      <c r="P28" s="19"/>
      <c r="Q28" s="9" t="s">
        <v>33</v>
      </c>
      <c r="R28" s="10"/>
      <c r="S28" s="10"/>
      <c r="T28" s="10"/>
      <c r="U28" s="10"/>
      <c r="V28" s="11"/>
      <c r="W28" s="19"/>
      <c r="X28" s="9" t="s">
        <v>14</v>
      </c>
      <c r="Y28" s="10"/>
      <c r="Z28" s="10"/>
      <c r="AA28" s="10"/>
      <c r="AB28" s="10"/>
      <c r="AC28" s="11"/>
      <c r="AD28" s="19"/>
      <c r="AE28" s="9" t="s">
        <v>14</v>
      </c>
      <c r="AF28" s="10"/>
      <c r="AG28" s="10"/>
      <c r="AH28" s="10"/>
      <c r="AI28" s="10"/>
      <c r="AJ28" s="11"/>
      <c r="AL28" s="19"/>
      <c r="AM28" s="9" t="s">
        <v>14</v>
      </c>
      <c r="AN28" s="10">
        <f t="shared" ref="AN28:AP28" si="34">D28+K28+R28+Y28+AF28</f>
        <v>0</v>
      </c>
      <c r="AO28" s="10">
        <f t="shared" si="34"/>
        <v>0</v>
      </c>
      <c r="AP28" s="10">
        <f t="shared" si="34"/>
        <v>0</v>
      </c>
      <c r="AQ28" s="11">
        <f t="shared" si="33"/>
        <v>0</v>
      </c>
    </row>
    <row r="29">
      <c r="A29" s="19"/>
      <c r="B29" s="19"/>
      <c r="C29" s="9" t="s">
        <v>15</v>
      </c>
      <c r="D29" s="10"/>
      <c r="E29" s="10"/>
      <c r="F29" s="10"/>
      <c r="G29" s="10"/>
      <c r="H29" s="11"/>
      <c r="I29" s="19"/>
      <c r="J29" s="9" t="s">
        <v>15</v>
      </c>
      <c r="K29" s="13">
        <v>1985.0</v>
      </c>
      <c r="L29" s="21">
        <v>303.8</v>
      </c>
      <c r="M29" s="17">
        <v>2389.0</v>
      </c>
      <c r="N29" s="24">
        <v>5361.76</v>
      </c>
      <c r="O29" s="11">
        <v>83.0</v>
      </c>
      <c r="P29" s="19"/>
      <c r="Q29" s="9" t="s">
        <v>15</v>
      </c>
      <c r="R29" s="20">
        <v>923.4</v>
      </c>
      <c r="S29" s="10">
        <v>265.5</v>
      </c>
      <c r="T29" s="17">
        <v>966.8</v>
      </c>
      <c r="U29" s="24">
        <v>5616.56</v>
      </c>
      <c r="V29" s="11">
        <v>39.0</v>
      </c>
      <c r="W29" s="19"/>
      <c r="X29" s="9" t="s">
        <v>16</v>
      </c>
      <c r="Y29" s="20">
        <v>888.4</v>
      </c>
      <c r="Z29" s="10">
        <v>65.0</v>
      </c>
      <c r="AA29" s="10">
        <v>823.48</v>
      </c>
      <c r="AB29" s="10">
        <v>5152.45</v>
      </c>
      <c r="AC29" s="11">
        <v>53.0</v>
      </c>
      <c r="AD29" s="19"/>
      <c r="AE29" s="9" t="s">
        <v>16</v>
      </c>
      <c r="AF29" s="13">
        <v>2519.7</v>
      </c>
      <c r="AG29" s="21">
        <v>1152.9</v>
      </c>
      <c r="AH29" s="17">
        <v>3099.08</v>
      </c>
      <c r="AI29" s="10">
        <v>4829.56</v>
      </c>
      <c r="AJ29" s="11">
        <v>55.0</v>
      </c>
      <c r="AL29" s="19"/>
      <c r="AM29" s="9" t="s">
        <v>16</v>
      </c>
      <c r="AN29" s="10">
        <f t="shared" ref="AN29:AP29" si="35">D29+K29+R29+Y29+AF29</f>
        <v>6316.5</v>
      </c>
      <c r="AO29" s="10">
        <f t="shared" si="35"/>
        <v>1787.2</v>
      </c>
      <c r="AP29" s="10">
        <f t="shared" si="35"/>
        <v>7278.36</v>
      </c>
      <c r="AQ29" s="11">
        <f t="shared" si="33"/>
        <v>230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9" t="s">
        <v>17</v>
      </c>
      <c r="K30" s="13">
        <v>840.0</v>
      </c>
      <c r="L30" s="10">
        <v>0.0</v>
      </c>
      <c r="M30" s="17">
        <v>920.0</v>
      </c>
      <c r="N30" s="21">
        <f>3995.8-2664</f>
        <v>1331.8</v>
      </c>
      <c r="O30" s="11">
        <v>28.0</v>
      </c>
      <c r="P30" s="19"/>
      <c r="Q30" s="15" t="s">
        <v>17</v>
      </c>
      <c r="R30" s="10">
        <v>408.0</v>
      </c>
      <c r="S30" s="10">
        <v>135.0</v>
      </c>
      <c r="T30" s="17">
        <v>582.0</v>
      </c>
      <c r="U30" s="21">
        <v>1527.6</v>
      </c>
      <c r="V30" s="11">
        <v>21.0</v>
      </c>
      <c r="W30" s="19"/>
      <c r="X30" s="9" t="s">
        <v>17</v>
      </c>
      <c r="Y30" s="169">
        <v>91.0</v>
      </c>
      <c r="Z30" s="10">
        <v>0.0</v>
      </c>
      <c r="AA30" s="10">
        <v>145.9</v>
      </c>
      <c r="AB30" s="10">
        <v>1478.7</v>
      </c>
      <c r="AC30" s="11">
        <v>6.0</v>
      </c>
      <c r="AD30" s="19"/>
      <c r="AE30" s="9" t="s">
        <v>17</v>
      </c>
      <c r="AF30" s="13">
        <v>795.0</v>
      </c>
      <c r="AG30" s="10">
        <v>46.0</v>
      </c>
      <c r="AH30" s="17">
        <v>1174.0</v>
      </c>
      <c r="AI30" s="10">
        <v>1563.1</v>
      </c>
      <c r="AJ30" s="22">
        <v>88.0</v>
      </c>
      <c r="AL30" s="19"/>
      <c r="AM30" s="9" t="s">
        <v>17</v>
      </c>
      <c r="AN30" s="10">
        <f t="shared" ref="AN30:AP30" si="36">D30+K30+R30+Y30+AF30</f>
        <v>2134</v>
      </c>
      <c r="AO30" s="10">
        <f t="shared" si="36"/>
        <v>181</v>
      </c>
      <c r="AP30" s="10">
        <f t="shared" si="36"/>
        <v>2821.9</v>
      </c>
      <c r="AQ30" s="11">
        <f t="shared" si="33"/>
        <v>143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9" t="s">
        <v>29</v>
      </c>
      <c r="K31" s="10"/>
      <c r="L31" s="10"/>
      <c r="M31" s="10"/>
      <c r="N31" s="10"/>
      <c r="O31" s="11"/>
      <c r="P31" s="19"/>
      <c r="Q31" s="9" t="s">
        <v>18</v>
      </c>
      <c r="R31" s="10"/>
      <c r="S31" s="10"/>
      <c r="T31" s="10"/>
      <c r="U31" s="10"/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7">D31+K31+R31+Y31+AF31</f>
        <v>0</v>
      </c>
      <c r="AO31" s="10">
        <f t="shared" si="37"/>
        <v>0</v>
      </c>
      <c r="AP31" s="10">
        <f t="shared" si="37"/>
        <v>0</v>
      </c>
      <c r="AQ31" s="11">
        <f t="shared" si="33"/>
        <v>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9" t="s">
        <v>19</v>
      </c>
      <c r="K32" s="13">
        <v>1112.9</v>
      </c>
      <c r="L32" s="21">
        <v>494.9</v>
      </c>
      <c r="M32" s="17">
        <v>1208.4</v>
      </c>
      <c r="N32" s="14">
        <v>2111.79</v>
      </c>
      <c r="O32" s="11">
        <v>52.0</v>
      </c>
      <c r="P32" s="19"/>
      <c r="Q32" s="9" t="s">
        <v>19</v>
      </c>
      <c r="R32" s="20">
        <v>178.9</v>
      </c>
      <c r="S32" s="10">
        <v>74.0</v>
      </c>
      <c r="T32" s="10">
        <v>104.9</v>
      </c>
      <c r="U32" s="14">
        <v>2090.79</v>
      </c>
      <c r="V32" s="11">
        <v>12.0</v>
      </c>
      <c r="W32" s="19"/>
      <c r="X32" s="9" t="s">
        <v>19</v>
      </c>
      <c r="Y32" s="13">
        <v>727.7</v>
      </c>
      <c r="Z32" s="10">
        <v>0.0</v>
      </c>
      <c r="AA32" s="10">
        <v>727.7</v>
      </c>
      <c r="AB32" s="10">
        <v>2228.89</v>
      </c>
      <c r="AC32" s="11">
        <v>43.0</v>
      </c>
      <c r="AD32" s="19"/>
      <c r="AE32" s="9" t="s">
        <v>19</v>
      </c>
      <c r="AF32" s="20">
        <v>239.8</v>
      </c>
      <c r="AG32" s="10">
        <v>0.0</v>
      </c>
      <c r="AH32" s="17">
        <v>688.6</v>
      </c>
      <c r="AI32" s="10">
        <v>1977.44</v>
      </c>
      <c r="AJ32" s="11">
        <v>8.0</v>
      </c>
      <c r="AL32" s="19"/>
      <c r="AM32" s="9" t="s">
        <v>19</v>
      </c>
      <c r="AN32" s="10">
        <f t="shared" ref="AN32:AP32" si="38">D32+K32+R32+Y32+AF32</f>
        <v>2259.3</v>
      </c>
      <c r="AO32" s="10">
        <f t="shared" si="38"/>
        <v>568.9</v>
      </c>
      <c r="AP32" s="10">
        <f t="shared" si="38"/>
        <v>2729.6</v>
      </c>
      <c r="AQ32" s="11">
        <f t="shared" si="33"/>
        <v>115</v>
      </c>
    </row>
    <row r="33">
      <c r="A33" s="19"/>
      <c r="B33" s="19"/>
      <c r="C33" s="26" t="s">
        <v>21</v>
      </c>
      <c r="D33" s="10"/>
      <c r="E33" s="10"/>
      <c r="F33" s="10"/>
      <c r="G33" s="10"/>
      <c r="H33" s="11"/>
      <c r="I33" s="19"/>
      <c r="J33" s="26" t="s">
        <v>21</v>
      </c>
      <c r="K33" s="20">
        <v>1101.01</v>
      </c>
      <c r="L33" s="10">
        <v>177.9</v>
      </c>
      <c r="M33" s="10">
        <v>1229.01</v>
      </c>
      <c r="N33" s="24">
        <v>6621.44</v>
      </c>
      <c r="O33" s="11">
        <v>57.0</v>
      </c>
      <c r="P33" s="19"/>
      <c r="Q33" s="26" t="s">
        <v>22</v>
      </c>
      <c r="R33" s="13">
        <v>2079.4</v>
      </c>
      <c r="S33" s="21">
        <v>676.7</v>
      </c>
      <c r="T33" s="10">
        <v>1897.6</v>
      </c>
      <c r="U33" s="24">
        <v>7526.04</v>
      </c>
      <c r="V33" s="22">
        <v>98.0</v>
      </c>
      <c r="W33" s="19"/>
      <c r="X33" s="26" t="s">
        <v>21</v>
      </c>
      <c r="Y33" s="10">
        <v>1530.4</v>
      </c>
      <c r="Z33" s="10">
        <v>187.0</v>
      </c>
      <c r="AA33" s="10">
        <v>1758.0</v>
      </c>
      <c r="AB33" s="10">
        <v>6987.04</v>
      </c>
      <c r="AC33" s="11">
        <v>82.0</v>
      </c>
      <c r="AD33" s="19"/>
      <c r="AE33" s="26" t="s">
        <v>21</v>
      </c>
      <c r="AF33" s="13">
        <v>2654.5</v>
      </c>
      <c r="AG33" s="10">
        <v>286.9</v>
      </c>
      <c r="AH33" s="17">
        <v>2721.6</v>
      </c>
      <c r="AI33" s="10">
        <v>7593.16</v>
      </c>
      <c r="AJ33" s="22">
        <v>93.0</v>
      </c>
      <c r="AL33" s="19"/>
      <c r="AM33" s="26" t="s">
        <v>21</v>
      </c>
      <c r="AN33" s="10">
        <f t="shared" ref="AN33:AP33" si="39">D33+K33+R33+Y33+AF33</f>
        <v>7365.31</v>
      </c>
      <c r="AO33" s="10">
        <f t="shared" si="39"/>
        <v>1328.5</v>
      </c>
      <c r="AP33" s="10">
        <f t="shared" si="39"/>
        <v>7606.21</v>
      </c>
      <c r="AQ33" s="11">
        <f t="shared" si="33"/>
        <v>330</v>
      </c>
    </row>
    <row r="34">
      <c r="A34" s="19"/>
      <c r="B34" s="19"/>
      <c r="C34" s="28" t="s">
        <v>23</v>
      </c>
      <c r="D34" s="29">
        <f t="shared" ref="D34:H34" si="40">D26+D27+D28+D29+D30+D31+D32+D33</f>
        <v>0</v>
      </c>
      <c r="E34" s="30">
        <f t="shared" si="40"/>
        <v>0</v>
      </c>
      <c r="F34" s="31">
        <f t="shared" si="40"/>
        <v>0</v>
      </c>
      <c r="G34" s="32">
        <f t="shared" si="40"/>
        <v>0</v>
      </c>
      <c r="H34" s="33">
        <f t="shared" si="40"/>
        <v>0</v>
      </c>
      <c r="I34" s="19"/>
      <c r="J34" s="28" t="s">
        <v>23</v>
      </c>
      <c r="K34" s="61">
        <f t="shared" ref="K34:O34" si="41">K26+K27+K28+K29+K30+K31+K32+K33</f>
        <v>6575.51</v>
      </c>
      <c r="L34" s="35">
        <f t="shared" si="41"/>
        <v>1087.6</v>
      </c>
      <c r="M34" s="31">
        <f t="shared" si="41"/>
        <v>7172.01</v>
      </c>
      <c r="N34" s="37">
        <f t="shared" si="41"/>
        <v>18641.19</v>
      </c>
      <c r="O34" s="33">
        <f t="shared" si="41"/>
        <v>291</v>
      </c>
      <c r="P34" s="19"/>
      <c r="Q34" s="28" t="s">
        <v>23</v>
      </c>
      <c r="R34" s="29">
        <f t="shared" ref="R34:V34" si="42">R26+R27+R28+R29+R30+R31+R32+R33</f>
        <v>5227.5</v>
      </c>
      <c r="S34" s="30">
        <f t="shared" si="42"/>
        <v>1243.1</v>
      </c>
      <c r="T34" s="31">
        <f t="shared" si="42"/>
        <v>5127.2</v>
      </c>
      <c r="U34" s="37">
        <f t="shared" si="42"/>
        <v>19946.89</v>
      </c>
      <c r="V34" s="33">
        <f t="shared" si="42"/>
        <v>227</v>
      </c>
      <c r="W34" s="19"/>
      <c r="X34" s="28" t="s">
        <v>23</v>
      </c>
      <c r="Y34" s="29">
        <f t="shared" ref="Y34:AC34" si="43">Y26+Y27+Y28+Y29+Y30+Y31+Y32+Y33</f>
        <v>4432</v>
      </c>
      <c r="Z34" s="30">
        <f t="shared" si="43"/>
        <v>357</v>
      </c>
      <c r="AA34" s="31">
        <f t="shared" si="43"/>
        <v>5562.18</v>
      </c>
      <c r="AB34" s="37">
        <f t="shared" si="43"/>
        <v>17988.28</v>
      </c>
      <c r="AC34" s="33">
        <f t="shared" si="43"/>
        <v>214</v>
      </c>
      <c r="AD34" s="19"/>
      <c r="AE34" s="28" t="s">
        <v>23</v>
      </c>
      <c r="AF34" s="61">
        <f t="shared" ref="AF34:AJ34" si="44">AF26+AF27+AF28+AF29+AF30+AF31+AF32+AF33</f>
        <v>7999.62</v>
      </c>
      <c r="AG34" s="35">
        <f t="shared" si="44"/>
        <v>2019.42</v>
      </c>
      <c r="AH34" s="36">
        <f t="shared" si="44"/>
        <v>9740.28</v>
      </c>
      <c r="AI34" s="37">
        <f t="shared" si="44"/>
        <v>20368.35</v>
      </c>
      <c r="AJ34" s="33">
        <f t="shared" si="44"/>
        <v>320</v>
      </c>
      <c r="AL34" s="19"/>
      <c r="AM34" s="28" t="s">
        <v>23</v>
      </c>
      <c r="AN34" s="41">
        <f t="shared" ref="AN34:AQ34" si="45">AN26+AN27+AN28+AN29+AN30+AN31+AN32+AN33</f>
        <v>24234.63</v>
      </c>
      <c r="AO34" s="42">
        <f t="shared" si="45"/>
        <v>4707.12</v>
      </c>
      <c r="AP34" s="43">
        <f t="shared" si="45"/>
        <v>27601.67</v>
      </c>
      <c r="AQ34" s="44">
        <f t="shared" si="45"/>
        <v>1052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5487.91</v>
      </c>
      <c r="L35" s="47"/>
      <c r="M35" s="48"/>
      <c r="N35" s="51"/>
      <c r="O35" s="51"/>
      <c r="P35" s="19"/>
      <c r="Q35" s="45" t="s">
        <v>24</v>
      </c>
      <c r="R35" s="50">
        <f>R34-S34</f>
        <v>3984.4</v>
      </c>
      <c r="S35" s="47"/>
      <c r="T35" s="48"/>
      <c r="U35" s="51"/>
      <c r="V35" s="51"/>
      <c r="W35" s="19"/>
      <c r="X35" s="45" t="s">
        <v>24</v>
      </c>
      <c r="Y35" s="50">
        <f>Y34-Z34</f>
        <v>4075</v>
      </c>
      <c r="Z35" s="47"/>
      <c r="AA35" s="48"/>
      <c r="AB35" s="51"/>
      <c r="AC35" s="51"/>
      <c r="AD35" s="19"/>
      <c r="AE35" s="45" t="s">
        <v>24</v>
      </c>
      <c r="AF35" s="50">
        <f>AF34-AG34</f>
        <v>5980.2</v>
      </c>
      <c r="AG35" s="47"/>
      <c r="AH35" s="48"/>
      <c r="AI35" s="51"/>
      <c r="AJ35" s="51"/>
      <c r="AL35" s="53"/>
      <c r="AM35" s="45" t="s">
        <v>25</v>
      </c>
      <c r="AN35" s="50">
        <f>AN34-AO34</f>
        <v>19527.51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6084.41</v>
      </c>
      <c r="L36" s="47"/>
      <c r="M36" s="48"/>
      <c r="N36" s="51"/>
      <c r="O36" s="51"/>
      <c r="P36" s="53"/>
      <c r="Q36" s="56" t="s">
        <v>26</v>
      </c>
      <c r="R36" s="57">
        <f>T34-S34</f>
        <v>3884.1</v>
      </c>
      <c r="S36" s="47"/>
      <c r="T36" s="48"/>
      <c r="U36" s="51"/>
      <c r="V36" s="51"/>
      <c r="W36" s="53"/>
      <c r="X36" s="56" t="s">
        <v>26</v>
      </c>
      <c r="Y36" s="57">
        <f>AA34-Z34</f>
        <v>5205.18</v>
      </c>
      <c r="Z36" s="47"/>
      <c r="AA36" s="48"/>
      <c r="AB36" s="51"/>
      <c r="AC36" s="51"/>
      <c r="AD36" s="53"/>
      <c r="AE36" s="56" t="s">
        <v>26</v>
      </c>
      <c r="AF36" s="57">
        <f>AH34-AG34</f>
        <v>7720.86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2" t="s">
        <v>1</v>
      </c>
      <c r="K37" s="4" t="s">
        <v>7</v>
      </c>
      <c r="L37" s="2" t="s">
        <v>3</v>
      </c>
      <c r="M37" s="2" t="s">
        <v>4</v>
      </c>
      <c r="N37" s="2" t="s">
        <v>5</v>
      </c>
      <c r="O37" s="5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2" t="s">
        <v>1</v>
      </c>
      <c r="Y37" s="4" t="s">
        <v>7</v>
      </c>
      <c r="Z37" s="2" t="s">
        <v>3</v>
      </c>
      <c r="AA37" s="2" t="s">
        <v>4</v>
      </c>
      <c r="AB37" s="2" t="s">
        <v>5</v>
      </c>
      <c r="AC37" s="5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12"/>
      <c r="C38" s="9" t="s">
        <v>10</v>
      </c>
      <c r="D38" s="10"/>
      <c r="E38" s="10"/>
      <c r="F38" s="10"/>
      <c r="G38" s="10"/>
      <c r="H38" s="11"/>
      <c r="I38" s="12">
        <v>45693.0</v>
      </c>
      <c r="J38" s="15" t="s">
        <v>10</v>
      </c>
      <c r="K38" s="13">
        <v>668.91</v>
      </c>
      <c r="L38" s="10">
        <v>30.0</v>
      </c>
      <c r="M38" s="17">
        <v>713.91</v>
      </c>
      <c r="N38" s="16">
        <v>756.0</v>
      </c>
      <c r="O38" s="11">
        <v>30.0</v>
      </c>
      <c r="P38" s="8">
        <v>46065.0</v>
      </c>
      <c r="Q38" s="9" t="s">
        <v>10</v>
      </c>
      <c r="R38" s="20">
        <v>394.8</v>
      </c>
      <c r="S38" s="10">
        <v>85.0</v>
      </c>
      <c r="T38" s="10">
        <v>339.8</v>
      </c>
      <c r="U38" s="10">
        <v>1876.4</v>
      </c>
      <c r="V38" s="11">
        <v>30.0</v>
      </c>
      <c r="W38" s="8">
        <v>46072.0</v>
      </c>
      <c r="X38" s="170" t="s">
        <v>10</v>
      </c>
      <c r="Y38" s="10">
        <v>626.0</v>
      </c>
      <c r="Z38" s="10">
        <v>156.0</v>
      </c>
      <c r="AA38" s="10">
        <v>624.9</v>
      </c>
      <c r="AB38" s="10">
        <v>1016.9</v>
      </c>
      <c r="AC38" s="11">
        <v>17.0</v>
      </c>
      <c r="AD38" s="8">
        <v>46079.0</v>
      </c>
      <c r="AE38" s="9" t="s">
        <v>10</v>
      </c>
      <c r="AF38" s="10">
        <v>417.8</v>
      </c>
      <c r="AG38" s="10">
        <v>0.0</v>
      </c>
      <c r="AH38" s="10">
        <v>482.8</v>
      </c>
      <c r="AI38" s="10">
        <v>1210.97</v>
      </c>
      <c r="AJ38" s="11">
        <v>21.0</v>
      </c>
      <c r="AL38" s="18" t="s">
        <v>36</v>
      </c>
      <c r="AM38" s="9" t="s">
        <v>10</v>
      </c>
      <c r="AN38" s="10">
        <f t="shared" ref="AN38:AP38" si="46">D38+K38+R38+Y38+AF38</f>
        <v>2107.51</v>
      </c>
      <c r="AO38" s="10">
        <f t="shared" si="46"/>
        <v>271</v>
      </c>
      <c r="AP38" s="10">
        <f t="shared" si="46"/>
        <v>2161.41</v>
      </c>
      <c r="AQ38" s="11">
        <f t="shared" ref="AQ38:AQ45" si="48">H38+O38+V38+AC38+AJ38</f>
        <v>98</v>
      </c>
    </row>
    <row r="39">
      <c r="A39" s="19"/>
      <c r="B39" s="19"/>
      <c r="C39" s="9" t="s">
        <v>12</v>
      </c>
      <c r="D39" s="10"/>
      <c r="E39" s="10"/>
      <c r="F39" s="10"/>
      <c r="G39" s="10"/>
      <c r="H39" s="11"/>
      <c r="I39" s="19"/>
      <c r="J39" s="9" t="s">
        <v>12</v>
      </c>
      <c r="K39" s="13">
        <v>1349.9</v>
      </c>
      <c r="L39" s="10">
        <v>0.0</v>
      </c>
      <c r="M39" s="17">
        <v>1349.9</v>
      </c>
      <c r="N39" s="14">
        <v>2413.4</v>
      </c>
      <c r="O39" s="11">
        <v>25.0</v>
      </c>
      <c r="P39" s="19"/>
      <c r="Q39" s="9" t="s">
        <v>12</v>
      </c>
      <c r="R39" s="13">
        <v>1673.2</v>
      </c>
      <c r="S39" s="10">
        <v>409.9</v>
      </c>
      <c r="T39" s="10">
        <v>1481.3</v>
      </c>
      <c r="U39" s="10">
        <v>1556.1</v>
      </c>
      <c r="V39" s="11">
        <v>54.0</v>
      </c>
      <c r="W39" s="19"/>
      <c r="X39" s="9" t="s">
        <v>12</v>
      </c>
      <c r="Y39" s="20">
        <v>338.8</v>
      </c>
      <c r="Z39" s="10">
        <v>109.8</v>
      </c>
      <c r="AA39" s="10">
        <v>229.0</v>
      </c>
      <c r="AB39" s="10">
        <v>1235.2</v>
      </c>
      <c r="AC39" s="11">
        <v>17.0</v>
      </c>
      <c r="AD39" s="19"/>
      <c r="AE39" s="9" t="s">
        <v>12</v>
      </c>
      <c r="AF39" s="13">
        <v>670.9</v>
      </c>
      <c r="AG39" s="10">
        <v>0.0</v>
      </c>
      <c r="AH39" s="17">
        <v>670.9</v>
      </c>
      <c r="AI39" s="10">
        <v>3129.12</v>
      </c>
      <c r="AJ39" s="11">
        <v>20.0</v>
      </c>
      <c r="AL39" s="19"/>
      <c r="AM39" s="9" t="s">
        <v>12</v>
      </c>
      <c r="AN39" s="10">
        <f t="shared" ref="AN39:AP39" si="47">D39+K39+R39+Y39+AF39</f>
        <v>4032.8</v>
      </c>
      <c r="AO39" s="10">
        <f t="shared" si="47"/>
        <v>519.7</v>
      </c>
      <c r="AP39" s="10">
        <f t="shared" si="47"/>
        <v>3731.1</v>
      </c>
      <c r="AQ39" s="11">
        <f t="shared" si="48"/>
        <v>116</v>
      </c>
    </row>
    <row r="40">
      <c r="A40" s="19"/>
      <c r="B40" s="19"/>
      <c r="C40" s="9" t="s">
        <v>14</v>
      </c>
      <c r="D40" s="10"/>
      <c r="E40" s="10"/>
      <c r="F40" s="10"/>
      <c r="G40" s="10"/>
      <c r="H40" s="11"/>
      <c r="I40" s="19"/>
      <c r="J40" s="9" t="s">
        <v>14</v>
      </c>
      <c r="K40" s="10"/>
      <c r="L40" s="10"/>
      <c r="M40" s="10"/>
      <c r="N40" s="10"/>
      <c r="O40" s="11"/>
      <c r="P40" s="19"/>
      <c r="Q40" s="9" t="s">
        <v>14</v>
      </c>
      <c r="R40" s="10"/>
      <c r="S40" s="10"/>
      <c r="T40" s="10"/>
      <c r="U40" s="10"/>
      <c r="V40" s="11"/>
      <c r="W40" s="19"/>
      <c r="X40" s="9" t="s">
        <v>14</v>
      </c>
      <c r="Y40" s="10"/>
      <c r="Z40" s="10"/>
      <c r="AA40" s="10"/>
      <c r="AB40" s="10"/>
      <c r="AC40" s="11"/>
      <c r="AD40" s="19"/>
      <c r="AE40" s="9" t="s">
        <v>14</v>
      </c>
      <c r="AF40" s="10"/>
      <c r="AG40" s="10"/>
      <c r="AH40" s="10"/>
      <c r="AI40" s="10"/>
      <c r="AJ40" s="11"/>
      <c r="AL40" s="19"/>
      <c r="AM40" s="9" t="s">
        <v>14</v>
      </c>
      <c r="AN40" s="10">
        <f t="shared" ref="AN40:AP40" si="49">D40+K40+R40+Y40+AF40</f>
        <v>0</v>
      </c>
      <c r="AO40" s="10">
        <f t="shared" si="49"/>
        <v>0</v>
      </c>
      <c r="AP40" s="10">
        <f t="shared" si="49"/>
        <v>0</v>
      </c>
      <c r="AQ40" s="11">
        <f t="shared" si="48"/>
        <v>0</v>
      </c>
    </row>
    <row r="41">
      <c r="A41" s="19"/>
      <c r="B41" s="19"/>
      <c r="C41" s="9" t="s">
        <v>16</v>
      </c>
      <c r="D41" s="10"/>
      <c r="E41" s="10"/>
      <c r="F41" s="10"/>
      <c r="G41" s="10"/>
      <c r="H41" s="11"/>
      <c r="I41" s="19"/>
      <c r="J41" s="9" t="s">
        <v>16</v>
      </c>
      <c r="K41" s="20">
        <v>1131.7</v>
      </c>
      <c r="L41" s="21">
        <v>541.1</v>
      </c>
      <c r="M41" s="10">
        <v>926.5</v>
      </c>
      <c r="N41" s="24">
        <v>5566.96</v>
      </c>
      <c r="O41" s="11">
        <v>49.0</v>
      </c>
      <c r="P41" s="19"/>
      <c r="Q41" s="9" t="s">
        <v>16</v>
      </c>
      <c r="R41" s="20">
        <v>1403.4</v>
      </c>
      <c r="S41" s="10">
        <v>109.0</v>
      </c>
      <c r="T41" s="10">
        <v>1294.4</v>
      </c>
      <c r="U41" s="10">
        <v>5725.56</v>
      </c>
      <c r="V41" s="11">
        <v>97.0</v>
      </c>
      <c r="W41" s="19"/>
      <c r="X41" s="9" t="s">
        <v>16</v>
      </c>
      <c r="Y41" s="13">
        <v>2691.16</v>
      </c>
      <c r="Z41" s="21">
        <v>1305.66</v>
      </c>
      <c r="AA41" s="10">
        <v>2334.0</v>
      </c>
      <c r="AB41" s="10">
        <v>5509.61</v>
      </c>
      <c r="AC41" s="22">
        <v>121.0</v>
      </c>
      <c r="AD41" s="19"/>
      <c r="AE41" s="9" t="s">
        <v>16</v>
      </c>
      <c r="AF41" s="20">
        <v>1358.2</v>
      </c>
      <c r="AG41" s="10">
        <v>18.0</v>
      </c>
      <c r="AH41" s="10">
        <v>1340.2</v>
      </c>
      <c r="AI41" s="10">
        <v>4847.56</v>
      </c>
      <c r="AJ41" s="11">
        <v>54.0</v>
      </c>
      <c r="AL41" s="19"/>
      <c r="AM41" s="9" t="s">
        <v>16</v>
      </c>
      <c r="AN41" s="10">
        <f t="shared" ref="AN41:AP41" si="50">D41+K41+R41+Y41+AF41</f>
        <v>6584.46</v>
      </c>
      <c r="AO41" s="10">
        <f t="shared" si="50"/>
        <v>1973.76</v>
      </c>
      <c r="AP41" s="10">
        <f t="shared" si="50"/>
        <v>5895.1</v>
      </c>
      <c r="AQ41" s="11">
        <f t="shared" si="48"/>
        <v>321</v>
      </c>
    </row>
    <row r="42">
      <c r="A42" s="19"/>
      <c r="B42" s="19"/>
      <c r="C42" s="9" t="s">
        <v>17</v>
      </c>
      <c r="D42" s="10"/>
      <c r="E42" s="10"/>
      <c r="F42" s="10"/>
      <c r="G42" s="10"/>
      <c r="H42" s="11"/>
      <c r="I42" s="19"/>
      <c r="J42" s="9" t="s">
        <v>17</v>
      </c>
      <c r="K42" s="13">
        <v>988.46</v>
      </c>
      <c r="L42" s="21">
        <v>404.9</v>
      </c>
      <c r="M42" s="10">
        <v>936.56</v>
      </c>
      <c r="N42" s="21">
        <v>1383.7</v>
      </c>
      <c r="O42" s="11">
        <v>45.0</v>
      </c>
      <c r="P42" s="19"/>
      <c r="Q42" s="9" t="s">
        <v>17</v>
      </c>
      <c r="R42" s="10">
        <v>463.0</v>
      </c>
      <c r="S42" s="10">
        <v>68.0</v>
      </c>
      <c r="T42" s="10">
        <v>457.0</v>
      </c>
      <c r="U42" s="10">
        <v>1533.6</v>
      </c>
      <c r="V42" s="11">
        <v>24.0</v>
      </c>
      <c r="W42" s="19"/>
      <c r="X42" s="9" t="s">
        <v>17</v>
      </c>
      <c r="Y42" s="20">
        <v>317.28</v>
      </c>
      <c r="Z42" s="10">
        <v>0.0</v>
      </c>
      <c r="AA42" s="10">
        <v>317.28</v>
      </c>
      <c r="AB42" s="10">
        <v>1478.7</v>
      </c>
      <c r="AC42" s="11">
        <v>14.0</v>
      </c>
      <c r="AD42" s="19"/>
      <c r="AE42" s="9" t="s">
        <v>17</v>
      </c>
      <c r="AF42" s="13">
        <v>1254.0</v>
      </c>
      <c r="AG42" s="21">
        <v>371.9</v>
      </c>
      <c r="AH42" s="10">
        <v>1018.8</v>
      </c>
      <c r="AI42" s="10">
        <v>1799.1</v>
      </c>
      <c r="AJ42" s="70"/>
      <c r="AL42" s="19"/>
      <c r="AM42" s="9" t="s">
        <v>17</v>
      </c>
      <c r="AN42" s="10">
        <f t="shared" ref="AN42:AP42" si="51">D42+K42+R42+Y42+AF42</f>
        <v>3022.74</v>
      </c>
      <c r="AO42" s="10">
        <f t="shared" si="51"/>
        <v>844.8</v>
      </c>
      <c r="AP42" s="10">
        <f t="shared" si="51"/>
        <v>2729.64</v>
      </c>
      <c r="AQ42" s="11">
        <f t="shared" si="48"/>
        <v>83</v>
      </c>
    </row>
    <row r="43">
      <c r="A43" s="19"/>
      <c r="B43" s="19"/>
      <c r="C43" s="9" t="s">
        <v>18</v>
      </c>
      <c r="D43" s="10"/>
      <c r="E43" s="10"/>
      <c r="F43" s="10"/>
      <c r="G43" s="10"/>
      <c r="H43" s="11"/>
      <c r="I43" s="19"/>
      <c r="J43" s="9" t="s">
        <v>18</v>
      </c>
      <c r="K43" s="10"/>
      <c r="L43" s="10"/>
      <c r="M43" s="10"/>
      <c r="N43" s="10"/>
      <c r="O43" s="11"/>
      <c r="P43" s="19"/>
      <c r="Q43" s="9" t="s">
        <v>18</v>
      </c>
      <c r="R43" s="10"/>
      <c r="S43" s="10"/>
      <c r="T43" s="10"/>
      <c r="U43" s="10"/>
      <c r="V43" s="11"/>
      <c r="W43" s="19"/>
      <c r="X43" s="9" t="s">
        <v>18</v>
      </c>
      <c r="Y43" s="10"/>
      <c r="Z43" s="10"/>
      <c r="AA43" s="10"/>
      <c r="AB43" s="10"/>
      <c r="AC43" s="11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2">D43+K43+R43+Y43+AF43</f>
        <v>0</v>
      </c>
      <c r="AO43" s="10">
        <f t="shared" si="52"/>
        <v>0</v>
      </c>
      <c r="AP43" s="10">
        <f t="shared" si="52"/>
        <v>0</v>
      </c>
      <c r="AQ43" s="11">
        <f t="shared" si="48"/>
        <v>0</v>
      </c>
    </row>
    <row r="44">
      <c r="A44" s="19"/>
      <c r="B44" s="19"/>
      <c r="C44" s="9" t="s">
        <v>20</v>
      </c>
      <c r="D44" s="10"/>
      <c r="E44" s="10"/>
      <c r="F44" s="10"/>
      <c r="G44" s="10"/>
      <c r="H44" s="11"/>
      <c r="I44" s="19"/>
      <c r="J44" s="9" t="s">
        <v>19</v>
      </c>
      <c r="K44" s="10">
        <v>586.9</v>
      </c>
      <c r="L44" s="10">
        <v>90.0</v>
      </c>
      <c r="M44" s="10">
        <v>496.9</v>
      </c>
      <c r="N44" s="14">
        <v>2201.79</v>
      </c>
      <c r="O44" s="11">
        <v>26.0</v>
      </c>
      <c r="P44" s="19"/>
      <c r="Q44" s="9" t="s">
        <v>19</v>
      </c>
      <c r="R44" s="10">
        <v>513.8</v>
      </c>
      <c r="S44" s="10">
        <v>0.0</v>
      </c>
      <c r="T44" s="10">
        <v>726.7</v>
      </c>
      <c r="U44" s="10">
        <v>1877.89</v>
      </c>
      <c r="V44" s="11">
        <v>35.0</v>
      </c>
      <c r="W44" s="19"/>
      <c r="X44" s="9" t="s">
        <v>19</v>
      </c>
      <c r="Y44" s="20">
        <v>209.9</v>
      </c>
      <c r="Z44" s="10">
        <v>54.9</v>
      </c>
      <c r="AA44" s="10">
        <v>155.0</v>
      </c>
      <c r="AB44" s="10">
        <v>2283.79</v>
      </c>
      <c r="AC44" s="11">
        <v>28.0</v>
      </c>
      <c r="AD44" s="19"/>
      <c r="AE44" s="9" t="s">
        <v>19</v>
      </c>
      <c r="AF44" s="10">
        <v>564.9</v>
      </c>
      <c r="AG44" s="10">
        <v>0.0</v>
      </c>
      <c r="AH44" s="17">
        <v>640.9</v>
      </c>
      <c r="AI44" s="10">
        <v>1963.44</v>
      </c>
      <c r="AJ44" s="11">
        <v>23.0</v>
      </c>
      <c r="AL44" s="19"/>
      <c r="AM44" s="9" t="s">
        <v>19</v>
      </c>
      <c r="AN44" s="10">
        <f t="shared" ref="AN44:AP44" si="53">D44+K44+R44+Y44+AF44</f>
        <v>1875.5</v>
      </c>
      <c r="AO44" s="10">
        <f t="shared" si="53"/>
        <v>144.9</v>
      </c>
      <c r="AP44" s="10">
        <f t="shared" si="53"/>
        <v>2019.5</v>
      </c>
      <c r="AQ44" s="11">
        <f t="shared" si="48"/>
        <v>112</v>
      </c>
    </row>
    <row r="45">
      <c r="A45" s="19"/>
      <c r="B45" s="19"/>
      <c r="C45" s="26" t="s">
        <v>21</v>
      </c>
      <c r="D45" s="10"/>
      <c r="E45" s="10"/>
      <c r="F45" s="10"/>
      <c r="G45" s="10"/>
      <c r="H45" s="11"/>
      <c r="I45" s="19"/>
      <c r="J45" s="26" t="s">
        <v>21</v>
      </c>
      <c r="K45" s="20">
        <v>1226.7</v>
      </c>
      <c r="L45" s="21">
        <v>335.7</v>
      </c>
      <c r="M45" s="17">
        <v>1316.5</v>
      </c>
      <c r="N45" s="24">
        <v>6531.64</v>
      </c>
      <c r="O45" s="11">
        <v>74.0</v>
      </c>
      <c r="P45" s="19"/>
      <c r="Q45" s="26" t="s">
        <v>21</v>
      </c>
      <c r="R45" s="20">
        <v>1324.63</v>
      </c>
      <c r="S45" s="10">
        <v>444.7</v>
      </c>
      <c r="T45" s="10">
        <v>1438.83</v>
      </c>
      <c r="U45" s="10">
        <v>7411.84</v>
      </c>
      <c r="V45" s="11">
        <v>153.0</v>
      </c>
      <c r="W45" s="19"/>
      <c r="X45" s="26" t="s">
        <v>22</v>
      </c>
      <c r="Y45" s="20">
        <v>920.0</v>
      </c>
      <c r="Z45" s="10">
        <v>168.0</v>
      </c>
      <c r="AA45" s="10">
        <v>913.9</v>
      </c>
      <c r="AB45" s="10">
        <v>6993.14</v>
      </c>
      <c r="AC45" s="11">
        <v>30.0</v>
      </c>
      <c r="AD45" s="19"/>
      <c r="AE45" s="26" t="s">
        <v>21</v>
      </c>
      <c r="AF45" s="13">
        <v>1944.0</v>
      </c>
      <c r="AG45" s="21">
        <v>312.1</v>
      </c>
      <c r="AH45" s="17">
        <v>1981.8</v>
      </c>
      <c r="AI45" s="10">
        <v>7555.36</v>
      </c>
      <c r="AJ45" s="22">
        <v>104.0</v>
      </c>
      <c r="AL45" s="19"/>
      <c r="AM45" s="26" t="s">
        <v>21</v>
      </c>
      <c r="AN45" s="10">
        <f t="shared" ref="AN45:AP45" si="54">D45+K45+R45+Y45+AF45</f>
        <v>5415.33</v>
      </c>
      <c r="AO45" s="10">
        <f t="shared" si="54"/>
        <v>1260.5</v>
      </c>
      <c r="AP45" s="10">
        <f t="shared" si="54"/>
        <v>5651.03</v>
      </c>
      <c r="AQ45" s="11">
        <f t="shared" si="48"/>
        <v>361</v>
      </c>
    </row>
    <row r="46">
      <c r="A46" s="19"/>
      <c r="B46" s="19"/>
      <c r="C46" s="28" t="s">
        <v>23</v>
      </c>
      <c r="D46" s="29">
        <f t="shared" ref="D46:H46" si="55">D38+D39+D40+D41+D42+D43+D44+D45</f>
        <v>0</v>
      </c>
      <c r="E46" s="30">
        <f t="shared" si="55"/>
        <v>0</v>
      </c>
      <c r="F46" s="31">
        <f t="shared" si="55"/>
        <v>0</v>
      </c>
      <c r="G46" s="32">
        <f t="shared" si="55"/>
        <v>0</v>
      </c>
      <c r="H46" s="33">
        <f t="shared" si="55"/>
        <v>0</v>
      </c>
      <c r="I46" s="19"/>
      <c r="J46" s="28" t="s">
        <v>23</v>
      </c>
      <c r="K46" s="29">
        <f t="shared" ref="K46:O46" si="56">K38+K39+K40+K41+K42+K43+K44+K45</f>
        <v>5952.57</v>
      </c>
      <c r="L46" s="35">
        <f t="shared" si="56"/>
        <v>1401.7</v>
      </c>
      <c r="M46" s="36">
        <f t="shared" si="56"/>
        <v>5740.27</v>
      </c>
      <c r="N46" s="37">
        <f t="shared" si="56"/>
        <v>18853.49</v>
      </c>
      <c r="O46" s="33">
        <f t="shared" si="56"/>
        <v>249</v>
      </c>
      <c r="P46" s="19"/>
      <c r="Q46" s="28" t="s">
        <v>23</v>
      </c>
      <c r="R46" s="29">
        <f t="shared" ref="R46:V46" si="57">R38+R39+R40+R41+R42+R43+R44+R45</f>
        <v>5772.83</v>
      </c>
      <c r="S46" s="35">
        <f t="shared" si="57"/>
        <v>1116.6</v>
      </c>
      <c r="T46" s="31">
        <f t="shared" si="57"/>
        <v>5738.03</v>
      </c>
      <c r="U46" s="37">
        <f t="shared" si="57"/>
        <v>19981.39</v>
      </c>
      <c r="V46" s="33">
        <f t="shared" si="57"/>
        <v>393</v>
      </c>
      <c r="W46" s="19"/>
      <c r="X46" s="66" t="s">
        <v>23</v>
      </c>
      <c r="Y46" s="29">
        <f t="shared" ref="Y46:AC46" si="58">Y38+Y39+Y40+Y41+Y42+Y43+Y44+Y45</f>
        <v>5103.14</v>
      </c>
      <c r="Z46" s="40">
        <f t="shared" si="58"/>
        <v>1794.36</v>
      </c>
      <c r="AA46" s="31">
        <f t="shared" si="58"/>
        <v>4574.08</v>
      </c>
      <c r="AB46" s="37">
        <f t="shared" si="58"/>
        <v>18517.34</v>
      </c>
      <c r="AC46" s="33">
        <f t="shared" si="58"/>
        <v>227</v>
      </c>
      <c r="AD46" s="19"/>
      <c r="AE46" s="28" t="s">
        <v>23</v>
      </c>
      <c r="AF46" s="29">
        <f t="shared" ref="AF46:AJ46" si="59">AF38+AF39+AF40+AF41+AF42+AF43+AF44+AF45</f>
        <v>6209.8</v>
      </c>
      <c r="AG46" s="30">
        <f t="shared" si="59"/>
        <v>702</v>
      </c>
      <c r="AH46" s="31">
        <f t="shared" si="59"/>
        <v>6135.4</v>
      </c>
      <c r="AI46" s="37">
        <f t="shared" si="59"/>
        <v>20505.55</v>
      </c>
      <c r="AJ46" s="33">
        <f t="shared" si="59"/>
        <v>222</v>
      </c>
      <c r="AL46" s="19"/>
      <c r="AM46" s="28" t="s">
        <v>23</v>
      </c>
      <c r="AN46" s="41">
        <f t="shared" ref="AN46:AQ46" si="60">AN38+AN39+AN40+AN41+AN42+AN43+AN44+AN45</f>
        <v>23038.34</v>
      </c>
      <c r="AO46" s="42">
        <f t="shared" si="60"/>
        <v>5014.66</v>
      </c>
      <c r="AP46" s="43">
        <f t="shared" si="60"/>
        <v>22187.78</v>
      </c>
      <c r="AQ46" s="44">
        <f t="shared" si="60"/>
        <v>1091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4550.87</v>
      </c>
      <c r="L47" s="47"/>
      <c r="M47" s="48"/>
      <c r="N47" s="51"/>
      <c r="O47" s="51"/>
      <c r="P47" s="19"/>
      <c r="Q47" s="45" t="s">
        <v>24</v>
      </c>
      <c r="R47" s="50">
        <f>R46-S46</f>
        <v>4656.23</v>
      </c>
      <c r="S47" s="47"/>
      <c r="T47" s="48"/>
      <c r="U47" s="51"/>
      <c r="V47" s="51"/>
      <c r="W47" s="19"/>
      <c r="X47" s="45" t="s">
        <v>24</v>
      </c>
      <c r="Y47" s="50">
        <f>Y46-Z46</f>
        <v>3308.78</v>
      </c>
      <c r="Z47" s="47"/>
      <c r="AA47" s="48"/>
      <c r="AB47" s="51"/>
      <c r="AC47" s="51"/>
      <c r="AD47" s="19"/>
      <c r="AE47" s="45" t="s">
        <v>24</v>
      </c>
      <c r="AF47" s="50">
        <f>AF46-AG46</f>
        <v>5507.8</v>
      </c>
      <c r="AG47" s="47"/>
      <c r="AH47" s="48"/>
      <c r="AI47" s="51"/>
      <c r="AJ47" s="51"/>
      <c r="AL47" s="53"/>
      <c r="AM47" s="45" t="s">
        <v>25</v>
      </c>
      <c r="AN47" s="50">
        <f>AN46-AO46</f>
        <v>18023.68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4338.57</v>
      </c>
      <c r="L48" s="47"/>
      <c r="M48" s="48"/>
      <c r="N48" s="51"/>
      <c r="O48" s="51"/>
      <c r="P48" s="53"/>
      <c r="Q48" s="56" t="s">
        <v>26</v>
      </c>
      <c r="R48" s="57">
        <f>T46-S46</f>
        <v>4621.43</v>
      </c>
      <c r="S48" s="47"/>
      <c r="T48" s="48"/>
      <c r="U48" s="51"/>
      <c r="V48" s="51"/>
      <c r="W48" s="53"/>
      <c r="X48" s="56" t="s">
        <v>26</v>
      </c>
      <c r="Y48" s="57">
        <f>AA46-Z46</f>
        <v>2779.72</v>
      </c>
      <c r="Z48" s="47"/>
      <c r="AA48" s="48"/>
      <c r="AB48" s="51"/>
      <c r="AC48" s="51"/>
      <c r="AD48" s="53"/>
      <c r="AE48" s="56" t="s">
        <v>26</v>
      </c>
      <c r="AF48" s="57">
        <f>AH46-AG46</f>
        <v>5433.4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2" t="s">
        <v>1</v>
      </c>
      <c r="D49" s="3" t="s">
        <v>2</v>
      </c>
      <c r="E49" s="2" t="s">
        <v>3</v>
      </c>
      <c r="F49" s="2" t="s">
        <v>4</v>
      </c>
      <c r="G49" s="2" t="s">
        <v>5</v>
      </c>
      <c r="H49" s="5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2" t="s">
        <v>1</v>
      </c>
      <c r="R49" s="4" t="s">
        <v>7</v>
      </c>
      <c r="S49" s="2" t="s">
        <v>3</v>
      </c>
      <c r="T49" s="2" t="s">
        <v>4</v>
      </c>
      <c r="U49" s="2" t="s">
        <v>5</v>
      </c>
      <c r="V49" s="5" t="s">
        <v>6</v>
      </c>
      <c r="W49" s="68" t="s">
        <v>0</v>
      </c>
      <c r="X49" s="2" t="s">
        <v>1</v>
      </c>
      <c r="Y49" s="4" t="s">
        <v>7</v>
      </c>
      <c r="Z49" s="2" t="s">
        <v>3</v>
      </c>
      <c r="AA49" s="2" t="s">
        <v>4</v>
      </c>
      <c r="AB49" s="2" t="s">
        <v>5</v>
      </c>
      <c r="AC49" s="5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/>
      <c r="C50" s="9" t="s">
        <v>10</v>
      </c>
      <c r="D50" s="10"/>
      <c r="E50" s="10"/>
      <c r="F50" s="10"/>
      <c r="G50" s="10"/>
      <c r="H50" s="11"/>
      <c r="I50" s="12">
        <v>46059.0</v>
      </c>
      <c r="J50" s="9" t="s">
        <v>10</v>
      </c>
      <c r="K50" s="13">
        <v>1954.4</v>
      </c>
      <c r="L50" s="21">
        <v>850.6</v>
      </c>
      <c r="M50" s="10">
        <v>1150.8</v>
      </c>
      <c r="N50" s="21">
        <v>1557.6</v>
      </c>
      <c r="O50" s="11">
        <v>74.0</v>
      </c>
      <c r="P50" s="8">
        <v>46066.0</v>
      </c>
      <c r="Q50" s="9" t="s">
        <v>10</v>
      </c>
      <c r="R50" s="20">
        <v>291.0</v>
      </c>
      <c r="S50" s="10">
        <v>0.0</v>
      </c>
      <c r="T50" s="10">
        <v>291.0</v>
      </c>
      <c r="U50" s="10">
        <v>1876.4</v>
      </c>
      <c r="V50" s="70"/>
      <c r="W50" s="8">
        <v>46073.0</v>
      </c>
      <c r="X50" s="9" t="s">
        <v>10</v>
      </c>
      <c r="Y50" s="13">
        <v>858.9</v>
      </c>
      <c r="Z50" s="21">
        <v>308.0</v>
      </c>
      <c r="AA50" s="10">
        <v>768.8</v>
      </c>
      <c r="AB50" s="21">
        <v>1107.0</v>
      </c>
      <c r="AC50" s="11">
        <v>40.0</v>
      </c>
      <c r="AD50" s="8">
        <v>46080.0</v>
      </c>
      <c r="AE50" s="9" t="s">
        <v>10</v>
      </c>
      <c r="AF50" s="13">
        <v>975.6</v>
      </c>
      <c r="AG50" s="14">
        <v>659.6</v>
      </c>
      <c r="AH50" s="10">
        <v>330.0</v>
      </c>
      <c r="AI50" s="10">
        <v>1856.57</v>
      </c>
      <c r="AJ50" s="11">
        <v>39.0</v>
      </c>
      <c r="AL50" s="18" t="s">
        <v>38</v>
      </c>
      <c r="AM50" s="9" t="s">
        <v>10</v>
      </c>
      <c r="AN50" s="10">
        <f t="shared" ref="AN50:AP50" si="61">D50+K50+R50+Y50+AF50</f>
        <v>4079.9</v>
      </c>
      <c r="AO50" s="10">
        <f t="shared" si="61"/>
        <v>1818.2</v>
      </c>
      <c r="AP50" s="10">
        <f t="shared" si="61"/>
        <v>2540.6</v>
      </c>
      <c r="AQ50" s="11">
        <f t="shared" ref="AQ50:AQ57" si="63">H50+O50+V50+AC50+AJ50</f>
        <v>153</v>
      </c>
    </row>
    <row r="51">
      <c r="A51" s="19"/>
      <c r="B51" s="19"/>
      <c r="C51" s="9" t="s">
        <v>12</v>
      </c>
      <c r="D51" s="10"/>
      <c r="E51" s="10"/>
      <c r="F51" s="10"/>
      <c r="G51" s="10"/>
      <c r="H51" s="11"/>
      <c r="I51" s="19"/>
      <c r="J51" s="15" t="s">
        <v>12</v>
      </c>
      <c r="K51" s="13">
        <v>1007.7</v>
      </c>
      <c r="L51" s="10">
        <v>218.0</v>
      </c>
      <c r="M51" s="171">
        <v>2545.5</v>
      </c>
      <c r="N51" s="16">
        <v>875.6</v>
      </c>
      <c r="O51" s="11">
        <v>49.0</v>
      </c>
      <c r="P51" s="19"/>
      <c r="Q51" s="9" t="s">
        <v>32</v>
      </c>
      <c r="R51" s="13">
        <v>1417.9</v>
      </c>
      <c r="S51" s="10">
        <v>0.0</v>
      </c>
      <c r="T51" s="10">
        <v>1547.9</v>
      </c>
      <c r="U51" s="10">
        <v>1426.4</v>
      </c>
      <c r="V51" s="11">
        <v>42.0</v>
      </c>
      <c r="W51" s="19"/>
      <c r="X51" s="9" t="s">
        <v>12</v>
      </c>
      <c r="Y51" s="13">
        <v>1753.9</v>
      </c>
      <c r="Z51" s="21">
        <v>778.0</v>
      </c>
      <c r="AA51" s="10">
        <v>1075.8</v>
      </c>
      <c r="AB51" s="14">
        <v>1913.3</v>
      </c>
      <c r="AC51" s="22">
        <v>73.0</v>
      </c>
      <c r="AD51" s="19"/>
      <c r="AE51" s="9" t="s">
        <v>12</v>
      </c>
      <c r="AF51" s="20">
        <v>259.59</v>
      </c>
      <c r="AG51" s="10">
        <v>210.59</v>
      </c>
      <c r="AH51" s="10">
        <v>85.0</v>
      </c>
      <c r="AI51" s="10">
        <v>3339.71</v>
      </c>
      <c r="AJ51" s="11">
        <v>33.0</v>
      </c>
      <c r="AL51" s="19"/>
      <c r="AM51" s="9" t="s">
        <v>12</v>
      </c>
      <c r="AN51" s="10">
        <f t="shared" ref="AN51:AP51" si="62">D51+K51+R51+Y51+AF51</f>
        <v>4439.09</v>
      </c>
      <c r="AO51" s="10">
        <f t="shared" si="62"/>
        <v>1206.59</v>
      </c>
      <c r="AP51" s="10">
        <f t="shared" si="62"/>
        <v>5254.2</v>
      </c>
      <c r="AQ51" s="11">
        <f t="shared" si="63"/>
        <v>197</v>
      </c>
    </row>
    <row r="52">
      <c r="A52" s="19"/>
      <c r="B52" s="19"/>
      <c r="C52" s="9" t="s">
        <v>14</v>
      </c>
      <c r="D52" s="10"/>
      <c r="E52" s="10"/>
      <c r="F52" s="10"/>
      <c r="G52" s="10"/>
      <c r="H52" s="11"/>
      <c r="I52" s="19"/>
      <c r="J52" s="9" t="s">
        <v>14</v>
      </c>
      <c r="K52" s="10"/>
      <c r="L52" s="10"/>
      <c r="M52" s="10"/>
      <c r="N52" s="10"/>
      <c r="O52" s="11"/>
      <c r="P52" s="19"/>
      <c r="Q52" s="9" t="s">
        <v>14</v>
      </c>
      <c r="R52" s="10"/>
      <c r="S52" s="10"/>
      <c r="T52" s="10"/>
      <c r="U52" s="10"/>
      <c r="V52" s="11"/>
      <c r="W52" s="19"/>
      <c r="X52" s="9" t="s">
        <v>14</v>
      </c>
      <c r="Y52" s="10"/>
      <c r="Z52" s="10"/>
      <c r="AA52" s="10"/>
      <c r="AB52" s="10"/>
      <c r="AC52" s="11"/>
      <c r="AD52" s="19"/>
      <c r="AE52" s="9" t="s">
        <v>14</v>
      </c>
      <c r="AF52" s="10"/>
      <c r="AG52" s="10"/>
      <c r="AH52" s="10"/>
      <c r="AI52" s="10"/>
      <c r="AJ52" s="11"/>
      <c r="AL52" s="19"/>
      <c r="AM52" s="9" t="s">
        <v>14</v>
      </c>
      <c r="AN52" s="10">
        <f t="shared" ref="AN52:AP52" si="64">D52+K52+R52+Y52+AF52</f>
        <v>0</v>
      </c>
      <c r="AO52" s="10">
        <f t="shared" si="64"/>
        <v>0</v>
      </c>
      <c r="AP52" s="10">
        <f t="shared" si="64"/>
        <v>0</v>
      </c>
      <c r="AQ52" s="11">
        <f t="shared" si="63"/>
        <v>0</v>
      </c>
    </row>
    <row r="53">
      <c r="A53" s="19"/>
      <c r="B53" s="19"/>
      <c r="C53" s="9" t="s">
        <v>16</v>
      </c>
      <c r="D53" s="10"/>
      <c r="E53" s="10"/>
      <c r="F53" s="10"/>
      <c r="G53" s="10"/>
      <c r="H53" s="11"/>
      <c r="I53" s="19"/>
      <c r="J53" s="9" t="s">
        <v>15</v>
      </c>
      <c r="K53" s="20">
        <v>532.4</v>
      </c>
      <c r="L53" s="21">
        <v>330.0</v>
      </c>
      <c r="M53" s="10">
        <v>322.4</v>
      </c>
      <c r="N53" s="24">
        <v>5776.96</v>
      </c>
      <c r="O53" s="11">
        <v>34.0</v>
      </c>
      <c r="P53" s="19"/>
      <c r="Q53" s="9" t="s">
        <v>16</v>
      </c>
      <c r="R53" s="20">
        <v>1142.0</v>
      </c>
      <c r="S53" s="10">
        <v>0.0</v>
      </c>
      <c r="T53" s="10">
        <v>1440.9</v>
      </c>
      <c r="U53" s="10">
        <v>5426.66</v>
      </c>
      <c r="V53" s="11">
        <v>66.0</v>
      </c>
      <c r="W53" s="19"/>
      <c r="X53" s="9" t="s">
        <v>16</v>
      </c>
      <c r="Y53" s="20">
        <v>896.0</v>
      </c>
      <c r="Z53" s="10">
        <v>0.0</v>
      </c>
      <c r="AA53" s="17">
        <v>896.0</v>
      </c>
      <c r="AB53" s="24">
        <v>5509.61</v>
      </c>
      <c r="AC53" s="11">
        <v>25.0</v>
      </c>
      <c r="AD53" s="19"/>
      <c r="AE53" s="9" t="s">
        <v>16</v>
      </c>
      <c r="AF53" s="20">
        <v>1358.2</v>
      </c>
      <c r="AG53" s="10">
        <v>18.0</v>
      </c>
      <c r="AH53" s="10">
        <v>1340.2</v>
      </c>
      <c r="AI53" s="10">
        <v>4847.56</v>
      </c>
      <c r="AJ53" s="11">
        <v>54.0</v>
      </c>
      <c r="AL53" s="19"/>
      <c r="AM53" s="9" t="s">
        <v>16</v>
      </c>
      <c r="AN53" s="10">
        <f t="shared" ref="AN53:AP53" si="65">D53+K53+R53+Y53+AF53</f>
        <v>3928.6</v>
      </c>
      <c r="AO53" s="10">
        <f t="shared" si="65"/>
        <v>348</v>
      </c>
      <c r="AP53" s="10">
        <f t="shared" si="65"/>
        <v>3999.5</v>
      </c>
      <c r="AQ53" s="11">
        <f t="shared" si="63"/>
        <v>179</v>
      </c>
    </row>
    <row r="54">
      <c r="A54" s="19"/>
      <c r="B54" s="19"/>
      <c r="C54" s="9" t="s">
        <v>17</v>
      </c>
      <c r="D54" s="10"/>
      <c r="E54" s="10"/>
      <c r="F54" s="10"/>
      <c r="G54" s="10"/>
      <c r="H54" s="11"/>
      <c r="I54" s="19"/>
      <c r="J54" s="9" t="s">
        <v>17</v>
      </c>
      <c r="K54" s="13">
        <v>1341.7</v>
      </c>
      <c r="L54" s="10">
        <v>135.9</v>
      </c>
      <c r="M54" s="10">
        <v>1284.8</v>
      </c>
      <c r="N54" s="21">
        <v>1440.6</v>
      </c>
      <c r="O54" s="11">
        <v>37.0</v>
      </c>
      <c r="P54" s="19"/>
      <c r="Q54" s="9" t="s">
        <v>17</v>
      </c>
      <c r="R54" s="13">
        <v>1241.8</v>
      </c>
      <c r="S54" s="10">
        <v>0.0</v>
      </c>
      <c r="T54" s="10">
        <v>1241.8</v>
      </c>
      <c r="U54" s="10">
        <v>1533.6</v>
      </c>
      <c r="V54" s="11">
        <v>56.0</v>
      </c>
      <c r="W54" s="19"/>
      <c r="X54" s="9" t="s">
        <v>17</v>
      </c>
      <c r="Y54" s="13">
        <v>744.7</v>
      </c>
      <c r="Z54" s="10">
        <v>0.0</v>
      </c>
      <c r="AA54" s="17">
        <v>744.7</v>
      </c>
      <c r="AB54" s="21">
        <v>1478.7</v>
      </c>
      <c r="AC54" s="11">
        <v>29.0</v>
      </c>
      <c r="AD54" s="19"/>
      <c r="AE54" s="9" t="s">
        <v>17</v>
      </c>
      <c r="AF54" s="10">
        <v>476.4</v>
      </c>
      <c r="AG54" s="10">
        <v>54.0</v>
      </c>
      <c r="AH54" s="10">
        <v>422.4</v>
      </c>
      <c r="AI54" s="10">
        <v>1853.1</v>
      </c>
      <c r="AJ54" s="11">
        <v>43.0</v>
      </c>
      <c r="AL54" s="19"/>
      <c r="AM54" s="9" t="s">
        <v>17</v>
      </c>
      <c r="AN54" s="10">
        <f t="shared" ref="AN54:AP54" si="66">D54+K54+R54+Y54+AF54</f>
        <v>3804.6</v>
      </c>
      <c r="AO54" s="10">
        <f t="shared" si="66"/>
        <v>189.9</v>
      </c>
      <c r="AP54" s="10">
        <f t="shared" si="66"/>
        <v>3693.7</v>
      </c>
      <c r="AQ54" s="11">
        <f t="shared" si="63"/>
        <v>165</v>
      </c>
    </row>
    <row r="55">
      <c r="A55" s="19"/>
      <c r="B55" s="19"/>
      <c r="C55" s="9" t="s">
        <v>18</v>
      </c>
      <c r="D55" s="10"/>
      <c r="E55" s="10"/>
      <c r="F55" s="10"/>
      <c r="G55" s="10"/>
      <c r="H55" s="11"/>
      <c r="I55" s="19"/>
      <c r="J55" s="9" t="s">
        <v>18</v>
      </c>
      <c r="K55" s="10"/>
      <c r="L55" s="10"/>
      <c r="M55" s="10"/>
      <c r="N55" s="10"/>
      <c r="O55" s="11"/>
      <c r="P55" s="19"/>
      <c r="Q55" s="9" t="s">
        <v>29</v>
      </c>
      <c r="R55" s="10"/>
      <c r="S55" s="10"/>
      <c r="T55" s="10"/>
      <c r="U55" s="10"/>
      <c r="V55" s="11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7">D55+K55+R55+Y55+AF55</f>
        <v>0</v>
      </c>
      <c r="AO55" s="10">
        <f t="shared" si="67"/>
        <v>0</v>
      </c>
      <c r="AP55" s="10">
        <f t="shared" si="67"/>
        <v>0</v>
      </c>
      <c r="AQ55" s="11">
        <f t="shared" si="63"/>
        <v>0</v>
      </c>
    </row>
    <row r="56">
      <c r="A56" s="19"/>
      <c r="B56" s="19"/>
      <c r="C56" s="9" t="s">
        <v>20</v>
      </c>
      <c r="D56" s="10"/>
      <c r="E56" s="10"/>
      <c r="F56" s="10"/>
      <c r="G56" s="10"/>
      <c r="H56" s="11"/>
      <c r="I56" s="19"/>
      <c r="J56" s="9" t="s">
        <v>19</v>
      </c>
      <c r="K56" s="10">
        <v>407.9</v>
      </c>
      <c r="L56" s="10">
        <v>277.0</v>
      </c>
      <c r="M56" s="10">
        <v>130.9</v>
      </c>
      <c r="N56" s="14">
        <v>2478.79</v>
      </c>
      <c r="O56" s="11">
        <v>18.0</v>
      </c>
      <c r="P56" s="19"/>
      <c r="Q56" s="9" t="s">
        <v>19</v>
      </c>
      <c r="R56" s="20">
        <v>217.9</v>
      </c>
      <c r="S56" s="10">
        <v>0.0</v>
      </c>
      <c r="T56" s="10">
        <v>272.8</v>
      </c>
      <c r="U56" s="10">
        <v>1822.99</v>
      </c>
      <c r="V56" s="11">
        <v>9.0</v>
      </c>
      <c r="W56" s="19"/>
      <c r="X56" s="9" t="s">
        <v>19</v>
      </c>
      <c r="Y56" s="13">
        <v>877.6</v>
      </c>
      <c r="Z56" s="10">
        <v>74.0</v>
      </c>
      <c r="AA56" s="10">
        <v>803.6</v>
      </c>
      <c r="AB56" s="14">
        <v>2357.79</v>
      </c>
      <c r="AC56" s="11">
        <v>26.0</v>
      </c>
      <c r="AD56" s="19"/>
      <c r="AE56" s="9" t="s">
        <v>19</v>
      </c>
      <c r="AF56" s="20">
        <v>139.5</v>
      </c>
      <c r="AG56" s="10">
        <v>52.0</v>
      </c>
      <c r="AH56" s="10">
        <v>197.5</v>
      </c>
      <c r="AI56" s="10">
        <v>1905.44</v>
      </c>
      <c r="AJ56" s="11">
        <v>11.0</v>
      </c>
      <c r="AL56" s="19"/>
      <c r="AM56" s="9" t="s">
        <v>19</v>
      </c>
      <c r="AN56" s="10">
        <f t="shared" ref="AN56:AP56" si="68">D56+K56+R56+Y56+AF56</f>
        <v>1642.9</v>
      </c>
      <c r="AO56" s="10">
        <f t="shared" si="68"/>
        <v>403</v>
      </c>
      <c r="AP56" s="10">
        <f t="shared" si="68"/>
        <v>1404.8</v>
      </c>
      <c r="AQ56" s="11">
        <f t="shared" si="63"/>
        <v>64</v>
      </c>
    </row>
    <row r="57">
      <c r="A57" s="19"/>
      <c r="B57" s="19"/>
      <c r="C57" s="26" t="s">
        <v>21</v>
      </c>
      <c r="D57" s="10"/>
      <c r="E57" s="10"/>
      <c r="F57" s="10"/>
      <c r="G57" s="10"/>
      <c r="H57" s="11"/>
      <c r="I57" s="19"/>
      <c r="J57" s="26" t="s">
        <v>21</v>
      </c>
      <c r="K57" s="10">
        <v>1774.9</v>
      </c>
      <c r="L57" s="10">
        <v>243.0</v>
      </c>
      <c r="M57" s="10">
        <v>1742.8</v>
      </c>
      <c r="N57" s="24">
        <v>6563.74</v>
      </c>
      <c r="O57" s="11">
        <v>121.0</v>
      </c>
      <c r="P57" s="19"/>
      <c r="Q57" s="26" t="s">
        <v>21</v>
      </c>
      <c r="R57" s="13">
        <v>2024.6</v>
      </c>
      <c r="S57" s="10">
        <v>237.0</v>
      </c>
      <c r="T57" s="10">
        <v>2118.5</v>
      </c>
      <c r="U57" s="10">
        <v>7317.94</v>
      </c>
      <c r="V57" s="11">
        <v>104.0</v>
      </c>
      <c r="W57" s="19"/>
      <c r="X57" s="26" t="s">
        <v>21</v>
      </c>
      <c r="Y57" s="20">
        <v>999.9</v>
      </c>
      <c r="Z57" s="21">
        <v>247.0</v>
      </c>
      <c r="AA57" s="10">
        <v>931.8</v>
      </c>
      <c r="AB57" s="24">
        <v>7061.24</v>
      </c>
      <c r="AC57" s="22">
        <v>76.0</v>
      </c>
      <c r="AD57" s="19"/>
      <c r="AE57" s="26" t="s">
        <v>21</v>
      </c>
      <c r="AF57" s="13">
        <v>5007.9</v>
      </c>
      <c r="AG57" s="14">
        <v>613.9</v>
      </c>
      <c r="AH57" s="17">
        <v>5455.4</v>
      </c>
      <c r="AI57" s="10">
        <v>6942.86</v>
      </c>
      <c r="AJ57" s="22">
        <v>183.0</v>
      </c>
      <c r="AL57" s="19"/>
      <c r="AM57" s="26" t="s">
        <v>21</v>
      </c>
      <c r="AN57" s="10">
        <f t="shared" ref="AN57:AP57" si="69">D57+K57+R57+Y57+AF57</f>
        <v>9807.3</v>
      </c>
      <c r="AO57" s="10">
        <f t="shared" si="69"/>
        <v>1340.9</v>
      </c>
      <c r="AP57" s="10">
        <f t="shared" si="69"/>
        <v>10248.5</v>
      </c>
      <c r="AQ57" s="11">
        <f t="shared" si="63"/>
        <v>484</v>
      </c>
    </row>
    <row r="58">
      <c r="A58" s="19"/>
      <c r="B58" s="19"/>
      <c r="C58" s="28" t="s">
        <v>23</v>
      </c>
      <c r="D58" s="29">
        <f t="shared" ref="D58:H58" si="70">D50+D51+D52+D53+D54+D55+D56+D57</f>
        <v>0</v>
      </c>
      <c r="E58" s="30">
        <f t="shared" si="70"/>
        <v>0</v>
      </c>
      <c r="F58" s="31">
        <f t="shared" si="70"/>
        <v>0</v>
      </c>
      <c r="G58" s="32">
        <f t="shared" si="70"/>
        <v>0</v>
      </c>
      <c r="H58" s="33">
        <f t="shared" si="70"/>
        <v>0</v>
      </c>
      <c r="I58" s="19"/>
      <c r="J58" s="28" t="s">
        <v>23</v>
      </c>
      <c r="K58" s="29">
        <f t="shared" ref="K58:O58" si="71">K50+K51+K52+K53+K54+K55+K56+K57</f>
        <v>7019</v>
      </c>
      <c r="L58" s="30">
        <f t="shared" si="71"/>
        <v>2054.5</v>
      </c>
      <c r="M58" s="31">
        <f t="shared" si="71"/>
        <v>7177.2</v>
      </c>
      <c r="N58" s="37">
        <f t="shared" si="71"/>
        <v>18693.29</v>
      </c>
      <c r="O58" s="33">
        <f t="shared" si="71"/>
        <v>333</v>
      </c>
      <c r="P58" s="19"/>
      <c r="Q58" s="66" t="s">
        <v>23</v>
      </c>
      <c r="R58" s="29">
        <f t="shared" ref="R58:V58" si="72">R50+R51+R52+R53+R54+R55+R56+R57</f>
        <v>6335.2</v>
      </c>
      <c r="S58" s="35">
        <f t="shared" si="72"/>
        <v>237</v>
      </c>
      <c r="T58" s="36">
        <f t="shared" si="72"/>
        <v>6912.9</v>
      </c>
      <c r="U58" s="37">
        <f t="shared" si="72"/>
        <v>19403.99</v>
      </c>
      <c r="V58" s="33">
        <f t="shared" si="72"/>
        <v>277</v>
      </c>
      <c r="W58" s="19"/>
      <c r="X58" s="28" t="s">
        <v>23</v>
      </c>
      <c r="Y58" s="29">
        <f t="shared" ref="Y58:AC58" si="73">Y50+Y51+Y52+Y53+Y54+Y55+Y56+Y57</f>
        <v>6131</v>
      </c>
      <c r="Z58" s="35">
        <f t="shared" si="73"/>
        <v>1407</v>
      </c>
      <c r="AA58" s="36">
        <f t="shared" si="73"/>
        <v>5220.7</v>
      </c>
      <c r="AB58" s="37">
        <f t="shared" si="73"/>
        <v>19427.64</v>
      </c>
      <c r="AC58" s="33">
        <f t="shared" si="73"/>
        <v>269</v>
      </c>
      <c r="AD58" s="19"/>
      <c r="AE58" s="28" t="s">
        <v>23</v>
      </c>
      <c r="AF58" s="61">
        <f t="shared" ref="AF58:AJ58" si="74">AF50+AF51+AF52+AF53+AF54+AF55+AF56+AF57</f>
        <v>8217.19</v>
      </c>
      <c r="AG58" s="35">
        <f t="shared" si="74"/>
        <v>1608.09</v>
      </c>
      <c r="AH58" s="31">
        <f t="shared" si="74"/>
        <v>7830.5</v>
      </c>
      <c r="AI58" s="37">
        <f t="shared" si="74"/>
        <v>20745.24</v>
      </c>
      <c r="AJ58" s="33">
        <f t="shared" si="74"/>
        <v>363</v>
      </c>
      <c r="AL58" s="19"/>
      <c r="AM58" s="28" t="s">
        <v>23</v>
      </c>
      <c r="AN58" s="41">
        <f t="shared" ref="AN58:AQ58" si="75">AN50+AN51+AN52+AN53+AN54+AN55+AN56+AN57</f>
        <v>27702.39</v>
      </c>
      <c r="AO58" s="42">
        <f t="shared" si="75"/>
        <v>5306.59</v>
      </c>
      <c r="AP58" s="43">
        <f t="shared" si="75"/>
        <v>27141.3</v>
      </c>
      <c r="AQ58" s="44">
        <f t="shared" si="75"/>
        <v>1242</v>
      </c>
    </row>
    <row r="59" hidden="1">
      <c r="A59" s="19"/>
      <c r="B59" s="19"/>
      <c r="C59" s="45" t="s">
        <v>24</v>
      </c>
      <c r="D59" s="50">
        <f>D58-E58</f>
        <v>0</v>
      </c>
      <c r="E59" s="47"/>
      <c r="F59" s="48"/>
      <c r="G59" s="51"/>
      <c r="H59" s="51"/>
      <c r="I59" s="19"/>
      <c r="J59" s="45" t="s">
        <v>24</v>
      </c>
      <c r="K59" s="50">
        <f>K58-L58</f>
        <v>4964.5</v>
      </c>
      <c r="L59" s="47"/>
      <c r="M59" s="48"/>
      <c r="N59" s="51"/>
      <c r="O59" s="51"/>
      <c r="P59" s="19"/>
      <c r="Q59" s="45" t="s">
        <v>24</v>
      </c>
      <c r="R59" s="50">
        <f>R58-S58</f>
        <v>6098.2</v>
      </c>
      <c r="S59" s="47"/>
      <c r="T59" s="48"/>
      <c r="U59" s="51"/>
      <c r="V59" s="51"/>
      <c r="W59" s="19"/>
      <c r="X59" s="45" t="s">
        <v>24</v>
      </c>
      <c r="Y59" s="50">
        <f>Y58-Z58</f>
        <v>4724</v>
      </c>
      <c r="Z59" s="47"/>
      <c r="AA59" s="48"/>
      <c r="AB59" s="51"/>
      <c r="AC59" s="51"/>
      <c r="AD59" s="19"/>
      <c r="AE59" s="45" t="s">
        <v>24</v>
      </c>
      <c r="AF59" s="50">
        <f>AF58-AG58</f>
        <v>6609.1</v>
      </c>
      <c r="AG59" s="47"/>
      <c r="AH59" s="48"/>
      <c r="AI59" s="51"/>
      <c r="AJ59" s="51"/>
      <c r="AL59" s="53"/>
      <c r="AM59" s="45" t="s">
        <v>25</v>
      </c>
      <c r="AN59" s="50">
        <f>AN58-AO58</f>
        <v>22395.8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0</v>
      </c>
      <c r="E60" s="47"/>
      <c r="F60" s="48"/>
      <c r="G60" s="67"/>
      <c r="H60" s="51"/>
      <c r="I60" s="53"/>
      <c r="J60" s="56" t="s">
        <v>26</v>
      </c>
      <c r="K60" s="57">
        <f>M58-L58</f>
        <v>5122.7</v>
      </c>
      <c r="L60" s="47"/>
      <c r="M60" s="48"/>
      <c r="N60" s="51"/>
      <c r="O60" s="51"/>
      <c r="P60" s="53"/>
      <c r="Q60" s="56" t="s">
        <v>26</v>
      </c>
      <c r="R60" s="57">
        <f>T58-S58</f>
        <v>6675.9</v>
      </c>
      <c r="S60" s="47"/>
      <c r="T60" s="48"/>
      <c r="U60" s="51"/>
      <c r="V60" s="51"/>
      <c r="W60" s="53"/>
      <c r="X60" s="56" t="s">
        <v>26</v>
      </c>
      <c r="Y60" s="57">
        <f>AA58-Z58</f>
        <v>3813.7</v>
      </c>
      <c r="Z60" s="47"/>
      <c r="AA60" s="48"/>
      <c r="AB60" s="51"/>
      <c r="AC60" s="51"/>
      <c r="AD60" s="53"/>
      <c r="AE60" s="56" t="s">
        <v>26</v>
      </c>
      <c r="AF60" s="57">
        <f>AH58-AG58</f>
        <v>6222.41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2" t="s">
        <v>1</v>
      </c>
      <c r="K61" s="4" t="s">
        <v>7</v>
      </c>
      <c r="L61" s="2" t="s">
        <v>3</v>
      </c>
      <c r="M61" s="2" t="s">
        <v>4</v>
      </c>
      <c r="N61" s="2" t="s">
        <v>5</v>
      </c>
      <c r="O61" s="5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2" t="s">
        <v>1</v>
      </c>
      <c r="Y61" s="4" t="s">
        <v>7</v>
      </c>
      <c r="Z61" s="2" t="s">
        <v>3</v>
      </c>
      <c r="AA61" s="2" t="s">
        <v>4</v>
      </c>
      <c r="AB61" s="2" t="s">
        <v>5</v>
      </c>
      <c r="AC61" s="5" t="s">
        <v>6</v>
      </c>
      <c r="AD61" s="2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/>
      <c r="C62" s="9" t="s">
        <v>10</v>
      </c>
      <c r="D62" s="10"/>
      <c r="E62" s="10"/>
      <c r="F62" s="10"/>
      <c r="G62" s="10"/>
      <c r="H62" s="11"/>
      <c r="I62" s="12">
        <v>46060.0</v>
      </c>
      <c r="J62" s="9" t="s">
        <v>10</v>
      </c>
      <c r="K62" s="13">
        <v>1871.7</v>
      </c>
      <c r="L62" s="10">
        <v>267.8</v>
      </c>
      <c r="M62" s="10">
        <v>1765.9</v>
      </c>
      <c r="N62" s="21">
        <v>1661.4</v>
      </c>
      <c r="O62" s="11">
        <v>53.0</v>
      </c>
      <c r="P62" s="8">
        <v>46067.0</v>
      </c>
      <c r="Q62" s="9" t="s">
        <v>10</v>
      </c>
      <c r="R62" s="10">
        <v>369.1</v>
      </c>
      <c r="S62" s="10">
        <v>0.0</v>
      </c>
      <c r="T62" s="10">
        <v>369.1</v>
      </c>
      <c r="U62" s="10">
        <v>1876.4</v>
      </c>
      <c r="V62" s="11">
        <v>26.0</v>
      </c>
      <c r="W62" s="8">
        <v>46074.0</v>
      </c>
      <c r="X62" s="9" t="s">
        <v>10</v>
      </c>
      <c r="Y62" s="10">
        <v>683.7</v>
      </c>
      <c r="Z62" s="10">
        <v>16.0</v>
      </c>
      <c r="AA62" s="10">
        <v>667.7</v>
      </c>
      <c r="AB62" s="10">
        <v>1123.0</v>
      </c>
      <c r="AC62" s="11">
        <v>41.0</v>
      </c>
      <c r="AD62" s="12">
        <v>46081.0</v>
      </c>
      <c r="AE62" s="9" t="s">
        <v>10</v>
      </c>
      <c r="AF62" s="10"/>
      <c r="AG62" s="10"/>
      <c r="AH62" s="10"/>
      <c r="AI62" s="10"/>
      <c r="AJ62" s="11"/>
      <c r="AL62" s="18" t="s">
        <v>40</v>
      </c>
      <c r="AM62" s="9" t="s">
        <v>10</v>
      </c>
      <c r="AN62" s="10">
        <f t="shared" ref="AN62:AP62" si="76">D62+K62+R62+Y62+AF62</f>
        <v>2924.5</v>
      </c>
      <c r="AO62" s="10">
        <f t="shared" si="76"/>
        <v>283.8</v>
      </c>
      <c r="AP62" s="10">
        <f t="shared" si="76"/>
        <v>2802.7</v>
      </c>
      <c r="AQ62" s="11">
        <f t="shared" ref="AQ62:AQ69" si="78">H62+O62+V62+AC62+AJ62</f>
        <v>120</v>
      </c>
    </row>
    <row r="63">
      <c r="A63" s="19"/>
      <c r="B63" s="19"/>
      <c r="C63" s="9" t="s">
        <v>12</v>
      </c>
      <c r="D63" s="10"/>
      <c r="E63" s="10"/>
      <c r="F63" s="10"/>
      <c r="G63" s="10"/>
      <c r="H63" s="11"/>
      <c r="I63" s="19"/>
      <c r="J63" s="9" t="s">
        <v>12</v>
      </c>
      <c r="K63" s="13">
        <v>1145.0</v>
      </c>
      <c r="L63" s="10">
        <v>0.0</v>
      </c>
      <c r="M63" s="17">
        <v>1145.0</v>
      </c>
      <c r="N63" s="16">
        <v>875.6</v>
      </c>
      <c r="O63" s="11">
        <v>37.0</v>
      </c>
      <c r="P63" s="19"/>
      <c r="Q63" s="9" t="s">
        <v>12</v>
      </c>
      <c r="R63" s="72">
        <v>466.0</v>
      </c>
      <c r="S63" s="10">
        <v>27.0</v>
      </c>
      <c r="T63" s="72">
        <v>439.0</v>
      </c>
      <c r="U63" s="10">
        <v>1453.4</v>
      </c>
      <c r="V63" s="11">
        <v>15.0</v>
      </c>
      <c r="W63" s="19"/>
      <c r="X63" s="9" t="s">
        <v>12</v>
      </c>
      <c r="Y63" s="10">
        <v>562.4</v>
      </c>
      <c r="Z63" s="10">
        <v>151.9</v>
      </c>
      <c r="AA63" s="10">
        <v>410.5</v>
      </c>
      <c r="AB63" s="10">
        <v>2065.2</v>
      </c>
      <c r="AC63" s="11">
        <v>33.0</v>
      </c>
      <c r="AD63" s="19"/>
      <c r="AE63" s="9" t="s">
        <v>12</v>
      </c>
      <c r="AF63" s="10"/>
      <c r="AG63" s="10"/>
      <c r="AH63" s="10"/>
      <c r="AI63" s="10"/>
      <c r="AJ63" s="11"/>
      <c r="AL63" s="19"/>
      <c r="AM63" s="9" t="s">
        <v>12</v>
      </c>
      <c r="AN63" s="10">
        <f t="shared" ref="AN63:AP63" si="77">D63+K63+R63+Y63+AF63</f>
        <v>2173.4</v>
      </c>
      <c r="AO63" s="10">
        <f t="shared" si="77"/>
        <v>178.9</v>
      </c>
      <c r="AP63" s="10">
        <f t="shared" si="77"/>
        <v>1994.5</v>
      </c>
      <c r="AQ63" s="11">
        <f t="shared" si="78"/>
        <v>85</v>
      </c>
    </row>
    <row r="64">
      <c r="A64" s="19"/>
      <c r="B64" s="19"/>
      <c r="C64" s="9" t="s">
        <v>14</v>
      </c>
      <c r="D64" s="10"/>
      <c r="E64" s="10"/>
      <c r="F64" s="10"/>
      <c r="G64" s="10"/>
      <c r="H64" s="11"/>
      <c r="I64" s="19"/>
      <c r="J64" s="9" t="s">
        <v>14</v>
      </c>
      <c r="K64" s="10"/>
      <c r="L64" s="10"/>
      <c r="M64" s="10"/>
      <c r="N64" s="10"/>
      <c r="O64" s="11"/>
      <c r="P64" s="19"/>
      <c r="Q64" s="9" t="s">
        <v>14</v>
      </c>
      <c r="R64" s="10"/>
      <c r="S64" s="10"/>
      <c r="T64" s="10"/>
      <c r="U64" s="10"/>
      <c r="V64" s="11"/>
      <c r="W64" s="19"/>
      <c r="X64" s="9" t="s">
        <v>14</v>
      </c>
      <c r="Y64" s="10"/>
      <c r="Z64" s="10"/>
      <c r="AA64" s="10"/>
      <c r="AB64" s="10"/>
      <c r="AC64" s="11"/>
      <c r="AD64" s="19"/>
      <c r="AE64" s="9" t="s">
        <v>14</v>
      </c>
      <c r="AF64" s="10"/>
      <c r="AG64" s="10"/>
      <c r="AH64" s="10"/>
      <c r="AI64" s="10"/>
      <c r="AJ64" s="11"/>
      <c r="AL64" s="19"/>
      <c r="AM64" s="9" t="s">
        <v>14</v>
      </c>
      <c r="AN64" s="10">
        <f t="shared" ref="AN64:AP64" si="79">D64+K64+R64+Y64+AF64</f>
        <v>0</v>
      </c>
      <c r="AO64" s="10">
        <f t="shared" si="79"/>
        <v>0</v>
      </c>
      <c r="AP64" s="10">
        <f t="shared" si="79"/>
        <v>0</v>
      </c>
      <c r="AQ64" s="11">
        <f t="shared" si="78"/>
        <v>0</v>
      </c>
    </row>
    <row r="65">
      <c r="A65" s="19"/>
      <c r="B65" s="19"/>
      <c r="C65" s="9" t="s">
        <v>16</v>
      </c>
      <c r="D65" s="10"/>
      <c r="E65" s="10"/>
      <c r="F65" s="10"/>
      <c r="G65" s="10"/>
      <c r="H65" s="11"/>
      <c r="I65" s="19"/>
      <c r="J65" s="9" t="s">
        <v>16</v>
      </c>
      <c r="K65" s="20">
        <v>1409.4</v>
      </c>
      <c r="L65" s="21">
        <v>312.0</v>
      </c>
      <c r="M65" s="10">
        <v>1347.5</v>
      </c>
      <c r="N65" s="24">
        <v>5838.86</v>
      </c>
      <c r="O65" s="22">
        <v>81.0</v>
      </c>
      <c r="P65" s="19"/>
      <c r="Q65" s="9" t="s">
        <v>16</v>
      </c>
      <c r="R65" s="20">
        <v>662.7</v>
      </c>
      <c r="S65" s="10">
        <v>122.9</v>
      </c>
      <c r="T65" s="10">
        <v>814.7</v>
      </c>
      <c r="U65" s="10">
        <v>5274.66</v>
      </c>
      <c r="V65" s="11">
        <v>63.0</v>
      </c>
      <c r="W65" s="19"/>
      <c r="X65" s="9" t="s">
        <v>16</v>
      </c>
      <c r="Y65" s="10">
        <v>1223.06</v>
      </c>
      <c r="Z65" s="10">
        <v>0.0</v>
      </c>
      <c r="AA65" s="10">
        <v>1301.06</v>
      </c>
      <c r="AB65" s="10">
        <v>5431.61</v>
      </c>
      <c r="AC65" s="11">
        <v>66.0</v>
      </c>
      <c r="AD65" s="19"/>
      <c r="AE65" s="9" t="s">
        <v>16</v>
      </c>
      <c r="AF65" s="10"/>
      <c r="AG65" s="10"/>
      <c r="AH65" s="10"/>
      <c r="AI65" s="10"/>
      <c r="AJ65" s="11"/>
      <c r="AL65" s="19"/>
      <c r="AM65" s="9" t="s">
        <v>16</v>
      </c>
      <c r="AN65" s="10">
        <f t="shared" ref="AN65:AP65" si="80">D65+K65+R65+Y65+AF65</f>
        <v>3295.16</v>
      </c>
      <c r="AO65" s="10">
        <f t="shared" si="80"/>
        <v>434.9</v>
      </c>
      <c r="AP65" s="10">
        <f t="shared" si="80"/>
        <v>3463.26</v>
      </c>
      <c r="AQ65" s="11">
        <f t="shared" si="78"/>
        <v>210</v>
      </c>
    </row>
    <row r="66">
      <c r="A66" s="19"/>
      <c r="B66" s="19"/>
      <c r="C66" s="9" t="s">
        <v>17</v>
      </c>
      <c r="D66" s="10"/>
      <c r="E66" s="10"/>
      <c r="F66" s="10"/>
      <c r="G66" s="10"/>
      <c r="H66" s="11"/>
      <c r="I66" s="19"/>
      <c r="J66" s="9" t="s">
        <v>17</v>
      </c>
      <c r="K66" s="13">
        <v>1336.9</v>
      </c>
      <c r="L66" s="10">
        <v>62.0</v>
      </c>
      <c r="M66" s="10">
        <v>1274.9</v>
      </c>
      <c r="N66" s="21">
        <v>1502.6</v>
      </c>
      <c r="O66" s="22">
        <v>73.0</v>
      </c>
      <c r="P66" s="19"/>
      <c r="Q66" s="9" t="s">
        <v>17</v>
      </c>
      <c r="R66" s="13">
        <v>755.9</v>
      </c>
      <c r="S66" s="10">
        <v>0.0</v>
      </c>
      <c r="T66" s="10">
        <v>755.9</v>
      </c>
      <c r="U66" s="10">
        <v>1533.6</v>
      </c>
      <c r="V66" s="11">
        <v>64.0</v>
      </c>
      <c r="W66" s="19"/>
      <c r="X66" s="9" t="s">
        <v>17</v>
      </c>
      <c r="Y66" s="10">
        <v>1050.4</v>
      </c>
      <c r="Z66" s="10">
        <v>70.4</v>
      </c>
      <c r="AA66" s="10">
        <v>1010.0</v>
      </c>
      <c r="AB66" s="10">
        <v>1519.1</v>
      </c>
      <c r="AC66" s="11">
        <v>52.0</v>
      </c>
      <c r="AD66" s="19"/>
      <c r="AE66" s="9" t="s">
        <v>17</v>
      </c>
      <c r="AF66" s="10"/>
      <c r="AG66" s="10"/>
      <c r="AH66" s="10"/>
      <c r="AI66" s="10"/>
      <c r="AJ66" s="11"/>
      <c r="AL66" s="19"/>
      <c r="AM66" s="9" t="s">
        <v>17</v>
      </c>
      <c r="AN66" s="10">
        <f t="shared" ref="AN66:AP66" si="81">D66+K66+R66+Y66+AF66</f>
        <v>3143.2</v>
      </c>
      <c r="AO66" s="10">
        <f t="shared" si="81"/>
        <v>132.4</v>
      </c>
      <c r="AP66" s="10">
        <f t="shared" si="81"/>
        <v>3040.8</v>
      </c>
      <c r="AQ66" s="11">
        <f t="shared" si="78"/>
        <v>189</v>
      </c>
    </row>
    <row r="67">
      <c r="A67" s="19"/>
      <c r="B67" s="19"/>
      <c r="C67" s="9" t="s">
        <v>18</v>
      </c>
      <c r="D67" s="10"/>
      <c r="E67" s="10"/>
      <c r="F67" s="10"/>
      <c r="G67" s="10"/>
      <c r="H67" s="11"/>
      <c r="I67" s="19"/>
      <c r="J67" s="9" t="s">
        <v>18</v>
      </c>
      <c r="K67" s="10"/>
      <c r="L67" s="10"/>
      <c r="M67" s="10"/>
      <c r="N67" s="10"/>
      <c r="O67" s="11"/>
      <c r="P67" s="19"/>
      <c r="Q67" s="9" t="s">
        <v>18</v>
      </c>
      <c r="R67" s="10"/>
      <c r="S67" s="10"/>
      <c r="T67" s="10"/>
      <c r="U67" s="10"/>
      <c r="V67" s="11"/>
      <c r="W67" s="19"/>
      <c r="X67" s="9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2">D67+K67+R67+Y67+AF67</f>
        <v>0</v>
      </c>
      <c r="AO67" s="10">
        <f t="shared" si="82"/>
        <v>0</v>
      </c>
      <c r="AP67" s="10">
        <f t="shared" si="82"/>
        <v>0</v>
      </c>
      <c r="AQ67" s="11">
        <f t="shared" si="78"/>
        <v>0</v>
      </c>
    </row>
    <row r="68">
      <c r="A68" s="19"/>
      <c r="B68" s="19"/>
      <c r="C68" s="9" t="s">
        <v>20</v>
      </c>
      <c r="D68" s="10"/>
      <c r="E68" s="10"/>
      <c r="F68" s="10"/>
      <c r="G68" s="10"/>
      <c r="H68" s="11"/>
      <c r="I68" s="19"/>
      <c r="J68" s="9" t="s">
        <v>20</v>
      </c>
      <c r="K68" s="10">
        <v>563.0</v>
      </c>
      <c r="L68" s="10">
        <v>0.0</v>
      </c>
      <c r="M68" s="10">
        <v>613.0</v>
      </c>
      <c r="N68" s="14">
        <v>2428.79</v>
      </c>
      <c r="O68" s="11">
        <v>23.0</v>
      </c>
      <c r="P68" s="19"/>
      <c r="Q68" s="9" t="s">
        <v>19</v>
      </c>
      <c r="R68" s="13">
        <v>929.8</v>
      </c>
      <c r="S68" s="10">
        <v>405.9</v>
      </c>
      <c r="T68" s="10">
        <v>523.9</v>
      </c>
      <c r="U68" s="10">
        <v>2228.89</v>
      </c>
      <c r="V68" s="11">
        <v>28.0</v>
      </c>
      <c r="W68" s="19"/>
      <c r="X68" s="9" t="s">
        <v>19</v>
      </c>
      <c r="Y68" s="10">
        <v>54.9</v>
      </c>
      <c r="Z68" s="10">
        <v>0.0</v>
      </c>
      <c r="AA68" s="10">
        <v>403.9</v>
      </c>
      <c r="AB68" s="10">
        <v>2008.79</v>
      </c>
      <c r="AC68" s="11">
        <v>11.0</v>
      </c>
      <c r="AD68" s="19"/>
      <c r="AE68" s="9" t="s">
        <v>19</v>
      </c>
      <c r="AF68" s="10"/>
      <c r="AG68" s="10"/>
      <c r="AH68" s="10"/>
      <c r="AI68" s="10"/>
      <c r="AJ68" s="11"/>
      <c r="AL68" s="19"/>
      <c r="AM68" s="9" t="s">
        <v>19</v>
      </c>
      <c r="AN68" s="10">
        <f t="shared" ref="AN68:AP68" si="83">D68+K68+R68+Y68+AF68</f>
        <v>1547.7</v>
      </c>
      <c r="AO68" s="10">
        <f t="shared" si="83"/>
        <v>405.9</v>
      </c>
      <c r="AP68" s="10">
        <f t="shared" si="83"/>
        <v>1540.8</v>
      </c>
      <c r="AQ68" s="11">
        <f t="shared" si="78"/>
        <v>62</v>
      </c>
    </row>
    <row r="69">
      <c r="A69" s="19"/>
      <c r="B69" s="19"/>
      <c r="C69" s="26" t="s">
        <v>21</v>
      </c>
      <c r="D69" s="10"/>
      <c r="E69" s="10"/>
      <c r="F69" s="10"/>
      <c r="G69" s="10"/>
      <c r="H69" s="11"/>
      <c r="I69" s="19"/>
      <c r="J69" s="26" t="s">
        <v>21</v>
      </c>
      <c r="K69" s="13">
        <v>2505.7</v>
      </c>
      <c r="L69" s="10">
        <v>256.3</v>
      </c>
      <c r="M69" s="10">
        <v>2432.2</v>
      </c>
      <c r="N69" s="24">
        <v>6637.24</v>
      </c>
      <c r="O69" s="22">
        <v>115.0</v>
      </c>
      <c r="P69" s="19"/>
      <c r="Q69" s="26" t="s">
        <v>21</v>
      </c>
      <c r="R69" s="20">
        <v>244.9</v>
      </c>
      <c r="S69" s="10">
        <v>0.0</v>
      </c>
      <c r="T69" s="10">
        <v>323.9</v>
      </c>
      <c r="U69" s="10">
        <v>7238.94</v>
      </c>
      <c r="V69" s="11">
        <v>58.0</v>
      </c>
      <c r="W69" s="19"/>
      <c r="X69" s="26" t="s">
        <v>21</v>
      </c>
      <c r="Y69" s="10">
        <v>769.0</v>
      </c>
      <c r="Z69" s="10">
        <v>566.0</v>
      </c>
      <c r="AA69" s="10">
        <v>380.2</v>
      </c>
      <c r="AB69" s="10">
        <v>7450.04</v>
      </c>
      <c r="AC69" s="11">
        <v>67.0</v>
      </c>
      <c r="AD69" s="19"/>
      <c r="AE69" s="26" t="s">
        <v>21</v>
      </c>
      <c r="AF69" s="10"/>
      <c r="AG69" s="10"/>
      <c r="AH69" s="10"/>
      <c r="AI69" s="10"/>
      <c r="AJ69" s="11"/>
      <c r="AL69" s="19"/>
      <c r="AM69" s="26" t="s">
        <v>21</v>
      </c>
      <c r="AN69" s="10">
        <f t="shared" ref="AN69:AP69" si="84">D69+K69+R69+Y69+AF69</f>
        <v>3519.6</v>
      </c>
      <c r="AO69" s="10">
        <f t="shared" si="84"/>
        <v>822.3</v>
      </c>
      <c r="AP69" s="10">
        <f t="shared" si="84"/>
        <v>3136.3</v>
      </c>
      <c r="AQ69" s="11">
        <f t="shared" si="78"/>
        <v>240</v>
      </c>
    </row>
    <row r="70">
      <c r="A70" s="19"/>
      <c r="B70" s="19"/>
      <c r="C70" s="28" t="s">
        <v>23</v>
      </c>
      <c r="D70" s="29">
        <f t="shared" ref="D70:H70" si="85">D62+D63+D64+D65+D66+D67+D68+D69</f>
        <v>0</v>
      </c>
      <c r="E70" s="30">
        <f t="shared" si="85"/>
        <v>0</v>
      </c>
      <c r="F70" s="31">
        <f t="shared" si="85"/>
        <v>0</v>
      </c>
      <c r="G70" s="37">
        <f t="shared" si="85"/>
        <v>0</v>
      </c>
      <c r="H70" s="33">
        <f t="shared" si="85"/>
        <v>0</v>
      </c>
      <c r="I70" s="19"/>
      <c r="J70" s="28" t="s">
        <v>23</v>
      </c>
      <c r="K70" s="61">
        <f t="shared" ref="K70:O70" si="86">K62+K63+K64+K65+K66+K67+K68+K69</f>
        <v>8831.7</v>
      </c>
      <c r="L70" s="30">
        <f t="shared" si="86"/>
        <v>898.1</v>
      </c>
      <c r="M70" s="36">
        <f t="shared" si="86"/>
        <v>8578.5</v>
      </c>
      <c r="N70" s="37">
        <f t="shared" si="86"/>
        <v>18944.49</v>
      </c>
      <c r="O70" s="33">
        <f t="shared" si="86"/>
        <v>382</v>
      </c>
      <c r="P70" s="19"/>
      <c r="Q70" s="28" t="s">
        <v>23</v>
      </c>
      <c r="R70" s="29">
        <f t="shared" ref="R70:V70" si="87">R62+R63+R64+R65+R66+R67+R68+R69</f>
        <v>3428.4</v>
      </c>
      <c r="S70" s="30">
        <f t="shared" si="87"/>
        <v>555.8</v>
      </c>
      <c r="T70" s="31">
        <f t="shared" si="87"/>
        <v>3226.5</v>
      </c>
      <c r="U70" s="37">
        <f t="shared" si="87"/>
        <v>19605.89</v>
      </c>
      <c r="V70" s="33">
        <f t="shared" si="87"/>
        <v>254</v>
      </c>
      <c r="W70" s="19"/>
      <c r="X70" s="28" t="s">
        <v>23</v>
      </c>
      <c r="Y70" s="29">
        <f t="shared" ref="Y70:AC70" si="88">Y62+Y63+Y64+Y65+Y66+Y67+Y68+Y69</f>
        <v>4343.46</v>
      </c>
      <c r="Z70" s="30">
        <f t="shared" si="88"/>
        <v>804.3</v>
      </c>
      <c r="AA70" s="31">
        <f t="shared" si="88"/>
        <v>4173.36</v>
      </c>
      <c r="AB70" s="37">
        <f t="shared" si="88"/>
        <v>19597.74</v>
      </c>
      <c r="AC70" s="33">
        <f t="shared" si="88"/>
        <v>270</v>
      </c>
      <c r="AD70" s="19"/>
      <c r="AE70" s="28" t="s">
        <v>23</v>
      </c>
      <c r="AF70" s="29">
        <f t="shared" ref="AF70:AJ70" si="89">AF62+AF63+AF64+AF65+AF66+AF67+AF68+AF69</f>
        <v>0</v>
      </c>
      <c r="AG70" s="30">
        <f t="shared" si="89"/>
        <v>0</v>
      </c>
      <c r="AH70" s="31">
        <f t="shared" si="89"/>
        <v>0</v>
      </c>
      <c r="AI70" s="32">
        <f t="shared" si="89"/>
        <v>0</v>
      </c>
      <c r="AJ70" s="33">
        <f t="shared" si="89"/>
        <v>0</v>
      </c>
      <c r="AL70" s="19"/>
      <c r="AM70" s="28" t="s">
        <v>23</v>
      </c>
      <c r="AN70" s="41">
        <f t="shared" ref="AN70:AQ70" si="90">AN62+AN63+AN64+AN65+AN66+AN67+AN68+AN69</f>
        <v>16603.56</v>
      </c>
      <c r="AO70" s="42">
        <f t="shared" si="90"/>
        <v>2258.2</v>
      </c>
      <c r="AP70" s="43">
        <f t="shared" si="90"/>
        <v>15978.36</v>
      </c>
      <c r="AQ70" s="44">
        <f t="shared" si="90"/>
        <v>906</v>
      </c>
    </row>
    <row r="71" hidden="1">
      <c r="A71" s="19"/>
      <c r="B71" s="19"/>
      <c r="C71" s="45" t="s">
        <v>24</v>
      </c>
      <c r="D71" s="50">
        <f>D70-E70</f>
        <v>0</v>
      </c>
      <c r="E71" s="47"/>
      <c r="F71" s="48"/>
      <c r="G71" s="51"/>
      <c r="H71" s="51"/>
      <c r="I71" s="19"/>
      <c r="J71" s="45" t="s">
        <v>24</v>
      </c>
      <c r="K71" s="50">
        <f>K70-L70</f>
        <v>7933.6</v>
      </c>
      <c r="L71" s="47"/>
      <c r="M71" s="48"/>
      <c r="N71" s="51"/>
      <c r="O71" s="51"/>
      <c r="P71" s="19"/>
      <c r="Q71" s="45" t="s">
        <v>24</v>
      </c>
      <c r="R71" s="50">
        <f>R70-S70</f>
        <v>2872.6</v>
      </c>
      <c r="S71" s="47"/>
      <c r="T71" s="48"/>
      <c r="U71" s="51"/>
      <c r="V71" s="51"/>
      <c r="W71" s="19"/>
      <c r="X71" s="45" t="s">
        <v>24</v>
      </c>
      <c r="Y71" s="50">
        <f>Y70-Z70</f>
        <v>3539.16</v>
      </c>
      <c r="Z71" s="47"/>
      <c r="AA71" s="48"/>
      <c r="AB71" s="51"/>
      <c r="AC71" s="51"/>
      <c r="AD71" s="19"/>
      <c r="AE71" s="45" t="s">
        <v>24</v>
      </c>
      <c r="AF71" s="50">
        <f>AF70-AG70</f>
        <v>0</v>
      </c>
      <c r="AG71" s="47"/>
      <c r="AH71" s="48"/>
      <c r="AI71" s="51"/>
      <c r="AJ71" s="51"/>
      <c r="AL71" s="53"/>
      <c r="AM71" s="45" t="s">
        <v>25</v>
      </c>
      <c r="AN71" s="50">
        <f>AN70-AO70</f>
        <v>14345.36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0</v>
      </c>
      <c r="E72" s="47"/>
      <c r="F72" s="48"/>
      <c r="G72" s="59"/>
      <c r="H72" s="51"/>
      <c r="I72" s="53"/>
      <c r="J72" s="56" t="s">
        <v>26</v>
      </c>
      <c r="K72" s="57">
        <f>M70-L70</f>
        <v>7680.4</v>
      </c>
      <c r="L72" s="47"/>
      <c r="M72" s="48"/>
      <c r="N72" s="51"/>
      <c r="O72" s="51"/>
      <c r="P72" s="53"/>
      <c r="Q72" s="56" t="s">
        <v>26</v>
      </c>
      <c r="R72" s="57">
        <f>T70-S70</f>
        <v>2670.7</v>
      </c>
      <c r="S72" s="47"/>
      <c r="T72" s="48"/>
      <c r="U72" s="51"/>
      <c r="V72" s="51"/>
      <c r="W72" s="53"/>
      <c r="X72" s="56" t="s">
        <v>26</v>
      </c>
      <c r="Y72" s="57">
        <f>AA70-Z70</f>
        <v>3369.06</v>
      </c>
      <c r="Z72" s="47"/>
      <c r="AA72" s="48"/>
      <c r="AB72" s="59"/>
      <c r="AC72" s="51"/>
      <c r="AD72" s="53"/>
      <c r="AE72" s="56" t="s">
        <v>26</v>
      </c>
      <c r="AF72" s="57">
        <f>AH70-AG70</f>
        <v>0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46054.0</v>
      </c>
      <c r="C74" s="9" t="s">
        <v>10</v>
      </c>
      <c r="D74" s="10"/>
      <c r="E74" s="10"/>
      <c r="F74" s="10"/>
      <c r="G74" s="10"/>
      <c r="H74" s="11"/>
      <c r="I74" s="12">
        <v>46061.0</v>
      </c>
      <c r="J74" s="9"/>
      <c r="K74" s="10"/>
      <c r="L74" s="10"/>
      <c r="M74" s="10"/>
      <c r="N74" s="10"/>
      <c r="O74" s="11"/>
      <c r="P74" s="8">
        <v>46068.0</v>
      </c>
      <c r="Q74" s="9"/>
      <c r="R74" s="10"/>
      <c r="S74" s="10"/>
      <c r="T74" s="10"/>
      <c r="U74" s="10"/>
      <c r="V74" s="11"/>
      <c r="W74" s="8">
        <v>45710.0</v>
      </c>
      <c r="X74" s="9" t="s">
        <v>10</v>
      </c>
      <c r="Y74" s="10"/>
      <c r="Z74" s="10"/>
      <c r="AA74" s="10"/>
      <c r="AB74" s="10"/>
      <c r="AC74" s="11"/>
      <c r="AD74" s="12"/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 t="s">
        <v>12</v>
      </c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9" t="s">
        <v>14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 t="s">
        <v>14</v>
      </c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 t="s">
        <v>16</v>
      </c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 t="s">
        <v>17</v>
      </c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 t="s">
        <v>18</v>
      </c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 t="s">
        <v>19</v>
      </c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43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1">D81+K81+R81+Y81+AF81</f>
        <v>0</v>
      </c>
      <c r="AO81" s="10">
        <f t="shared" si="91"/>
        <v>0</v>
      </c>
      <c r="AP81" s="10">
        <f t="shared" si="91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2">D74+D75+D76+D77+D78+D79+D80+D81</f>
        <v>0</v>
      </c>
      <c r="E82" s="30">
        <f t="shared" si="92"/>
        <v>0</v>
      </c>
      <c r="F82" s="31">
        <f t="shared" si="92"/>
        <v>0</v>
      </c>
      <c r="G82" s="32">
        <f t="shared" si="92"/>
        <v>0</v>
      </c>
      <c r="H82" s="33">
        <f t="shared" si="92"/>
        <v>0</v>
      </c>
      <c r="I82" s="19"/>
      <c r="J82" s="28" t="s">
        <v>23</v>
      </c>
      <c r="K82" s="29">
        <f t="shared" ref="K82:O82" si="93">K74+K75+K76+K77+K78+K79+K80+K81</f>
        <v>0</v>
      </c>
      <c r="L82" s="30">
        <f t="shared" si="93"/>
        <v>0</v>
      </c>
      <c r="M82" s="31">
        <f t="shared" si="93"/>
        <v>0</v>
      </c>
      <c r="N82" s="32">
        <f t="shared" si="93"/>
        <v>0</v>
      </c>
      <c r="O82" s="33">
        <f t="shared" si="93"/>
        <v>0</v>
      </c>
      <c r="P82" s="19"/>
      <c r="Q82" s="28" t="s">
        <v>23</v>
      </c>
      <c r="R82" s="29">
        <f t="shared" ref="R82:V82" si="94">R74+R75+R76+R77+R78+R79+R80+R81</f>
        <v>0</v>
      </c>
      <c r="S82" s="30">
        <f t="shared" si="94"/>
        <v>0</v>
      </c>
      <c r="T82" s="31">
        <f t="shared" si="94"/>
        <v>0</v>
      </c>
      <c r="U82" s="32">
        <f t="shared" si="94"/>
        <v>0</v>
      </c>
      <c r="V82" s="33">
        <f t="shared" si="94"/>
        <v>0</v>
      </c>
      <c r="W82" s="19"/>
      <c r="X82" s="28" t="s">
        <v>23</v>
      </c>
      <c r="Y82" s="29">
        <f t="shared" ref="Y82:AC82" si="95">Y74+Y75+Y76+Y77+Y78+Y79+Y80+Y81</f>
        <v>0</v>
      </c>
      <c r="Z82" s="30">
        <f t="shared" si="95"/>
        <v>0</v>
      </c>
      <c r="AA82" s="31">
        <f t="shared" si="95"/>
        <v>0</v>
      </c>
      <c r="AB82" s="32">
        <f t="shared" si="95"/>
        <v>0</v>
      </c>
      <c r="AC82" s="33">
        <f t="shared" si="95"/>
        <v>0</v>
      </c>
      <c r="AD82" s="19"/>
      <c r="AE82" s="28" t="s">
        <v>23</v>
      </c>
      <c r="AF82" s="29">
        <f t="shared" ref="AF82:AJ82" si="96">AF74+AF75+AF76+AF77+AF78+AF79+AF80+AF81</f>
        <v>0</v>
      </c>
      <c r="AG82" s="30">
        <f t="shared" si="96"/>
        <v>0</v>
      </c>
      <c r="AH82" s="31">
        <f t="shared" si="96"/>
        <v>0</v>
      </c>
      <c r="AI82" s="32">
        <f t="shared" si="96"/>
        <v>0</v>
      </c>
      <c r="AJ82" s="33">
        <f t="shared" si="96"/>
        <v>0</v>
      </c>
      <c r="AL82" s="19"/>
      <c r="AM82" s="28" t="s">
        <v>23</v>
      </c>
      <c r="AN82" s="41">
        <f t="shared" ref="AN82:AQ82" si="97">AN74+AN75+AN76+AN77+AN78+AN79+AN80+AN81</f>
        <v>0</v>
      </c>
      <c r="AO82" s="42">
        <f t="shared" si="97"/>
        <v>0</v>
      </c>
      <c r="AP82" s="43">
        <f t="shared" si="97"/>
        <v>0</v>
      </c>
      <c r="AQ82" s="44">
        <f t="shared" si="97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44</v>
      </c>
      <c r="D87" s="47"/>
      <c r="E87" s="47"/>
      <c r="F87" s="47"/>
      <c r="G87" s="47"/>
      <c r="H87" s="48"/>
      <c r="I87" s="76"/>
      <c r="J87" s="77" t="s">
        <v>44</v>
      </c>
      <c r="K87" s="47"/>
      <c r="L87" s="47"/>
      <c r="M87" s="47"/>
      <c r="N87" s="47"/>
      <c r="O87" s="48"/>
      <c r="P87" s="76"/>
      <c r="Q87" s="77" t="s">
        <v>44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45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0</v>
      </c>
      <c r="E88" s="47"/>
      <c r="F88" s="47"/>
      <c r="G88" s="47"/>
      <c r="H88" s="48"/>
      <c r="J88" s="9" t="s">
        <v>7</v>
      </c>
      <c r="K88" s="79">
        <f>K10+K22+K34+K46+K58+K70+K82</f>
        <v>41285.45</v>
      </c>
      <c r="L88" s="47"/>
      <c r="M88" s="47"/>
      <c r="N88" s="47"/>
      <c r="O88" s="48"/>
      <c r="Q88" s="9" t="s">
        <v>7</v>
      </c>
      <c r="R88" s="79">
        <f>R10+R22+R34+R46+R58+R70+R82</f>
        <v>36627.54</v>
      </c>
      <c r="S88" s="47"/>
      <c r="T88" s="47"/>
      <c r="U88" s="47"/>
      <c r="V88" s="48"/>
      <c r="X88" s="9" t="s">
        <v>7</v>
      </c>
      <c r="Y88" s="79">
        <f>Y10+Y22+Y34+Y46+Y58+Y70+Y82</f>
        <v>23084.6</v>
      </c>
      <c r="Z88" s="47"/>
      <c r="AA88" s="47"/>
      <c r="AB88" s="47"/>
      <c r="AC88" s="48"/>
      <c r="AE88" s="9" t="s">
        <v>7</v>
      </c>
      <c r="AF88" s="79">
        <f>AF10+AF22+AF34+AF46+AF58+AF70+AF82</f>
        <v>36026.56</v>
      </c>
      <c r="AG88" s="47"/>
      <c r="AH88" s="47"/>
      <c r="AI88" s="47"/>
      <c r="AJ88" s="48"/>
      <c r="AN88" s="55">
        <f t="array" ref="AN88">AN10+AN22+AN34+AN46+AN58+AN70</f>
        <v>137024.15</v>
      </c>
      <c r="AP88" s="55">
        <f t="array" ref="AP88">AP10+AP22+AP34+AP46+AP58+AP70</f>
        <v>136877.81</v>
      </c>
    </row>
    <row r="89">
      <c r="A89" s="78"/>
      <c r="C89" s="9" t="s">
        <v>3</v>
      </c>
      <c r="D89" s="80">
        <f>E10+E22+E34+E46+E58+E70+E82</f>
        <v>0</v>
      </c>
      <c r="E89" s="47"/>
      <c r="F89" s="47"/>
      <c r="G89" s="47"/>
      <c r="H89" s="48"/>
      <c r="J89" s="9" t="s">
        <v>3</v>
      </c>
      <c r="K89" s="80">
        <f>L10+L22+L34+L46+L58+L70+L82</f>
        <v>6815.03</v>
      </c>
      <c r="L89" s="47"/>
      <c r="M89" s="47"/>
      <c r="N89" s="47"/>
      <c r="O89" s="48"/>
      <c r="Q89" s="9" t="s">
        <v>3</v>
      </c>
      <c r="R89" s="80">
        <f>S10+S22+S34+S46+S58+S70+S82</f>
        <v>5864.4</v>
      </c>
      <c r="S89" s="47"/>
      <c r="T89" s="47"/>
      <c r="U89" s="47"/>
      <c r="V89" s="48"/>
      <c r="X89" s="9" t="s">
        <v>3</v>
      </c>
      <c r="Y89" s="80">
        <f>Z10+Z22+Z34+Z46+Z58+Z70+Z82</f>
        <v>4714.26</v>
      </c>
      <c r="Z89" s="47"/>
      <c r="AA89" s="47"/>
      <c r="AB89" s="47"/>
      <c r="AC89" s="48"/>
      <c r="AE89" s="9" t="s">
        <v>3</v>
      </c>
      <c r="AF89" s="80">
        <f>AG10+AG22+AG34+AG46+AG58+AG70+AG82</f>
        <v>7693.78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0</v>
      </c>
      <c r="E90" s="47"/>
      <c r="F90" s="47"/>
      <c r="G90" s="47"/>
      <c r="H90" s="48"/>
      <c r="J90" s="9" t="s">
        <v>46</v>
      </c>
      <c r="K90" s="81">
        <f>M10+M22+M34+M46+M58+M70+M82</f>
        <v>42618.97</v>
      </c>
      <c r="L90" s="47"/>
      <c r="M90" s="47"/>
      <c r="N90" s="47"/>
      <c r="O90" s="48"/>
      <c r="Q90" s="9" t="s">
        <v>46</v>
      </c>
      <c r="R90" s="81">
        <f>T10+T22+T34+T46+T58+T70+T82</f>
        <v>35959.72</v>
      </c>
      <c r="S90" s="47"/>
      <c r="T90" s="47"/>
      <c r="U90" s="47"/>
      <c r="V90" s="48"/>
      <c r="X90" s="9" t="s">
        <v>46</v>
      </c>
      <c r="Y90" s="81">
        <f>AA10+AA22+AA34+AA46+AA58+AA70+AA82</f>
        <v>23082.83</v>
      </c>
      <c r="Z90" s="47"/>
      <c r="AA90" s="47"/>
      <c r="AB90" s="47"/>
      <c r="AC90" s="48"/>
      <c r="AE90" s="9" t="s">
        <v>46</v>
      </c>
      <c r="AF90" s="81">
        <f>AH10+AH22+AH34+AH46+AH58+AH70+AH82</f>
        <v>35216.29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0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34470.42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30763.14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18370.34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28332.78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0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35803.94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30095.32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18368.57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27522.51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0</v>
      </c>
      <c r="E93" s="47"/>
      <c r="F93" s="47"/>
      <c r="G93" s="47"/>
      <c r="H93" s="48"/>
      <c r="J93" s="9" t="s">
        <v>49</v>
      </c>
      <c r="K93" s="84">
        <f t="array" ref="K93">O10+O22+O34+O46+O58+O70+O82</f>
        <v>1918</v>
      </c>
      <c r="L93" s="47"/>
      <c r="M93" s="47"/>
      <c r="N93" s="47"/>
      <c r="O93" s="48"/>
      <c r="Q93" s="9" t="s">
        <v>49</v>
      </c>
      <c r="R93" s="84">
        <f t="array" ref="R93">V10+V22+V34+V46+V58+V70+V82</f>
        <v>1973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1121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1524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8">D2+D14+D26+D38+D50+D62</f>
        <v>0</v>
      </c>
      <c r="E98" s="10">
        <f t="shared" si="98"/>
        <v>0</v>
      </c>
      <c r="F98" s="10">
        <f t="shared" si="98"/>
        <v>0</v>
      </c>
      <c r="G98" s="86">
        <f t="shared" ref="G98:G105" si="104">F98-E98</f>
        <v>0</v>
      </c>
      <c r="H98" s="87">
        <f t="shared" ref="H98:H104" si="105">H2+H14+H26+H38+H50+H62</f>
        <v>0</v>
      </c>
      <c r="J98" s="9" t="s">
        <v>10</v>
      </c>
      <c r="K98" s="85">
        <f t="shared" ref="K98:M98" si="99">K2+K14+K26+K38+K50+K62</f>
        <v>6340.41</v>
      </c>
      <c r="L98" s="10">
        <f t="shared" si="99"/>
        <v>1308.3</v>
      </c>
      <c r="M98" s="10">
        <f t="shared" si="99"/>
        <v>5604.11</v>
      </c>
      <c r="N98" s="86">
        <f t="shared" ref="N98:N105" si="107">M98-L98</f>
        <v>4295.81</v>
      </c>
      <c r="O98" s="87">
        <f t="shared" ref="O98:O104" si="108">O2+O14+O26+O38+O50+O62</f>
        <v>247</v>
      </c>
      <c r="Q98" s="9" t="s">
        <v>10</v>
      </c>
      <c r="R98" s="85">
        <f t="shared" ref="R98:T98" si="100">R2+R14+R26+R38+R50+R62</f>
        <v>3507.31</v>
      </c>
      <c r="S98" s="10">
        <f t="shared" si="100"/>
        <v>275</v>
      </c>
      <c r="T98" s="10">
        <f t="shared" si="100"/>
        <v>3292.31</v>
      </c>
      <c r="U98" s="86">
        <f t="shared" ref="U98:U105" si="110">T98-S98</f>
        <v>3017.31</v>
      </c>
      <c r="V98" s="87">
        <f t="shared" ref="V98:V104" si="111">V2+V14+V26+V38+V50+V62</f>
        <v>148</v>
      </c>
      <c r="X98" s="9" t="s">
        <v>10</v>
      </c>
      <c r="Y98" s="85">
        <f t="shared" ref="Y98:AA98" si="101">Y2+Y14+Y26+Y38+Y50+Y62</f>
        <v>3616.9</v>
      </c>
      <c r="Z98" s="10">
        <f t="shared" si="101"/>
        <v>585</v>
      </c>
      <c r="AA98" s="10">
        <f t="shared" si="101"/>
        <v>4370.3</v>
      </c>
      <c r="AB98" s="86">
        <f t="shared" ref="AB98:AB105" si="113">AA98-Z98</f>
        <v>3785.3</v>
      </c>
      <c r="AC98" s="87">
        <f t="shared" ref="AC98:AC104" si="114">AC2+AC14+AC26+AC38+AC50+AC62</f>
        <v>130</v>
      </c>
      <c r="AE98" s="9" t="s">
        <v>10</v>
      </c>
      <c r="AF98" s="85">
        <f t="shared" ref="AF98:AH98" si="102">AF2+AF14+AF26+AF38+AF50+AF62</f>
        <v>4031.71</v>
      </c>
      <c r="AG98" s="10">
        <f t="shared" si="102"/>
        <v>952.47</v>
      </c>
      <c r="AH98" s="10">
        <f t="shared" si="102"/>
        <v>4098.14</v>
      </c>
      <c r="AI98" s="86">
        <f t="shared" ref="AI98:AI105" si="116">AH98-AG98</f>
        <v>3145.67</v>
      </c>
      <c r="AJ98" s="87">
        <f t="shared" ref="AJ98:AJ104" si="117">AJ2+AJ14+AJ26+AJ38+AJ50+AJ62</f>
        <v>199</v>
      </c>
    </row>
    <row r="99">
      <c r="C99" s="9" t="s">
        <v>12</v>
      </c>
      <c r="D99" s="85">
        <f t="shared" ref="D99:F99" si="103">D3+D15+D27+D39+D51+D63</f>
        <v>0</v>
      </c>
      <c r="E99" s="10">
        <f t="shared" si="103"/>
        <v>0</v>
      </c>
      <c r="F99" s="10">
        <f t="shared" si="103"/>
        <v>0</v>
      </c>
      <c r="G99" s="86">
        <f t="shared" si="104"/>
        <v>0</v>
      </c>
      <c r="H99" s="87">
        <f t="shared" si="105"/>
        <v>0</v>
      </c>
      <c r="J99" s="9" t="s">
        <v>12</v>
      </c>
      <c r="K99" s="85">
        <f t="shared" ref="K99:M99" si="106">K3+K15+K27+K39+K51+K63</f>
        <v>4633.4</v>
      </c>
      <c r="L99" s="10">
        <f t="shared" si="106"/>
        <v>284</v>
      </c>
      <c r="M99" s="10">
        <f t="shared" si="106"/>
        <v>6265.2</v>
      </c>
      <c r="N99" s="86">
        <f t="shared" si="107"/>
        <v>5981.2</v>
      </c>
      <c r="O99" s="87">
        <f t="shared" si="108"/>
        <v>172</v>
      </c>
      <c r="Q99" s="9" t="s">
        <v>12</v>
      </c>
      <c r="R99" s="85">
        <f t="shared" ref="R99:T99" si="109">R3+R15+R27+R39+R51+R63</f>
        <v>5265.9</v>
      </c>
      <c r="S99" s="10">
        <f t="shared" si="109"/>
        <v>979.8</v>
      </c>
      <c r="T99" s="10">
        <f t="shared" si="109"/>
        <v>4688.1</v>
      </c>
      <c r="U99" s="86">
        <f t="shared" si="110"/>
        <v>3708.3</v>
      </c>
      <c r="V99" s="87">
        <f t="shared" si="111"/>
        <v>223</v>
      </c>
      <c r="X99" s="9" t="s">
        <v>12</v>
      </c>
      <c r="Y99" s="85">
        <f t="shared" ref="Y99:AA99" si="112">Y3+Y15+Y27+Y39+Y51+Y63</f>
        <v>3067.1</v>
      </c>
      <c r="Z99" s="10">
        <f t="shared" si="112"/>
        <v>1039.7</v>
      </c>
      <c r="AA99" s="10">
        <f t="shared" si="112"/>
        <v>2445.3</v>
      </c>
      <c r="AB99" s="86">
        <f t="shared" si="113"/>
        <v>1405.6</v>
      </c>
      <c r="AC99" s="87">
        <f t="shared" si="114"/>
        <v>150</v>
      </c>
      <c r="AE99" s="9" t="s">
        <v>12</v>
      </c>
      <c r="AF99" s="85">
        <f t="shared" ref="AF99:AH99" si="115">AF3+AF15+AF27+AF39+AF51+AF63</f>
        <v>2428.31</v>
      </c>
      <c r="AG99" s="10">
        <f t="shared" si="115"/>
        <v>1319.51</v>
      </c>
      <c r="AH99" s="10">
        <f t="shared" si="115"/>
        <v>1189.8</v>
      </c>
      <c r="AI99" s="86">
        <f t="shared" si="116"/>
        <v>-129.71</v>
      </c>
      <c r="AJ99" s="87">
        <f t="shared" si="117"/>
        <v>111</v>
      </c>
    </row>
    <row r="100">
      <c r="C100" s="9" t="s">
        <v>14</v>
      </c>
      <c r="D100" s="85">
        <f t="shared" ref="D100:F100" si="118">D4+D16+D28+D40+D52+D64</f>
        <v>0</v>
      </c>
      <c r="E100" s="10">
        <f t="shared" si="118"/>
        <v>0</v>
      </c>
      <c r="F100" s="10">
        <f t="shared" si="118"/>
        <v>0</v>
      </c>
      <c r="G100" s="86">
        <f t="shared" si="104"/>
        <v>0</v>
      </c>
      <c r="H100" s="87">
        <f t="shared" si="105"/>
        <v>0</v>
      </c>
      <c r="J100" s="9" t="s">
        <v>14</v>
      </c>
      <c r="K100" s="85">
        <f t="shared" ref="K100:M100" si="119">K4+K16+K28+K40+K52+K64</f>
        <v>0</v>
      </c>
      <c r="L100" s="10">
        <f t="shared" si="119"/>
        <v>0</v>
      </c>
      <c r="M100" s="10">
        <f t="shared" si="119"/>
        <v>0</v>
      </c>
      <c r="N100" s="86">
        <f t="shared" si="107"/>
        <v>0</v>
      </c>
      <c r="O100" s="87">
        <f t="shared" si="108"/>
        <v>0</v>
      </c>
      <c r="Q100" s="9" t="s">
        <v>14</v>
      </c>
      <c r="R100" s="85">
        <f t="shared" ref="R100:T100" si="120">R4+R16+R28+R40+R52+R64</f>
        <v>0</v>
      </c>
      <c r="S100" s="10">
        <f t="shared" si="120"/>
        <v>0</v>
      </c>
      <c r="T100" s="10">
        <f t="shared" si="120"/>
        <v>0</v>
      </c>
      <c r="U100" s="86">
        <f t="shared" si="110"/>
        <v>0</v>
      </c>
      <c r="V100" s="87">
        <f t="shared" si="111"/>
        <v>0</v>
      </c>
      <c r="X100" s="9" t="s">
        <v>14</v>
      </c>
      <c r="Y100" s="85">
        <f t="shared" ref="Y100:AA100" si="121">Y4+Y16+Y28+Y40+Y52+Y64</f>
        <v>0</v>
      </c>
      <c r="Z100" s="10">
        <f t="shared" si="121"/>
        <v>0</v>
      </c>
      <c r="AA100" s="10">
        <f t="shared" si="121"/>
        <v>0</v>
      </c>
      <c r="AB100" s="86">
        <f t="shared" si="113"/>
        <v>0</v>
      </c>
      <c r="AC100" s="87">
        <f t="shared" si="114"/>
        <v>0</v>
      </c>
      <c r="AE100" s="9" t="s">
        <v>14</v>
      </c>
      <c r="AF100" s="85">
        <f t="shared" ref="AF100:AH100" si="122">AF4+AF16+AF28+AF40+AF52+AF64</f>
        <v>0</v>
      </c>
      <c r="AG100" s="10">
        <f t="shared" si="122"/>
        <v>0</v>
      </c>
      <c r="AH100" s="10">
        <f t="shared" si="122"/>
        <v>0</v>
      </c>
      <c r="AI100" s="86">
        <f t="shared" si="116"/>
        <v>0</v>
      </c>
      <c r="AJ100" s="87">
        <f t="shared" si="117"/>
        <v>0</v>
      </c>
    </row>
    <row r="101">
      <c r="C101" s="9" t="s">
        <v>16</v>
      </c>
      <c r="D101" s="85">
        <f t="shared" ref="D101:F101" si="123">D5+D17+D29+D41+D53+D65</f>
        <v>0</v>
      </c>
      <c r="E101" s="10">
        <f t="shared" si="123"/>
        <v>0</v>
      </c>
      <c r="F101" s="10">
        <f t="shared" si="123"/>
        <v>0</v>
      </c>
      <c r="G101" s="86">
        <f t="shared" si="104"/>
        <v>0</v>
      </c>
      <c r="H101" s="87">
        <f t="shared" si="105"/>
        <v>0</v>
      </c>
      <c r="J101" s="9" t="s">
        <v>16</v>
      </c>
      <c r="K101" s="85">
        <f t="shared" ref="K101:M101" si="124">K5+K17+K29+K41+K53+K65</f>
        <v>9995.53</v>
      </c>
      <c r="L101" s="10">
        <f t="shared" si="124"/>
        <v>2294.23</v>
      </c>
      <c r="M101" s="10">
        <f t="shared" si="124"/>
        <v>9466.1</v>
      </c>
      <c r="N101" s="86">
        <f t="shared" si="107"/>
        <v>7171.87</v>
      </c>
      <c r="O101" s="87">
        <f t="shared" si="108"/>
        <v>440</v>
      </c>
      <c r="Q101" s="9" t="s">
        <v>16</v>
      </c>
      <c r="R101" s="85">
        <f t="shared" ref="R101:T101" si="125">R5+R17+R29+R41+R53+R65</f>
        <v>8523.3</v>
      </c>
      <c r="S101" s="10">
        <f t="shared" si="125"/>
        <v>1425.4</v>
      </c>
      <c r="T101" s="10">
        <f t="shared" si="125"/>
        <v>9081.08</v>
      </c>
      <c r="U101" s="86">
        <f t="shared" si="110"/>
        <v>7655.68</v>
      </c>
      <c r="V101" s="87">
        <f t="shared" si="111"/>
        <v>488</v>
      </c>
      <c r="X101" s="9" t="s">
        <v>16</v>
      </c>
      <c r="Y101" s="85">
        <f t="shared" ref="Y101:AA101" si="126">Y5+Y17+Y29+Y41+Y53+Y65</f>
        <v>6801.32</v>
      </c>
      <c r="Z101" s="10">
        <f t="shared" si="126"/>
        <v>1557.56</v>
      </c>
      <c r="AA101" s="10">
        <f t="shared" si="126"/>
        <v>6644.45</v>
      </c>
      <c r="AB101" s="86">
        <f t="shared" si="113"/>
        <v>5086.89</v>
      </c>
      <c r="AC101" s="87">
        <f t="shared" si="114"/>
        <v>312</v>
      </c>
      <c r="AE101" s="9" t="s">
        <v>16</v>
      </c>
      <c r="AF101" s="85">
        <f t="shared" ref="AF101:AH101" si="127">AF5+AF17+AF29+AF41+AF53+AF65</f>
        <v>7436.8</v>
      </c>
      <c r="AG101" s="10">
        <f t="shared" si="127"/>
        <v>1401.8</v>
      </c>
      <c r="AH101" s="10">
        <f t="shared" si="127"/>
        <v>7905.28</v>
      </c>
      <c r="AI101" s="86">
        <f t="shared" si="116"/>
        <v>6503.48</v>
      </c>
      <c r="AJ101" s="87">
        <f t="shared" si="117"/>
        <v>276</v>
      </c>
    </row>
    <row r="102">
      <c r="C102" s="9" t="s">
        <v>17</v>
      </c>
      <c r="D102" s="85">
        <f t="shared" ref="D102:F102" si="128">D6+D18+D30+D42+D54+D66</f>
        <v>0</v>
      </c>
      <c r="E102" s="10">
        <f t="shared" si="128"/>
        <v>0</v>
      </c>
      <c r="F102" s="10">
        <f t="shared" si="128"/>
        <v>0</v>
      </c>
      <c r="G102" s="86">
        <f t="shared" si="104"/>
        <v>0</v>
      </c>
      <c r="H102" s="87">
        <f t="shared" si="105"/>
        <v>0</v>
      </c>
      <c r="J102" s="9" t="s">
        <v>17</v>
      </c>
      <c r="K102" s="85">
        <f t="shared" ref="K102:M102" si="129">K6+K18+K30+K42+K54+K66</f>
        <v>6477.66</v>
      </c>
      <c r="L102" s="10">
        <f t="shared" si="129"/>
        <v>682.8</v>
      </c>
      <c r="M102" s="10">
        <f t="shared" si="129"/>
        <v>7014.41</v>
      </c>
      <c r="N102" s="86">
        <f t="shared" si="107"/>
        <v>6331.61</v>
      </c>
      <c r="O102" s="87">
        <f t="shared" si="108"/>
        <v>316</v>
      </c>
      <c r="Q102" s="9" t="s">
        <v>17</v>
      </c>
      <c r="R102" s="85">
        <f t="shared" ref="R102:T102" si="130">R6+R18+R30+R42+R54+R66</f>
        <v>4704.6</v>
      </c>
      <c r="S102" s="10">
        <f t="shared" si="130"/>
        <v>512</v>
      </c>
      <c r="T102" s="10">
        <f t="shared" si="130"/>
        <v>4673.6</v>
      </c>
      <c r="U102" s="86">
        <f t="shared" si="110"/>
        <v>4161.6</v>
      </c>
      <c r="V102" s="87">
        <f t="shared" si="111"/>
        <v>247</v>
      </c>
      <c r="X102" s="9" t="s">
        <v>17</v>
      </c>
      <c r="Y102" s="85">
        <f t="shared" ref="Y102:AA102" si="131">Y6+Y18+Y30+Y42+Y54+Y66</f>
        <v>2611.28</v>
      </c>
      <c r="Z102" s="10">
        <f t="shared" si="131"/>
        <v>70.4</v>
      </c>
      <c r="AA102" s="10">
        <f t="shared" si="131"/>
        <v>2625.78</v>
      </c>
      <c r="AB102" s="86">
        <f t="shared" si="113"/>
        <v>2555.38</v>
      </c>
      <c r="AC102" s="87">
        <f t="shared" si="114"/>
        <v>129</v>
      </c>
      <c r="AE102" s="9" t="s">
        <v>17</v>
      </c>
      <c r="AF102" s="85">
        <f t="shared" ref="AF102:AH102" si="132">AF6+AF18+AF30+AF42+AF54+AF66</f>
        <v>4696.6</v>
      </c>
      <c r="AG102" s="10">
        <f t="shared" si="132"/>
        <v>894.9</v>
      </c>
      <c r="AH102" s="10">
        <f t="shared" si="132"/>
        <v>4363.4</v>
      </c>
      <c r="AI102" s="86">
        <f t="shared" si="116"/>
        <v>3468.5</v>
      </c>
      <c r="AJ102" s="87">
        <f t="shared" si="117"/>
        <v>217</v>
      </c>
    </row>
    <row r="103">
      <c r="C103" s="9" t="s">
        <v>18</v>
      </c>
      <c r="D103" s="85">
        <f t="shared" ref="D103:F103" si="133">D7+D19+D31+D43+D55+D67</f>
        <v>0</v>
      </c>
      <c r="E103" s="85">
        <f t="shared" si="133"/>
        <v>0</v>
      </c>
      <c r="F103" s="85">
        <f t="shared" si="133"/>
        <v>0</v>
      </c>
      <c r="G103" s="86">
        <f t="shared" si="104"/>
        <v>0</v>
      </c>
      <c r="H103" s="87">
        <f t="shared" si="105"/>
        <v>0</v>
      </c>
      <c r="J103" s="9" t="s">
        <v>18</v>
      </c>
      <c r="K103" s="85">
        <f t="shared" ref="K103:M103" si="134">K7+K19+K31+K43+K55+K67</f>
        <v>0</v>
      </c>
      <c r="L103" s="85">
        <f t="shared" si="134"/>
        <v>0</v>
      </c>
      <c r="M103" s="85">
        <f t="shared" si="134"/>
        <v>0</v>
      </c>
      <c r="N103" s="86">
        <f t="shared" si="107"/>
        <v>0</v>
      </c>
      <c r="O103" s="87">
        <f t="shared" si="108"/>
        <v>0</v>
      </c>
      <c r="Q103" s="9" t="s">
        <v>18</v>
      </c>
      <c r="R103" s="85">
        <f t="shared" ref="R103:T103" si="135">R7+R19+R31+R43+R55+R67</f>
        <v>0</v>
      </c>
      <c r="S103" s="85">
        <f t="shared" si="135"/>
        <v>0</v>
      </c>
      <c r="T103" s="85">
        <f t="shared" si="135"/>
        <v>0</v>
      </c>
      <c r="U103" s="86">
        <f t="shared" si="110"/>
        <v>0</v>
      </c>
      <c r="V103" s="87">
        <f t="shared" si="111"/>
        <v>0</v>
      </c>
      <c r="X103" s="9" t="s">
        <v>18</v>
      </c>
      <c r="Y103" s="85">
        <f t="shared" ref="Y103:AA103" si="136">Y7+Y19+Y31+Y43+Y55+Y67</f>
        <v>0</v>
      </c>
      <c r="Z103" s="85">
        <f t="shared" si="136"/>
        <v>0</v>
      </c>
      <c r="AA103" s="85">
        <f t="shared" si="136"/>
        <v>0</v>
      </c>
      <c r="AB103" s="86">
        <f t="shared" si="113"/>
        <v>0</v>
      </c>
      <c r="AC103" s="87">
        <f t="shared" si="114"/>
        <v>0</v>
      </c>
      <c r="AE103" s="9" t="s">
        <v>18</v>
      </c>
      <c r="AF103" s="85">
        <f t="shared" ref="AF103:AH103" si="137">AF7+AF19+AF31+AF43+AF55+AF67</f>
        <v>0</v>
      </c>
      <c r="AG103" s="85">
        <f t="shared" si="137"/>
        <v>0</v>
      </c>
      <c r="AH103" s="85">
        <f t="shared" si="137"/>
        <v>0</v>
      </c>
      <c r="AI103" s="86">
        <f t="shared" si="116"/>
        <v>0</v>
      </c>
      <c r="AJ103" s="87">
        <f t="shared" si="117"/>
        <v>0</v>
      </c>
    </row>
    <row r="104">
      <c r="C104" s="9" t="s">
        <v>19</v>
      </c>
      <c r="D104" s="85">
        <f t="shared" ref="D104:F104" si="138">D8+D20+D32+D44+D56+D68</f>
        <v>0</v>
      </c>
      <c r="E104" s="10">
        <f t="shared" si="138"/>
        <v>0</v>
      </c>
      <c r="F104" s="10">
        <f t="shared" si="138"/>
        <v>0</v>
      </c>
      <c r="G104" s="86">
        <f t="shared" si="104"/>
        <v>0</v>
      </c>
      <c r="H104" s="87">
        <f t="shared" si="105"/>
        <v>0</v>
      </c>
      <c r="J104" s="9" t="s">
        <v>19</v>
      </c>
      <c r="K104" s="85">
        <f t="shared" ref="K104:M104" si="139">K8+K20+K32+K44+K56+K68</f>
        <v>3928.74</v>
      </c>
      <c r="L104" s="10">
        <f t="shared" si="139"/>
        <v>903.9</v>
      </c>
      <c r="M104" s="10">
        <f t="shared" si="139"/>
        <v>3976.24</v>
      </c>
      <c r="N104" s="86">
        <f t="shared" si="107"/>
        <v>3072.34</v>
      </c>
      <c r="O104" s="87">
        <f t="shared" si="108"/>
        <v>184</v>
      </c>
      <c r="Q104" s="9" t="s">
        <v>19</v>
      </c>
      <c r="R104" s="85">
        <f t="shared" ref="R104:T104" si="140">R8+R20+R32+R44+R56+R68</f>
        <v>2319.2</v>
      </c>
      <c r="S104" s="10">
        <f t="shared" si="140"/>
        <v>534.8</v>
      </c>
      <c r="T104" s="10">
        <f t="shared" si="140"/>
        <v>2519.1</v>
      </c>
      <c r="U104" s="86">
        <f t="shared" si="110"/>
        <v>1984.3</v>
      </c>
      <c r="V104" s="87">
        <f t="shared" si="111"/>
        <v>120</v>
      </c>
      <c r="X104" s="9" t="s">
        <v>19</v>
      </c>
      <c r="Y104" s="85">
        <f t="shared" ref="Y104:AA104" si="141">Y8+Y20+Y32+Y44+Y56+Y68</f>
        <v>1870.1</v>
      </c>
      <c r="Z104" s="10">
        <f t="shared" si="141"/>
        <v>128.9</v>
      </c>
      <c r="AA104" s="10">
        <f t="shared" si="141"/>
        <v>2090.2</v>
      </c>
      <c r="AB104" s="86">
        <f t="shared" si="113"/>
        <v>1961.3</v>
      </c>
      <c r="AC104" s="87">
        <f t="shared" si="114"/>
        <v>108</v>
      </c>
      <c r="AE104" s="9" t="s">
        <v>19</v>
      </c>
      <c r="AF104" s="85">
        <f t="shared" ref="AF104:AH104" si="142">AF8+AF20+AF32+AF44+AF56+AF68</f>
        <v>2678</v>
      </c>
      <c r="AG104" s="10">
        <f t="shared" si="142"/>
        <v>859.8</v>
      </c>
      <c r="AH104" s="10">
        <f t="shared" si="142"/>
        <v>2843.35</v>
      </c>
      <c r="AI104" s="86">
        <f t="shared" si="116"/>
        <v>1983.55</v>
      </c>
      <c r="AJ104" s="87">
        <f t="shared" si="117"/>
        <v>113</v>
      </c>
    </row>
    <row r="105">
      <c r="C105" s="26" t="s">
        <v>21</v>
      </c>
      <c r="D105" s="85">
        <f t="shared" ref="D105:F105" si="143">D9+D21+D33+D45+D57+D69+D81</f>
        <v>0</v>
      </c>
      <c r="E105" s="10">
        <f t="shared" si="143"/>
        <v>0</v>
      </c>
      <c r="F105" s="10">
        <f t="shared" si="143"/>
        <v>0</v>
      </c>
      <c r="G105" s="86">
        <f t="shared" si="104"/>
        <v>0</v>
      </c>
      <c r="H105" s="87">
        <f>H9+H21+H33+H45+H57+H69+H81</f>
        <v>0</v>
      </c>
      <c r="J105" s="26" t="s">
        <v>21</v>
      </c>
      <c r="K105" s="85">
        <f t="shared" ref="K105:M105" si="144">K9+K21+K33+K45+K57+K69+K81</f>
        <v>9909.71</v>
      </c>
      <c r="L105" s="10">
        <f t="shared" si="144"/>
        <v>1341.8</v>
      </c>
      <c r="M105" s="10">
        <f t="shared" si="144"/>
        <v>10292.91</v>
      </c>
      <c r="N105" s="86">
        <f t="shared" si="107"/>
        <v>8951.11</v>
      </c>
      <c r="O105" s="87">
        <f>O9+O21+O33+O45+O57+O69+O81</f>
        <v>559</v>
      </c>
      <c r="Q105" s="26" t="s">
        <v>21</v>
      </c>
      <c r="R105" s="85">
        <f t="shared" ref="R105:T105" si="145">R9+R21+R33+R45+R57+R69+R81</f>
        <v>12307.23</v>
      </c>
      <c r="S105" s="10">
        <f t="shared" si="145"/>
        <v>2137.4</v>
      </c>
      <c r="T105" s="10">
        <f t="shared" si="145"/>
        <v>11705.53</v>
      </c>
      <c r="U105" s="86">
        <f t="shared" si="110"/>
        <v>9568.13</v>
      </c>
      <c r="V105" s="87">
        <f>V9+V21+V33+V45+V57+V69+V81</f>
        <v>747</v>
      </c>
      <c r="X105" s="26" t="s">
        <v>21</v>
      </c>
      <c r="Y105" s="85">
        <f t="shared" ref="Y105:AA105" si="146">Y9+Y21+Y33+Y45+Y57+Y69+Y81</f>
        <v>5117.9</v>
      </c>
      <c r="Z105" s="10">
        <f t="shared" si="146"/>
        <v>1332.7</v>
      </c>
      <c r="AA105" s="10">
        <f t="shared" si="146"/>
        <v>4906.8</v>
      </c>
      <c r="AB105" s="86">
        <f t="shared" si="113"/>
        <v>3574.1</v>
      </c>
      <c r="AC105" s="87">
        <f>AC9+AC21+AC33+AC45+AC57+AC69+AC81</f>
        <v>292</v>
      </c>
      <c r="AE105" s="26" t="s">
        <v>21</v>
      </c>
      <c r="AF105" s="85">
        <f t="shared" ref="AF105:AH105" si="147">AF9+AF21+AF33+AF45+AF57+AF69+AF81</f>
        <v>14755.14</v>
      </c>
      <c r="AG105" s="10">
        <f t="shared" si="147"/>
        <v>2265.3</v>
      </c>
      <c r="AH105" s="10">
        <f t="shared" si="147"/>
        <v>14816.32</v>
      </c>
      <c r="AI105" s="86">
        <f t="shared" si="116"/>
        <v>12551.02</v>
      </c>
      <c r="AJ105" s="87">
        <f>AJ9+AJ21+AJ33+AJ45+AJ57+AJ69+AJ81</f>
        <v>608</v>
      </c>
    </row>
    <row r="106">
      <c r="C106" s="88" t="s">
        <v>57</v>
      </c>
      <c r="D106" s="41">
        <f t="array" ref="D106">D98+D99+D100+D101+D102+D103+D104+D105</f>
        <v>0</v>
      </c>
      <c r="E106" s="42">
        <f t="array" ref="E106">E98+E99+E100+E101+E102+E103+E104+E105</f>
        <v>0</v>
      </c>
      <c r="F106" s="43">
        <f t="array" ref="F106">F98+F99+F100+F101+F102+F103+F104+F105</f>
        <v>0</v>
      </c>
      <c r="G106" s="89">
        <f t="array" ref="G106">G98+G99+G100+G101+G102+G103+G104+G105</f>
        <v>0</v>
      </c>
      <c r="H106" s="44">
        <f t="array" ref="H106">H98+H99+H100+H101+H102+H103+H104+H105</f>
        <v>0</v>
      </c>
      <c r="J106" s="88" t="s">
        <v>57</v>
      </c>
      <c r="K106" s="41">
        <f t="array" ref="K106">K98+K99+K100+K101+K102+K103+K104+K105</f>
        <v>41285.45</v>
      </c>
      <c r="L106" s="42">
        <f t="array" ref="L106">L98+L99+L100+L101+L102+L103+L104+L105</f>
        <v>6815.03</v>
      </c>
      <c r="M106" s="43">
        <f t="array" ref="M106">M98+M99+M100+M101+M102+M103+M104+M105</f>
        <v>42618.97</v>
      </c>
      <c r="N106" s="89">
        <f t="array" ref="N106">N98+N99+N100+N101+N102+N103+N104+N105</f>
        <v>35803.94</v>
      </c>
      <c r="O106" s="44">
        <f t="array" ref="O106">O98+O99+O100+O101+O102+O103+O104+O105</f>
        <v>1918</v>
      </c>
      <c r="Q106" s="88" t="s">
        <v>57</v>
      </c>
      <c r="R106" s="41">
        <f t="array" ref="R106">R98+R99+R100+R101+R102+R103+R104+R105</f>
        <v>36627.54</v>
      </c>
      <c r="S106" s="42">
        <f t="array" ref="S106">S98+S99+S100+S101+S102+S103+S104+S105</f>
        <v>5864.4</v>
      </c>
      <c r="T106" s="43">
        <f t="array" ref="T106">T98+T99+T100+T101+T102+T103+T104+T105</f>
        <v>35959.72</v>
      </c>
      <c r="U106" s="89">
        <f t="array" ref="U106">U98+U99+U100+U101+U102+U103+U104+U105</f>
        <v>30095.32</v>
      </c>
      <c r="V106" s="44">
        <f t="array" ref="V106">V98+V99+V100+V101+V102+V103+V104+V105</f>
        <v>1973</v>
      </c>
      <c r="X106" s="88" t="s">
        <v>57</v>
      </c>
      <c r="Y106" s="41">
        <f t="array" ref="Y106">Y98+Y99+Y100+Y101+Y102+Y103+Y104+Y105</f>
        <v>23084.6</v>
      </c>
      <c r="Z106" s="42">
        <f t="array" ref="Z106">Z98+Z99+Z100+Z101+Z102+Z103+Z104+Z105</f>
        <v>4714.26</v>
      </c>
      <c r="AA106" s="43">
        <f t="array" ref="AA106">AA98+AA99+AA100+AA101+AA102+AA103+AA104+AA105</f>
        <v>23082.83</v>
      </c>
      <c r="AB106" s="89">
        <f t="array" ref="AB106">AB98+AB99+AB100+AB101+AB102+AB103+AB104+AB105</f>
        <v>18368.57</v>
      </c>
      <c r="AC106" s="44">
        <f t="array" ref="AC106">AC98+AC99+AC100+AC101+AC102+AC103+AC104+AC105</f>
        <v>1121</v>
      </c>
      <c r="AE106" s="88" t="s">
        <v>57</v>
      </c>
      <c r="AF106" s="41">
        <f t="array" ref="AF106">AF98+AF99+AF100+AF101+AF102+AF103+AF104+AF105</f>
        <v>36026.56</v>
      </c>
      <c r="AG106" s="42">
        <f t="array" ref="AG106">AG98+AG99+AG100+AG101+AG102+AG103+AG104+AG105</f>
        <v>7693.78</v>
      </c>
      <c r="AH106" s="43">
        <f t="array" ref="AH106">AH98+AH99+AH100+AH101+AH102+AH103+AH104+AH105</f>
        <v>35216.29</v>
      </c>
      <c r="AI106" s="89">
        <f t="array" ref="AI106">AI98+AI99+AI100+AI101+AI102+AI103+AI104+AI105</f>
        <v>27522.51</v>
      </c>
      <c r="AJ106" s="44">
        <f t="array" ref="AJ106">AJ98+AJ99+AJ100+AJ101+AJ102+AJ103+AJ104+AJ105</f>
        <v>1524</v>
      </c>
    </row>
    <row r="107">
      <c r="A107" s="55"/>
      <c r="B107" s="55"/>
      <c r="C107" s="90" t="s">
        <v>58</v>
      </c>
      <c r="D107" s="91">
        <f t="shared" ref="D107:H107" si="148">D106/6</f>
        <v>0</v>
      </c>
      <c r="E107" s="92">
        <f t="shared" si="148"/>
        <v>0</v>
      </c>
      <c r="F107" s="93">
        <f t="shared" si="148"/>
        <v>0</v>
      </c>
      <c r="G107" s="89">
        <f t="shared" si="148"/>
        <v>0</v>
      </c>
      <c r="H107" s="94">
        <f t="shared" si="148"/>
        <v>0</v>
      </c>
      <c r="I107" s="55"/>
      <c r="J107" s="90" t="s">
        <v>58</v>
      </c>
      <c r="K107" s="91">
        <f t="shared" ref="K107:O107" si="149">K106/6</f>
        <v>6880.908333</v>
      </c>
      <c r="L107" s="92">
        <f t="shared" si="149"/>
        <v>1135.838333</v>
      </c>
      <c r="M107" s="93">
        <f t="shared" si="149"/>
        <v>7103.161667</v>
      </c>
      <c r="N107" s="89">
        <f t="shared" si="149"/>
        <v>5967.323333</v>
      </c>
      <c r="O107" s="94">
        <f t="shared" si="149"/>
        <v>319.6666667</v>
      </c>
      <c r="P107" s="55"/>
      <c r="Q107" s="90" t="s">
        <v>58</v>
      </c>
      <c r="R107" s="91">
        <f t="shared" ref="R107:V107" si="150">R106/6</f>
        <v>6104.59</v>
      </c>
      <c r="S107" s="92">
        <f t="shared" si="150"/>
        <v>977.4</v>
      </c>
      <c r="T107" s="93">
        <f t="shared" si="150"/>
        <v>5993.286667</v>
      </c>
      <c r="U107" s="89">
        <f t="shared" si="150"/>
        <v>5015.886667</v>
      </c>
      <c r="V107" s="94">
        <f t="shared" si="150"/>
        <v>328.8333333</v>
      </c>
      <c r="W107" s="55"/>
      <c r="X107" s="90" t="s">
        <v>58</v>
      </c>
      <c r="Y107" s="91">
        <f t="shared" ref="Y107:AC107" si="151">Y106/6</f>
        <v>3847.433333</v>
      </c>
      <c r="Z107" s="92">
        <f t="shared" si="151"/>
        <v>785.71</v>
      </c>
      <c r="AA107" s="93">
        <f t="shared" si="151"/>
        <v>3847.138333</v>
      </c>
      <c r="AB107" s="89">
        <f t="shared" si="151"/>
        <v>3061.428333</v>
      </c>
      <c r="AC107" s="94">
        <f t="shared" si="151"/>
        <v>186.8333333</v>
      </c>
      <c r="AD107" s="55"/>
      <c r="AE107" s="90" t="s">
        <v>58</v>
      </c>
      <c r="AF107" s="91">
        <f t="shared" ref="AF107:AJ107" si="152">AF106/6</f>
        <v>6004.426667</v>
      </c>
      <c r="AG107" s="92">
        <f t="shared" si="152"/>
        <v>1282.296667</v>
      </c>
      <c r="AH107" s="93">
        <f t="shared" si="152"/>
        <v>5869.381667</v>
      </c>
      <c r="AI107" s="89">
        <f t="shared" si="152"/>
        <v>4587.085</v>
      </c>
      <c r="AJ107" s="94">
        <f t="shared" si="152"/>
        <v>254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L124" s="96">
        <v>46080.0</v>
      </c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V126" s="55"/>
      <c r="AC126" s="55"/>
      <c r="AJ126" s="55"/>
    </row>
    <row r="127">
      <c r="C127" s="9" t="s">
        <v>10</v>
      </c>
      <c r="D127" s="100">
        <f t="shared" ref="D127:H127" si="153">D98+K98+R98+Y98+AF98</f>
        <v>17496.33</v>
      </c>
      <c r="E127" s="101">
        <f t="shared" si="153"/>
        <v>3120.77</v>
      </c>
      <c r="F127" s="102">
        <f t="shared" si="153"/>
        <v>17364.86</v>
      </c>
      <c r="G127" s="86">
        <f t="shared" si="153"/>
        <v>14244.09</v>
      </c>
      <c r="H127" s="103">
        <f t="shared" si="153"/>
        <v>724</v>
      </c>
      <c r="I127" s="104" t="s">
        <v>71</v>
      </c>
      <c r="J127" s="105">
        <f t="shared" ref="J127:J134" si="155">D98+K98+R98+Y98+AF98</f>
        <v>17496.33</v>
      </c>
      <c r="K127" s="105"/>
      <c r="L127" s="106"/>
      <c r="M127" s="107">
        <f t="shared" ref="M127:M134" si="156">J127/22</f>
        <v>795.2877273</v>
      </c>
      <c r="N127" s="107">
        <f t="shared" ref="N127:N134" si="157">(M127*1)+J127</f>
        <v>18291.61773</v>
      </c>
      <c r="O127" s="55"/>
      <c r="V127" s="55"/>
      <c r="AC127" s="55"/>
      <c r="AJ127" s="55"/>
    </row>
    <row r="128">
      <c r="C128" s="9" t="s">
        <v>12</v>
      </c>
      <c r="D128" s="100">
        <f t="shared" ref="D128:H128" si="154">D99+K99+R99+Y99+AF99</f>
        <v>15394.71</v>
      </c>
      <c r="E128" s="101">
        <f t="shared" si="154"/>
        <v>3623.01</v>
      </c>
      <c r="F128" s="102">
        <f t="shared" si="154"/>
        <v>14588.4</v>
      </c>
      <c r="G128" s="86">
        <f t="shared" si="154"/>
        <v>10965.39</v>
      </c>
      <c r="H128" s="103">
        <f t="shared" si="154"/>
        <v>656</v>
      </c>
      <c r="I128" s="104" t="s">
        <v>72</v>
      </c>
      <c r="J128" s="105">
        <f t="shared" si="155"/>
        <v>15394.71</v>
      </c>
      <c r="K128" s="105"/>
      <c r="L128" s="9"/>
      <c r="M128" s="107">
        <f t="shared" si="156"/>
        <v>699.7595455</v>
      </c>
      <c r="N128" s="107">
        <f t="shared" si="157"/>
        <v>16094.46955</v>
      </c>
      <c r="O128" s="55"/>
      <c r="V128" s="55"/>
      <c r="AC128" s="55"/>
      <c r="AJ128" s="55"/>
    </row>
    <row r="129">
      <c r="C129" s="9" t="s">
        <v>14</v>
      </c>
      <c r="D129" s="100">
        <f t="shared" ref="D129:H129" si="158">D100+K100+R100+Y100+AF100</f>
        <v>0</v>
      </c>
      <c r="E129" s="101">
        <f t="shared" si="158"/>
        <v>0</v>
      </c>
      <c r="F129" s="102">
        <f t="shared" si="158"/>
        <v>0</v>
      </c>
      <c r="G129" s="86">
        <f t="shared" si="158"/>
        <v>0</v>
      </c>
      <c r="H129" s="103">
        <f t="shared" si="158"/>
        <v>0</v>
      </c>
      <c r="I129" s="104" t="s">
        <v>73</v>
      </c>
      <c r="J129" s="105">
        <f t="shared" si="155"/>
        <v>0</v>
      </c>
      <c r="K129" s="105"/>
      <c r="L129" s="9"/>
      <c r="M129" s="107">
        <f t="shared" si="156"/>
        <v>0</v>
      </c>
      <c r="N129" s="107">
        <f t="shared" si="157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59">D101+K101+R101+Y101+AF101</f>
        <v>32756.95</v>
      </c>
      <c r="E130" s="101">
        <f t="shared" si="159"/>
        <v>6678.99</v>
      </c>
      <c r="F130" s="102">
        <f t="shared" si="159"/>
        <v>33096.91</v>
      </c>
      <c r="G130" s="86">
        <f t="shared" si="159"/>
        <v>26417.92</v>
      </c>
      <c r="H130" s="103">
        <f t="shared" si="159"/>
        <v>1516</v>
      </c>
      <c r="I130" s="104" t="s">
        <v>74</v>
      </c>
      <c r="J130" s="105">
        <f t="shared" si="155"/>
        <v>32756.95</v>
      </c>
      <c r="K130" s="105"/>
      <c r="L130" s="106"/>
      <c r="M130" s="107">
        <f t="shared" si="156"/>
        <v>1488.952273</v>
      </c>
      <c r="N130" s="107">
        <f t="shared" si="157"/>
        <v>34245.90227</v>
      </c>
      <c r="O130" s="55"/>
      <c r="V130" s="55"/>
      <c r="AC130" s="55"/>
      <c r="AJ130" s="55"/>
    </row>
    <row r="131">
      <c r="C131" s="9" t="s">
        <v>17</v>
      </c>
      <c r="D131" s="100">
        <f t="shared" ref="D131:H131" si="160">D102+K102+R102+Y102+AF102</f>
        <v>18490.14</v>
      </c>
      <c r="E131" s="101">
        <f t="shared" si="160"/>
        <v>2160.1</v>
      </c>
      <c r="F131" s="102">
        <f t="shared" si="160"/>
        <v>18677.19</v>
      </c>
      <c r="G131" s="86">
        <f t="shared" si="160"/>
        <v>16517.09</v>
      </c>
      <c r="H131" s="103">
        <f t="shared" si="160"/>
        <v>909</v>
      </c>
      <c r="I131" s="104" t="s">
        <v>75</v>
      </c>
      <c r="J131" s="105">
        <f t="shared" si="155"/>
        <v>18490.14</v>
      </c>
      <c r="K131" s="105"/>
      <c r="L131" s="9"/>
      <c r="M131" s="107">
        <f t="shared" si="156"/>
        <v>840.4609091</v>
      </c>
      <c r="N131" s="107">
        <f t="shared" si="157"/>
        <v>19330.60091</v>
      </c>
      <c r="O131" s="55"/>
      <c r="V131" s="55"/>
      <c r="AC131" s="55"/>
      <c r="AJ131" s="55"/>
    </row>
    <row r="132">
      <c r="C132" s="9" t="s">
        <v>18</v>
      </c>
      <c r="D132" s="13">
        <f t="shared" ref="D132:H132" si="161">D103+K103+R103+Y103+AF103</f>
        <v>0</v>
      </c>
      <c r="E132" s="21">
        <f t="shared" si="161"/>
        <v>0</v>
      </c>
      <c r="F132" s="17">
        <f t="shared" si="161"/>
        <v>0</v>
      </c>
      <c r="G132" s="16">
        <f t="shared" si="161"/>
        <v>0</v>
      </c>
      <c r="H132" s="109">
        <f t="shared" si="161"/>
        <v>0</v>
      </c>
      <c r="I132" s="104" t="s">
        <v>76</v>
      </c>
      <c r="J132" s="105">
        <f t="shared" si="155"/>
        <v>0</v>
      </c>
      <c r="K132" s="105"/>
      <c r="L132" s="9"/>
      <c r="M132" s="107">
        <f t="shared" si="156"/>
        <v>0</v>
      </c>
      <c r="N132" s="107">
        <f t="shared" si="157"/>
        <v>0</v>
      </c>
      <c r="O132" s="55"/>
      <c r="V132" s="55"/>
      <c r="AC132" s="55"/>
      <c r="AJ132" s="55"/>
    </row>
    <row r="133">
      <c r="C133" s="9" t="s">
        <v>19</v>
      </c>
      <c r="D133" s="100">
        <f t="shared" ref="D133:H133" si="162">D104+K104+R104+Y104+AF104</f>
        <v>10796.04</v>
      </c>
      <c r="E133" s="101">
        <f t="shared" si="162"/>
        <v>2427.4</v>
      </c>
      <c r="F133" s="102">
        <f t="shared" si="162"/>
        <v>11428.89</v>
      </c>
      <c r="G133" s="86">
        <f t="shared" si="162"/>
        <v>9001.49</v>
      </c>
      <c r="H133" s="103">
        <f t="shared" si="162"/>
        <v>525</v>
      </c>
      <c r="I133" s="104" t="s">
        <v>77</v>
      </c>
      <c r="J133" s="105">
        <f t="shared" si="155"/>
        <v>10796.04</v>
      </c>
      <c r="K133" s="105"/>
      <c r="L133" s="106"/>
      <c r="M133" s="107">
        <f t="shared" si="156"/>
        <v>490.7290909</v>
      </c>
      <c r="N133" s="107">
        <f t="shared" si="157"/>
        <v>11286.76909</v>
      </c>
      <c r="O133" s="55"/>
      <c r="V133" s="55"/>
      <c r="AC133" s="55"/>
      <c r="AJ133" s="55"/>
    </row>
    <row r="134">
      <c r="C134" s="26" t="s">
        <v>22</v>
      </c>
      <c r="D134" s="100">
        <f t="shared" ref="D134:H134" si="163">D105+K105+R105+Y105+AF105</f>
        <v>42089.98</v>
      </c>
      <c r="E134" s="101">
        <f t="shared" si="163"/>
        <v>7077.2</v>
      </c>
      <c r="F134" s="102">
        <f t="shared" si="163"/>
        <v>41721.56</v>
      </c>
      <c r="G134" s="86">
        <f t="shared" si="163"/>
        <v>34644.36</v>
      </c>
      <c r="H134" s="103">
        <f t="shared" si="163"/>
        <v>2206</v>
      </c>
      <c r="I134" s="104" t="s">
        <v>78</v>
      </c>
      <c r="J134" s="105">
        <f t="shared" si="155"/>
        <v>42089.98</v>
      </c>
      <c r="K134" s="105"/>
      <c r="L134" s="106"/>
      <c r="M134" s="107">
        <f t="shared" si="156"/>
        <v>1913.180909</v>
      </c>
      <c r="N134" s="107">
        <f t="shared" si="157"/>
        <v>44003.16091</v>
      </c>
      <c r="O134" s="55"/>
      <c r="V134" s="55"/>
      <c r="AC134" s="55"/>
      <c r="AJ134" s="55"/>
    </row>
    <row r="135">
      <c r="C135" s="78"/>
      <c r="I135" s="104" t="s">
        <v>79</v>
      </c>
      <c r="J135" s="105"/>
      <c r="K135" s="105"/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/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/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/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137024.15</v>
      </c>
      <c r="K139" s="112">
        <f>SUM(K127+K128+K129+K130+K131+K132+K133+K134+K135+K136+K137+K138)</f>
        <v>0</v>
      </c>
      <c r="L139" s="113"/>
      <c r="M139" s="112">
        <f t="shared" ref="M139:N139" si="164">SUM(M127+M128+M129+M130+M131+M132+M133+M134)</f>
        <v>6228.370455</v>
      </c>
      <c r="N139" s="112">
        <f t="shared" si="164"/>
        <v>143252.5205</v>
      </c>
      <c r="O139" s="55"/>
      <c r="V139" s="55"/>
      <c r="AC139" s="55"/>
      <c r="AJ139" s="55"/>
    </row>
    <row r="140">
      <c r="O140" s="55"/>
      <c r="V140" s="55"/>
      <c r="AC140" s="55"/>
      <c r="AJ140" s="55"/>
    </row>
    <row r="141">
      <c r="O141" s="55"/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143252.5205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137024.15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25087.47</v>
      </c>
      <c r="E144" s="47"/>
      <c r="F144" s="47"/>
      <c r="G144" s="47"/>
      <c r="H144" s="48"/>
      <c r="L144" s="97" t="s">
        <v>87</v>
      </c>
      <c r="M144" s="114">
        <f>J139+(M139*1)</f>
        <v>143252.5205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136877.81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111936.68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111790.34</v>
      </c>
      <c r="E147" s="47"/>
      <c r="F147" s="47"/>
      <c r="G147" s="47"/>
      <c r="H147" s="48"/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6536</v>
      </c>
      <c r="E148" s="47"/>
      <c r="F148" s="47"/>
      <c r="G148" s="47"/>
      <c r="H148" s="48"/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136877.81</v>
      </c>
      <c r="E151" s="47"/>
      <c r="F151" s="47"/>
      <c r="G151" s="47"/>
      <c r="H151" s="48"/>
      <c r="O151" s="55"/>
      <c r="V151" s="55"/>
      <c r="AC151" s="55"/>
      <c r="AJ151" s="55"/>
    </row>
    <row r="152"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5270.159615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964.9026923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4305.256923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D143:G143/22</f>
        <v>6228.370455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72">
        <v>46064.0</v>
      </c>
      <c r="Q203" s="173" t="s">
        <v>10</v>
      </c>
      <c r="R203" s="174" t="s">
        <v>155</v>
      </c>
      <c r="S203" s="175" t="s">
        <v>156</v>
      </c>
      <c r="T203" s="173" t="s">
        <v>157</v>
      </c>
      <c r="U203" s="174" t="s">
        <v>158</v>
      </c>
      <c r="V203" s="176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173">
        <v>202.0</v>
      </c>
      <c r="R204" s="177"/>
      <c r="S204" s="174" t="s">
        <v>159</v>
      </c>
      <c r="T204" s="178"/>
      <c r="U204" s="174" t="s">
        <v>160</v>
      </c>
      <c r="V204" s="176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173">
        <v>213.0</v>
      </c>
      <c r="R205" s="177"/>
      <c r="S205" s="174" t="s">
        <v>161</v>
      </c>
      <c r="T205" s="178"/>
      <c r="U205" s="177"/>
      <c r="V205" s="176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173">
        <v>307.0</v>
      </c>
      <c r="R206" s="177"/>
      <c r="S206" s="175" t="s">
        <v>162</v>
      </c>
      <c r="T206" s="178"/>
      <c r="U206" s="177"/>
      <c r="V206" s="176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173">
        <v>313.0</v>
      </c>
      <c r="R207" s="177"/>
      <c r="S207" s="174" t="s">
        <v>163</v>
      </c>
      <c r="T207" s="178"/>
      <c r="U207" s="177"/>
      <c r="V207" s="176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173" t="s">
        <v>19</v>
      </c>
      <c r="R208" s="177"/>
      <c r="S208" s="174" t="s">
        <v>164</v>
      </c>
      <c r="T208" s="178"/>
      <c r="U208" s="177"/>
      <c r="V208" s="176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173" t="s">
        <v>22</v>
      </c>
      <c r="R209" s="174"/>
      <c r="S209" s="174" t="s">
        <v>165</v>
      </c>
      <c r="T209" s="174"/>
      <c r="U209" s="178"/>
      <c r="V209" s="176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3409.71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2219.4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3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1.0"/>
    <col customWidth="1" min="10" max="10" width="17.0"/>
    <col customWidth="1" min="14" max="14" width="23.25"/>
  </cols>
  <sheetData>
    <row r="1">
      <c r="A1" s="78" t="s">
        <v>166</v>
      </c>
    </row>
    <row r="2" hidden="1">
      <c r="A2" s="179" t="s">
        <v>167</v>
      </c>
    </row>
    <row r="3" hidden="1">
      <c r="A3" s="180"/>
      <c r="B3" s="180"/>
      <c r="C3" s="180"/>
      <c r="D3" s="180"/>
      <c r="E3" s="180"/>
      <c r="F3" s="180"/>
      <c r="G3" s="180"/>
      <c r="H3" s="180"/>
      <c r="I3" s="180"/>
    </row>
    <row r="4" hidden="1">
      <c r="A4" s="181" t="s">
        <v>66</v>
      </c>
      <c r="B4" s="182" t="s">
        <v>168</v>
      </c>
      <c r="C4" s="182" t="s">
        <v>169</v>
      </c>
      <c r="D4" s="183"/>
      <c r="E4" s="182" t="s">
        <v>170</v>
      </c>
      <c r="F4" s="184" t="s">
        <v>171</v>
      </c>
      <c r="G4" s="185"/>
      <c r="H4" s="186" t="s">
        <v>172</v>
      </c>
      <c r="I4" s="186" t="s">
        <v>173</v>
      </c>
    </row>
    <row r="5" hidden="1">
      <c r="A5" s="187"/>
      <c r="B5" s="180"/>
      <c r="C5" s="180"/>
      <c r="D5" s="180"/>
      <c r="E5" s="180"/>
      <c r="F5" s="180"/>
      <c r="G5" s="180"/>
      <c r="H5" s="180"/>
      <c r="I5" s="188"/>
    </row>
    <row r="6" ht="30.0" hidden="1" customHeight="1">
      <c r="A6" s="189" t="s">
        <v>174</v>
      </c>
      <c r="B6" s="190">
        <f>'Faturamento '!E40</f>
        <v>0</v>
      </c>
      <c r="C6" s="191">
        <v>0.1</v>
      </c>
      <c r="D6" s="192">
        <f t="shared" ref="D6:D12" si="1">B6*C6</f>
        <v>0</v>
      </c>
      <c r="E6" s="190">
        <f t="shared" ref="E6:E12" si="2">B6+D6</f>
        <v>0</v>
      </c>
      <c r="F6" s="193">
        <f>'Faturamento '!F40</f>
        <v>0</v>
      </c>
      <c r="G6" s="185"/>
      <c r="H6" s="194">
        <f t="shared" ref="H6:H12" si="3">E6-F6</f>
        <v>0</v>
      </c>
      <c r="I6" s="195">
        <f t="shared" ref="I6:I12" si="4">H6/3</f>
        <v>0</v>
      </c>
    </row>
    <row r="7" ht="30.0" hidden="1" customHeight="1">
      <c r="A7" s="196" t="s">
        <v>175</v>
      </c>
      <c r="B7" s="190">
        <f>'Faturamento '!E41</f>
        <v>0</v>
      </c>
      <c r="C7" s="197">
        <v>0.1</v>
      </c>
      <c r="D7" s="192">
        <f t="shared" si="1"/>
        <v>0</v>
      </c>
      <c r="E7" s="190">
        <f t="shared" si="2"/>
        <v>0</v>
      </c>
      <c r="F7" s="193">
        <f>'Faturamento '!F41</f>
        <v>0</v>
      </c>
      <c r="G7" s="185"/>
      <c r="H7" s="194">
        <f t="shared" si="3"/>
        <v>0</v>
      </c>
      <c r="I7" s="195">
        <f t="shared" si="4"/>
        <v>0</v>
      </c>
    </row>
    <row r="8" ht="30.0" hidden="1" customHeight="1">
      <c r="A8" s="196" t="s">
        <v>176</v>
      </c>
      <c r="B8" s="190">
        <f>'Faturamento '!E42</f>
        <v>0</v>
      </c>
      <c r="C8" s="197">
        <v>0.1</v>
      </c>
      <c r="D8" s="192">
        <f t="shared" si="1"/>
        <v>0</v>
      </c>
      <c r="E8" s="190">
        <f t="shared" si="2"/>
        <v>0</v>
      </c>
      <c r="F8" s="193">
        <f>'Faturamento '!F42</f>
        <v>0</v>
      </c>
      <c r="G8" s="185"/>
      <c r="H8" s="194">
        <f t="shared" si="3"/>
        <v>0</v>
      </c>
      <c r="I8" s="195">
        <f t="shared" si="4"/>
        <v>0</v>
      </c>
    </row>
    <row r="9" ht="30.0" hidden="1" customHeight="1">
      <c r="A9" s="196" t="s">
        <v>177</v>
      </c>
      <c r="B9" s="190">
        <f>'Faturamento '!E43</f>
        <v>0</v>
      </c>
      <c r="C9" s="197">
        <v>0.1</v>
      </c>
      <c r="D9" s="192">
        <f t="shared" si="1"/>
        <v>0</v>
      </c>
      <c r="E9" s="190">
        <f t="shared" si="2"/>
        <v>0</v>
      </c>
      <c r="F9" s="193">
        <f>'Faturamento '!F43</f>
        <v>0</v>
      </c>
      <c r="G9" s="185"/>
      <c r="H9" s="194">
        <f t="shared" si="3"/>
        <v>0</v>
      </c>
      <c r="I9" s="195">
        <f t="shared" si="4"/>
        <v>0</v>
      </c>
    </row>
    <row r="10" ht="30.0" hidden="1" customHeight="1">
      <c r="A10" s="196" t="s">
        <v>71</v>
      </c>
      <c r="B10" s="190">
        <f>'Faturamento '!E45</f>
        <v>0</v>
      </c>
      <c r="C10" s="197">
        <v>0.1</v>
      </c>
      <c r="D10" s="192">
        <f t="shared" si="1"/>
        <v>0</v>
      </c>
      <c r="E10" s="190">
        <f t="shared" si="2"/>
        <v>0</v>
      </c>
      <c r="F10" s="193">
        <f>'Faturamento '!F45</f>
        <v>0</v>
      </c>
      <c r="G10" s="185"/>
      <c r="H10" s="194">
        <f t="shared" si="3"/>
        <v>0</v>
      </c>
      <c r="I10" s="195">
        <f t="shared" si="4"/>
        <v>0</v>
      </c>
    </row>
    <row r="11" ht="30.0" hidden="1" customHeight="1">
      <c r="A11" s="196" t="s">
        <v>22</v>
      </c>
      <c r="B11" s="190">
        <f>'Faturamento '!E47</f>
        <v>0</v>
      </c>
      <c r="C11" s="197">
        <v>0.1</v>
      </c>
      <c r="D11" s="192">
        <f t="shared" si="1"/>
        <v>0</v>
      </c>
      <c r="E11" s="190">
        <f t="shared" si="2"/>
        <v>0</v>
      </c>
      <c r="F11" s="193">
        <f>'Faturamento '!F47</f>
        <v>0</v>
      </c>
      <c r="G11" s="185"/>
      <c r="H11" s="194">
        <f t="shared" si="3"/>
        <v>0</v>
      </c>
      <c r="I11" s="195">
        <f t="shared" si="4"/>
        <v>0</v>
      </c>
    </row>
    <row r="12" ht="30.0" hidden="1" customHeight="1">
      <c r="A12" s="196" t="s">
        <v>19</v>
      </c>
      <c r="B12" s="190">
        <f>'Faturamento '!E46</f>
        <v>0</v>
      </c>
      <c r="C12" s="197">
        <v>0.2</v>
      </c>
      <c r="D12" s="192">
        <f t="shared" si="1"/>
        <v>0</v>
      </c>
      <c r="E12" s="190">
        <f t="shared" si="2"/>
        <v>0</v>
      </c>
      <c r="F12" s="193">
        <f>'Faturamento '!F46</f>
        <v>0</v>
      </c>
      <c r="G12" s="185"/>
      <c r="H12" s="194">
        <f t="shared" si="3"/>
        <v>0</v>
      </c>
      <c r="I12" s="195">
        <f t="shared" si="4"/>
        <v>0</v>
      </c>
    </row>
    <row r="13" hidden="1"/>
    <row r="14" hidden="1"/>
    <row r="15" hidden="1"/>
    <row r="16" hidden="1">
      <c r="A16" s="179" t="s">
        <v>178</v>
      </c>
    </row>
    <row r="17" hidden="1">
      <c r="A17" s="180"/>
      <c r="B17" s="180"/>
      <c r="C17" s="180"/>
      <c r="D17" s="180"/>
      <c r="E17" s="180"/>
      <c r="F17" s="180"/>
      <c r="G17" s="180"/>
      <c r="H17" s="180"/>
      <c r="I17" s="180"/>
    </row>
    <row r="18" hidden="1">
      <c r="A18" s="181" t="s">
        <v>66</v>
      </c>
      <c r="B18" s="182" t="s">
        <v>168</v>
      </c>
      <c r="C18" s="182" t="s">
        <v>169</v>
      </c>
      <c r="D18" s="183"/>
      <c r="E18" s="182" t="s">
        <v>170</v>
      </c>
      <c r="F18" s="184" t="s">
        <v>171</v>
      </c>
      <c r="G18" s="185"/>
      <c r="H18" s="186" t="s">
        <v>172</v>
      </c>
      <c r="I18" s="186" t="s">
        <v>173</v>
      </c>
    </row>
    <row r="19" hidden="1">
      <c r="A19" s="187"/>
      <c r="B19" s="180"/>
      <c r="C19" s="180"/>
      <c r="D19" s="180"/>
      <c r="E19" s="180"/>
      <c r="F19" s="180"/>
      <c r="G19" s="180"/>
      <c r="H19" s="180"/>
      <c r="I19" s="188"/>
    </row>
    <row r="20" hidden="1">
      <c r="A20" s="189" t="s">
        <v>174</v>
      </c>
      <c r="B20" s="198">
        <f>'Faturamento '!F40</f>
        <v>0</v>
      </c>
      <c r="C20" s="191">
        <v>0.1</v>
      </c>
      <c r="D20" s="192">
        <f t="shared" ref="D20:D26" si="5">B20*C20</f>
        <v>0</v>
      </c>
      <c r="E20" s="198">
        <f t="shared" ref="E20:E26" si="6">B20+D20</f>
        <v>0</v>
      </c>
      <c r="F20" s="199">
        <f>'Faturamento '!G40</f>
        <v>0</v>
      </c>
      <c r="G20" s="185"/>
      <c r="H20" s="200">
        <f t="shared" ref="H20:H26" si="7">E20-F20</f>
        <v>0</v>
      </c>
      <c r="I20" s="195">
        <f t="shared" ref="I20:I26" si="8">H20/3</f>
        <v>0</v>
      </c>
      <c r="J20" s="78" t="s">
        <v>179</v>
      </c>
    </row>
    <row r="21" hidden="1">
      <c r="A21" s="196" t="s">
        <v>175</v>
      </c>
      <c r="B21" s="198">
        <f>'Faturamento '!F41</f>
        <v>0</v>
      </c>
      <c r="C21" s="197">
        <v>0.1</v>
      </c>
      <c r="D21" s="192">
        <f t="shared" si="5"/>
        <v>0</v>
      </c>
      <c r="E21" s="198">
        <f t="shared" si="6"/>
        <v>0</v>
      </c>
      <c r="F21" s="199">
        <f>'Faturamento '!G41</f>
        <v>0</v>
      </c>
      <c r="G21" s="185"/>
      <c r="H21" s="200">
        <f t="shared" si="7"/>
        <v>0</v>
      </c>
      <c r="I21" s="195">
        <f t="shared" si="8"/>
        <v>0</v>
      </c>
    </row>
    <row r="22" hidden="1">
      <c r="A22" s="196" t="s">
        <v>176</v>
      </c>
      <c r="B22" s="198">
        <f>'Faturamento '!F42</f>
        <v>0</v>
      </c>
      <c r="C22" s="197">
        <v>0.1</v>
      </c>
      <c r="D22" s="192">
        <f t="shared" si="5"/>
        <v>0</v>
      </c>
      <c r="E22" s="198">
        <f t="shared" si="6"/>
        <v>0</v>
      </c>
      <c r="F22" s="199">
        <f>'Faturamento '!G42</f>
        <v>0</v>
      </c>
      <c r="G22" s="185"/>
      <c r="H22" s="200">
        <f t="shared" si="7"/>
        <v>0</v>
      </c>
      <c r="I22" s="195">
        <f t="shared" si="8"/>
        <v>0</v>
      </c>
      <c r="J22" s="72"/>
    </row>
    <row r="23" hidden="1">
      <c r="A23" s="196" t="s">
        <v>177</v>
      </c>
      <c r="B23" s="198">
        <f>'Faturamento '!F43</f>
        <v>0</v>
      </c>
      <c r="C23" s="197">
        <v>0.1</v>
      </c>
      <c r="D23" s="192">
        <f t="shared" si="5"/>
        <v>0</v>
      </c>
      <c r="E23" s="198">
        <f t="shared" si="6"/>
        <v>0</v>
      </c>
      <c r="F23" s="199">
        <f>'Faturamento '!G43</f>
        <v>0</v>
      </c>
      <c r="G23" s="185"/>
      <c r="H23" s="200">
        <f t="shared" si="7"/>
        <v>0</v>
      </c>
      <c r="I23" s="195">
        <f t="shared" si="8"/>
        <v>0</v>
      </c>
      <c r="J23" s="78" t="s">
        <v>180</v>
      </c>
    </row>
    <row r="24" hidden="1">
      <c r="A24" s="196" t="s">
        <v>71</v>
      </c>
      <c r="B24" s="198">
        <f>'Faturamento '!F45</f>
        <v>0</v>
      </c>
      <c r="C24" s="197">
        <v>0.1</v>
      </c>
      <c r="D24" s="192">
        <f t="shared" si="5"/>
        <v>0</v>
      </c>
      <c r="E24" s="198">
        <f t="shared" si="6"/>
        <v>0</v>
      </c>
      <c r="F24" s="199">
        <f>'Faturamento '!G45</f>
        <v>0</v>
      </c>
      <c r="G24" s="185"/>
      <c r="H24" s="200">
        <f t="shared" si="7"/>
        <v>0</v>
      </c>
      <c r="I24" s="195">
        <f t="shared" si="8"/>
        <v>0</v>
      </c>
      <c r="J24" s="201"/>
    </row>
    <row r="25" hidden="1">
      <c r="A25" s="196" t="s">
        <v>22</v>
      </c>
      <c r="B25" s="198">
        <f>'Faturamento '!F47</f>
        <v>0</v>
      </c>
      <c r="C25" s="197">
        <v>0.1</v>
      </c>
      <c r="D25" s="192">
        <f t="shared" si="5"/>
        <v>0</v>
      </c>
      <c r="E25" s="198">
        <f t="shared" si="6"/>
        <v>0</v>
      </c>
      <c r="F25" s="199">
        <f>'Faturamento '!G47</f>
        <v>0</v>
      </c>
      <c r="G25" s="185"/>
      <c r="H25" s="200">
        <f t="shared" si="7"/>
        <v>0</v>
      </c>
      <c r="I25" s="195">
        <f t="shared" si="8"/>
        <v>0</v>
      </c>
      <c r="J25" s="78" t="s">
        <v>179</v>
      </c>
    </row>
    <row r="26" hidden="1">
      <c r="A26" s="196" t="s">
        <v>19</v>
      </c>
      <c r="B26" s="198">
        <f>'Faturamento '!F46</f>
        <v>0</v>
      </c>
      <c r="C26" s="197">
        <v>0.1</v>
      </c>
      <c r="D26" s="192">
        <f t="shared" si="5"/>
        <v>0</v>
      </c>
      <c r="E26" s="198">
        <f t="shared" si="6"/>
        <v>0</v>
      </c>
      <c r="F26" s="199">
        <f>'Faturamento '!G46</f>
        <v>0</v>
      </c>
      <c r="G26" s="185"/>
      <c r="H26" s="200">
        <f t="shared" si="7"/>
        <v>0</v>
      </c>
      <c r="I26" s="195">
        <f t="shared" si="8"/>
        <v>0</v>
      </c>
      <c r="J26" s="78" t="s">
        <v>179</v>
      </c>
    </row>
    <row r="27" hidden="1"/>
    <row r="28" hidden="1"/>
    <row r="29" hidden="1"/>
    <row r="30" hidden="1">
      <c r="A30" s="54" t="s">
        <v>181</v>
      </c>
      <c r="B30" s="202" t="s">
        <v>182</v>
      </c>
      <c r="E30" s="203">
        <v>21890.98</v>
      </c>
      <c r="F30" s="204" t="str">
        <f>Jun!D63+Jun!K8+Jun!K30+Jun!K52+Jun!K74+Jun!R19+Jun!R41+Jun!R63+Jun!Y8+Jun!Y30+Jun!AF19+Jun!AF41+Jun!AF63+456</f>
        <v>#REF!</v>
      </c>
      <c r="H30" s="153" t="str">
        <f t="shared" ref="H30:H31" si="9">E30-F30</f>
        <v>#REF!</v>
      </c>
      <c r="J30" s="153" t="str">
        <f t="shared" ref="J30:J31" si="10">F30*10%</f>
        <v>#REF!</v>
      </c>
    </row>
    <row r="31" hidden="1">
      <c r="A31" s="54" t="s">
        <v>183</v>
      </c>
      <c r="B31" s="202" t="s">
        <v>184</v>
      </c>
      <c r="E31" s="203">
        <v>17090.24</v>
      </c>
      <c r="F31" s="204" t="str">
        <f>Jun!D74+Jun!K19+Jun!K41+Jun!K63+Jun!R8+Jun!R30+Jun!R52+Jun!R74+Jun!Y19+Jun!Y41+Jun!Y52+Jun!Y63+Jun!AF8+Jun!AF30+Jun!AF52+Jun!AF74</f>
        <v>#REF!</v>
      </c>
      <c r="H31" s="153" t="str">
        <f t="shared" si="9"/>
        <v>#REF!</v>
      </c>
      <c r="J31" s="153" t="str">
        <f t="shared" si="10"/>
        <v>#REF!</v>
      </c>
    </row>
    <row r="32" hidden="1"/>
    <row r="33" hidden="1">
      <c r="F33" s="153" t="str">
        <f>F30+F31</f>
        <v>#REF!</v>
      </c>
    </row>
    <row r="34" hidden="1">
      <c r="F34" s="153" t="str">
        <f>F25-F33</f>
        <v>#REF!</v>
      </c>
      <c r="G34" s="78" t="s">
        <v>185</v>
      </c>
    </row>
    <row r="35" hidden="1"/>
    <row r="36" hidden="1"/>
    <row r="37" hidden="1"/>
    <row r="38" ht="58.5" hidden="1" customHeight="1"/>
    <row r="39" hidden="1">
      <c r="A39" s="179" t="s">
        <v>186</v>
      </c>
    </row>
    <row r="40" hidden="1">
      <c r="A40" s="180"/>
      <c r="B40" s="180"/>
      <c r="C40" s="180"/>
      <c r="D40" s="180"/>
      <c r="E40" s="180"/>
      <c r="F40" s="180"/>
      <c r="G40" s="180"/>
      <c r="H40" s="180"/>
      <c r="I40" s="180"/>
    </row>
    <row r="41" hidden="1">
      <c r="A41" s="181" t="s">
        <v>66</v>
      </c>
      <c r="B41" s="182" t="s">
        <v>168</v>
      </c>
      <c r="C41" s="182" t="s">
        <v>169</v>
      </c>
      <c r="D41" s="183"/>
      <c r="E41" s="182" t="s">
        <v>170</v>
      </c>
      <c r="F41" s="184" t="s">
        <v>171</v>
      </c>
      <c r="G41" s="185"/>
      <c r="H41" s="186" t="s">
        <v>172</v>
      </c>
      <c r="I41" s="186" t="s">
        <v>173</v>
      </c>
    </row>
    <row r="42" hidden="1">
      <c r="A42" s="187"/>
      <c r="B42" s="180"/>
      <c r="C42" s="180"/>
      <c r="D42" s="180"/>
      <c r="E42" s="180"/>
      <c r="F42" s="180"/>
      <c r="G42" s="180"/>
      <c r="H42" s="180"/>
      <c r="I42" s="188"/>
    </row>
    <row r="43" hidden="1">
      <c r="A43" s="189" t="s">
        <v>174</v>
      </c>
      <c r="B43" s="198">
        <f>'Faturamento '!G40</f>
        <v>0</v>
      </c>
      <c r="C43" s="191">
        <v>0.1</v>
      </c>
      <c r="D43" s="192">
        <f t="shared" ref="D43:D49" si="11">B43*C43</f>
        <v>0</v>
      </c>
      <c r="E43" s="198">
        <f t="shared" ref="E43:E47" si="12">B43+D43</f>
        <v>0</v>
      </c>
      <c r="F43" s="199">
        <f>'Faturamento '!H40</f>
        <v>0</v>
      </c>
      <c r="G43" s="185"/>
      <c r="H43" s="205">
        <f t="shared" ref="H43:H49" si="13">F43-E43</f>
        <v>0</v>
      </c>
      <c r="I43" s="195">
        <f t="shared" ref="I43:I49" si="14">H43/3</f>
        <v>0</v>
      </c>
      <c r="J43" s="206" t="str">
        <f t="shared" ref="J43:J49" si="15">F43*100/E43</f>
        <v>#DIV/0!</v>
      </c>
    </row>
    <row r="44" hidden="1">
      <c r="A44" s="196" t="s">
        <v>175</v>
      </c>
      <c r="B44" s="198">
        <f>'Faturamento '!G41</f>
        <v>0</v>
      </c>
      <c r="C44" s="197">
        <v>0.1</v>
      </c>
      <c r="D44" s="192">
        <f t="shared" si="11"/>
        <v>0</v>
      </c>
      <c r="E44" s="198">
        <f t="shared" si="12"/>
        <v>0</v>
      </c>
      <c r="F44" s="199">
        <f>'Faturamento '!H41</f>
        <v>0</v>
      </c>
      <c r="G44" s="185"/>
      <c r="H44" s="205">
        <f t="shared" si="13"/>
        <v>0</v>
      </c>
      <c r="I44" s="195">
        <f t="shared" si="14"/>
        <v>0</v>
      </c>
      <c r="J44" s="206" t="str">
        <f t="shared" si="15"/>
        <v>#DIV/0!</v>
      </c>
    </row>
    <row r="45" hidden="1">
      <c r="A45" s="196" t="s">
        <v>176</v>
      </c>
      <c r="B45" s="198">
        <f>'Faturamento '!G42</f>
        <v>0</v>
      </c>
      <c r="C45" s="197">
        <v>0.1</v>
      </c>
      <c r="D45" s="192">
        <f t="shared" si="11"/>
        <v>0</v>
      </c>
      <c r="E45" s="198">
        <f t="shared" si="12"/>
        <v>0</v>
      </c>
      <c r="F45" s="199">
        <f>'Faturamento '!H42</f>
        <v>0</v>
      </c>
      <c r="G45" s="185"/>
      <c r="H45" s="205">
        <f t="shared" si="13"/>
        <v>0</v>
      </c>
      <c r="I45" s="195">
        <f t="shared" si="14"/>
        <v>0</v>
      </c>
      <c r="J45" s="206" t="str">
        <f t="shared" si="15"/>
        <v>#DIV/0!</v>
      </c>
    </row>
    <row r="46" hidden="1">
      <c r="A46" s="196" t="s">
        <v>177</v>
      </c>
      <c r="B46" s="198">
        <f>'Faturamento '!G43</f>
        <v>0</v>
      </c>
      <c r="C46" s="197">
        <v>0.1</v>
      </c>
      <c r="D46" s="192">
        <f t="shared" si="11"/>
        <v>0</v>
      </c>
      <c r="E46" s="198">
        <f t="shared" si="12"/>
        <v>0</v>
      </c>
      <c r="F46" s="199">
        <f>'Faturamento '!H43</f>
        <v>0</v>
      </c>
      <c r="G46" s="185"/>
      <c r="H46" s="205">
        <f t="shared" si="13"/>
        <v>0</v>
      </c>
      <c r="I46" s="195">
        <f t="shared" si="14"/>
        <v>0</v>
      </c>
      <c r="J46" s="206" t="str">
        <f t="shared" si="15"/>
        <v>#DIV/0!</v>
      </c>
    </row>
    <row r="47" hidden="1">
      <c r="A47" s="196" t="s">
        <v>71</v>
      </c>
      <c r="B47" s="198">
        <f>'Faturamento '!G45</f>
        <v>0</v>
      </c>
      <c r="C47" s="197">
        <v>0.1</v>
      </c>
      <c r="D47" s="192">
        <f t="shared" si="11"/>
        <v>0</v>
      </c>
      <c r="E47" s="198">
        <f t="shared" si="12"/>
        <v>0</v>
      </c>
      <c r="F47" s="199">
        <f>'Faturamento '!H45</f>
        <v>0</v>
      </c>
      <c r="G47" s="185"/>
      <c r="H47" s="205">
        <f t="shared" si="13"/>
        <v>0</v>
      </c>
      <c r="I47" s="195">
        <f t="shared" si="14"/>
        <v>0</v>
      </c>
      <c r="J47" s="206" t="str">
        <f t="shared" si="15"/>
        <v>#DIV/0!</v>
      </c>
    </row>
    <row r="48" hidden="1">
      <c r="A48" s="196" t="s">
        <v>22</v>
      </c>
      <c r="B48" s="198">
        <f>'Faturamento '!G47</f>
        <v>0</v>
      </c>
      <c r="C48" s="197">
        <v>0.1</v>
      </c>
      <c r="D48" s="192">
        <f t="shared" si="11"/>
        <v>0</v>
      </c>
      <c r="E48" s="198">
        <f>B48+D48+0.01</f>
        <v>0.01</v>
      </c>
      <c r="F48" s="199">
        <f>'Faturamento '!H47</f>
        <v>0</v>
      </c>
      <c r="G48" s="185"/>
      <c r="H48" s="205">
        <f t="shared" si="13"/>
        <v>-0.01</v>
      </c>
      <c r="I48" s="195">
        <f t="shared" si="14"/>
        <v>-0.003333333333</v>
      </c>
      <c r="J48" s="206">
        <f t="shared" si="15"/>
        <v>0</v>
      </c>
    </row>
    <row r="49" hidden="1">
      <c r="A49" s="196" t="s">
        <v>19</v>
      </c>
      <c r="B49" s="198">
        <f>'Faturamento '!G46</f>
        <v>0</v>
      </c>
      <c r="C49" s="197">
        <v>0.1</v>
      </c>
      <c r="D49" s="192">
        <f t="shared" si="11"/>
        <v>0</v>
      </c>
      <c r="E49" s="198">
        <f>B49+D49</f>
        <v>0</v>
      </c>
      <c r="F49" s="199">
        <f>'Faturamento '!H46</f>
        <v>0</v>
      </c>
      <c r="G49" s="185"/>
      <c r="H49" s="205">
        <f t="shared" si="13"/>
        <v>0</v>
      </c>
      <c r="I49" s="195">
        <f t="shared" si="14"/>
        <v>0</v>
      </c>
      <c r="J49" s="206" t="str">
        <f t="shared" si="15"/>
        <v>#DIV/0!</v>
      </c>
    </row>
    <row r="50" hidden="1">
      <c r="J50" s="206"/>
    </row>
    <row r="51" hidden="1">
      <c r="A51" s="196" t="s">
        <v>181</v>
      </c>
      <c r="B51" s="134" t="str">
        <f t="shared" ref="B51:B52" si="16">F30</f>
        <v>#REF!</v>
      </c>
      <c r="E51" s="153" t="str">
        <f t="shared" ref="E51:E52" si="17">#REF!</f>
        <v>#REF!</v>
      </c>
      <c r="F51" s="153" t="str">
        <f>Jul!D8+Jul!D30+Jul!D52+Jul!D74+Jul!K19+Jul!K41+Jul!K63+Jul!R8+Jul!R30+Jul!R63+Jul!R74+Jul!Y19+Jul!Y41+Jul!Y63+Jul!AF8+Jul!AF30</f>
        <v>#REF!</v>
      </c>
      <c r="H51" s="153" t="str">
        <f t="shared" ref="H51:H52" si="18">F51-E51</f>
        <v>#REF!</v>
      </c>
      <c r="J51" s="206" t="str">
        <f t="shared" ref="J51:J52" si="19">F51*100/E51</f>
        <v>#REF!</v>
      </c>
    </row>
    <row r="52" hidden="1">
      <c r="A52" s="196" t="s">
        <v>183</v>
      </c>
      <c r="B52" s="134" t="str">
        <f t="shared" si="16"/>
        <v>#REF!</v>
      </c>
      <c r="E52" s="153" t="str">
        <f t="shared" si="17"/>
        <v>#REF!</v>
      </c>
      <c r="F52" s="153" t="str">
        <f>Jul!D19+Jul!D41+Jul!D63+Jul!K8+Jul!K30+Jul!K52+Jul!K74+Jul!R19+Jul!R41+Jul!R52+Jul!Y8+Jul!Y30+Jul!Y52+Jul!AF19</f>
        <v>#REF!</v>
      </c>
      <c r="H52" s="153" t="str">
        <f t="shared" si="18"/>
        <v>#REF!</v>
      </c>
      <c r="J52" s="206" t="str">
        <f t="shared" si="19"/>
        <v>#REF!</v>
      </c>
    </row>
    <row r="53" hidden="1"/>
    <row r="54" hidden="1"/>
    <row r="55" hidden="1"/>
    <row r="56" hidden="1">
      <c r="A56" s="179" t="s">
        <v>187</v>
      </c>
    </row>
    <row r="57" hidden="1">
      <c r="A57" s="180"/>
      <c r="B57" s="180"/>
      <c r="C57" s="180"/>
      <c r="D57" s="180"/>
      <c r="E57" s="180"/>
      <c r="F57" s="180"/>
      <c r="G57" s="180"/>
      <c r="H57" s="180"/>
      <c r="I57" s="180"/>
    </row>
    <row r="58" hidden="1">
      <c r="A58" s="181" t="s">
        <v>66</v>
      </c>
      <c r="B58" s="182" t="s">
        <v>168</v>
      </c>
      <c r="C58" s="182" t="s">
        <v>169</v>
      </c>
      <c r="D58" s="183"/>
      <c r="E58" s="182" t="s">
        <v>170</v>
      </c>
      <c r="F58" s="184" t="s">
        <v>171</v>
      </c>
      <c r="G58" s="185"/>
      <c r="H58" s="186" t="s">
        <v>172</v>
      </c>
      <c r="I58" s="186" t="s">
        <v>173</v>
      </c>
    </row>
    <row r="59" hidden="1">
      <c r="A59" s="187"/>
      <c r="B59" s="180"/>
      <c r="C59" s="180"/>
      <c r="D59" s="180"/>
      <c r="E59" s="180"/>
      <c r="F59" s="180"/>
      <c r="G59" s="180"/>
      <c r="H59" s="180"/>
      <c r="I59" s="188"/>
    </row>
    <row r="60" hidden="1">
      <c r="A60" s="189" t="s">
        <v>174</v>
      </c>
      <c r="B60" s="198">
        <f>'Faturamento '!H40</f>
        <v>0</v>
      </c>
      <c r="C60" s="191">
        <v>0.1</v>
      </c>
      <c r="D60" s="192">
        <f t="shared" ref="D60:D63" si="20">B60*C60</f>
        <v>0</v>
      </c>
      <c r="E60" s="198">
        <f t="shared" ref="E60:E63" si="21">B60+D60</f>
        <v>0</v>
      </c>
      <c r="F60" s="199">
        <f>'Faturamento '!I40</f>
        <v>0</v>
      </c>
      <c r="G60" s="185"/>
      <c r="H60" s="205">
        <f t="shared" ref="H60:H67" si="22">F60-E60</f>
        <v>0</v>
      </c>
      <c r="I60" s="195">
        <f t="shared" ref="I60:I63" si="23">H60/3</f>
        <v>0</v>
      </c>
    </row>
    <row r="61" hidden="1">
      <c r="A61" s="196" t="s">
        <v>175</v>
      </c>
      <c r="B61" s="198">
        <f>'Faturamento '!H41</f>
        <v>0</v>
      </c>
      <c r="C61" s="197">
        <v>0.1</v>
      </c>
      <c r="D61" s="192">
        <f t="shared" si="20"/>
        <v>0</v>
      </c>
      <c r="E61" s="198">
        <f t="shared" si="21"/>
        <v>0</v>
      </c>
      <c r="F61" s="199">
        <f>'Faturamento '!I41</f>
        <v>0</v>
      </c>
      <c r="G61" s="185"/>
      <c r="H61" s="205">
        <f t="shared" si="22"/>
        <v>0</v>
      </c>
      <c r="I61" s="195">
        <f t="shared" si="23"/>
        <v>0</v>
      </c>
      <c r="J61" s="78">
        <v>197.54</v>
      </c>
    </row>
    <row r="62" hidden="1">
      <c r="A62" s="196" t="s">
        <v>176</v>
      </c>
      <c r="B62" s="198">
        <f>'Faturamento '!H42</f>
        <v>0</v>
      </c>
      <c r="C62" s="197">
        <v>0.05</v>
      </c>
      <c r="D62" s="192">
        <f t="shared" si="20"/>
        <v>0</v>
      </c>
      <c r="E62" s="198">
        <f t="shared" si="21"/>
        <v>0</v>
      </c>
      <c r="F62" s="199">
        <f>'Faturamento '!I42</f>
        <v>0</v>
      </c>
      <c r="G62" s="185"/>
      <c r="H62" s="205">
        <f t="shared" si="22"/>
        <v>0</v>
      </c>
      <c r="I62" s="195">
        <f t="shared" si="23"/>
        <v>0</v>
      </c>
    </row>
    <row r="63" hidden="1">
      <c r="A63" s="196" t="s">
        <v>177</v>
      </c>
      <c r="B63" s="198">
        <f>'Faturamento '!H43</f>
        <v>0</v>
      </c>
      <c r="C63" s="197">
        <v>0.1</v>
      </c>
      <c r="D63" s="192">
        <f t="shared" si="20"/>
        <v>0</v>
      </c>
      <c r="E63" s="198">
        <f t="shared" si="21"/>
        <v>0</v>
      </c>
      <c r="F63" s="199">
        <f>'Faturamento '!I43</f>
        <v>0</v>
      </c>
      <c r="G63" s="185"/>
      <c r="H63" s="205">
        <f t="shared" si="22"/>
        <v>0</v>
      </c>
      <c r="I63" s="195">
        <f t="shared" si="23"/>
        <v>0</v>
      </c>
    </row>
    <row r="64" hidden="1">
      <c r="A64" s="196" t="s">
        <v>188</v>
      </c>
      <c r="B64" s="198"/>
      <c r="C64" s="197"/>
      <c r="D64" s="192"/>
      <c r="E64" s="198">
        <v>5000.0</v>
      </c>
      <c r="F64" s="199">
        <f>'Faturamento '!I44</f>
        <v>0</v>
      </c>
      <c r="G64" s="185"/>
      <c r="H64" s="205">
        <f t="shared" si="22"/>
        <v>-5000</v>
      </c>
      <c r="I64" s="195"/>
    </row>
    <row r="65" hidden="1">
      <c r="A65" s="196" t="s">
        <v>71</v>
      </c>
      <c r="B65" s="198">
        <f>'Faturamento '!H45</f>
        <v>0</v>
      </c>
      <c r="C65" s="197">
        <v>0.1</v>
      </c>
      <c r="D65" s="192">
        <f t="shared" ref="D65:D67" si="24">B65*C65</f>
        <v>0</v>
      </c>
      <c r="E65" s="198">
        <f>B65+D65</f>
        <v>0</v>
      </c>
      <c r="F65" s="199">
        <f>'Faturamento '!I45</f>
        <v>0</v>
      </c>
      <c r="G65" s="185"/>
      <c r="H65" s="205">
        <f t="shared" si="22"/>
        <v>0</v>
      </c>
      <c r="I65" s="195">
        <f t="shared" ref="I65:I67" si="25">H65/3</f>
        <v>0</v>
      </c>
      <c r="J65" s="78">
        <v>182.41</v>
      </c>
    </row>
    <row r="66" hidden="1">
      <c r="A66" s="196" t="s">
        <v>22</v>
      </c>
      <c r="B66" s="198">
        <f>'Faturamento '!H47</f>
        <v>0</v>
      </c>
      <c r="C66" s="197">
        <v>0.05</v>
      </c>
      <c r="D66" s="192">
        <f t="shared" si="24"/>
        <v>0</v>
      </c>
      <c r="E66" s="198">
        <f>B66+D66+0.01</f>
        <v>0.01</v>
      </c>
      <c r="F66" s="199">
        <f>'Faturamento '!I47</f>
        <v>0</v>
      </c>
      <c r="G66" s="185"/>
      <c r="H66" s="205">
        <f t="shared" si="22"/>
        <v>-0.01</v>
      </c>
      <c r="I66" s="195">
        <f t="shared" si="25"/>
        <v>-0.003333333333</v>
      </c>
    </row>
    <row r="67" hidden="1">
      <c r="A67" s="196" t="s">
        <v>19</v>
      </c>
      <c r="B67" s="198">
        <f>'Faturamento '!H46</f>
        <v>0</v>
      </c>
      <c r="C67" s="197">
        <v>0.1</v>
      </c>
      <c r="D67" s="192">
        <f t="shared" si="24"/>
        <v>0</v>
      </c>
      <c r="E67" s="198">
        <f>B67+D67</f>
        <v>0</v>
      </c>
      <c r="F67" s="199">
        <f>'Faturamento '!I46</f>
        <v>0</v>
      </c>
      <c r="G67" s="185"/>
      <c r="H67" s="205">
        <f t="shared" si="22"/>
        <v>0</v>
      </c>
      <c r="I67" s="195">
        <f t="shared" si="25"/>
        <v>0</v>
      </c>
    </row>
    <row r="68" hidden="1"/>
    <row r="69" hidden="1">
      <c r="A69" s="196" t="s">
        <v>181</v>
      </c>
      <c r="B69" s="207">
        <v>29000.0</v>
      </c>
      <c r="C69" s="208">
        <v>0.0</v>
      </c>
      <c r="D69" s="209"/>
      <c r="E69" s="210">
        <f t="shared" ref="E69:E70" si="26">B69*C69</f>
        <v>0</v>
      </c>
      <c r="F69" s="210">
        <f t="shared" ref="F69:F70" si="27">B69+E69</f>
        <v>29000</v>
      </c>
      <c r="G69" s="153" t="str">
        <f t="shared" ref="G69:G70" si="28">#REF!</f>
        <v>#REF!</v>
      </c>
      <c r="H69" s="153" t="str">
        <f t="shared" ref="H69:H70" si="29">G69-F69</f>
        <v>#REF!</v>
      </c>
      <c r="J69" s="78">
        <v>288.69</v>
      </c>
    </row>
    <row r="70" hidden="1">
      <c r="A70" s="196" t="s">
        <v>183</v>
      </c>
      <c r="B70" s="207">
        <v>29000.0</v>
      </c>
      <c r="C70" s="208">
        <v>0.0</v>
      </c>
      <c r="D70" s="209"/>
      <c r="E70" s="210">
        <f t="shared" si="26"/>
        <v>0</v>
      </c>
      <c r="F70" s="210">
        <f t="shared" si="27"/>
        <v>29000</v>
      </c>
      <c r="G70" s="153" t="str">
        <f t="shared" si="28"/>
        <v>#REF!</v>
      </c>
      <c r="H70" s="153" t="str">
        <f t="shared" si="29"/>
        <v>#REF!</v>
      </c>
    </row>
    <row r="71" hidden="1"/>
    <row r="72" hidden="1"/>
    <row r="73" hidden="1">
      <c r="F73" s="206"/>
    </row>
    <row r="74" hidden="1">
      <c r="F74" s="206"/>
    </row>
    <row r="75" hidden="1">
      <c r="A75" s="179" t="s">
        <v>189</v>
      </c>
    </row>
    <row r="76" hidden="1">
      <c r="A76" s="180"/>
      <c r="B76" s="180"/>
      <c r="C76" s="180"/>
      <c r="D76" s="180"/>
      <c r="E76" s="180"/>
      <c r="F76" s="180"/>
      <c r="G76" s="180"/>
      <c r="H76" s="180"/>
      <c r="I76" s="180"/>
    </row>
    <row r="77" hidden="1">
      <c r="A77" s="181" t="s">
        <v>66</v>
      </c>
      <c r="B77" s="182" t="s">
        <v>168</v>
      </c>
      <c r="C77" s="182" t="s">
        <v>169</v>
      </c>
      <c r="D77" s="183"/>
      <c r="E77" s="211" t="s">
        <v>190</v>
      </c>
      <c r="F77" s="182" t="s">
        <v>170</v>
      </c>
      <c r="G77" s="184" t="s">
        <v>171</v>
      </c>
      <c r="H77" s="185"/>
      <c r="I77" s="186" t="s">
        <v>172</v>
      </c>
    </row>
    <row r="78" hidden="1">
      <c r="A78" s="187"/>
      <c r="B78" s="180"/>
      <c r="C78" s="180"/>
      <c r="D78" s="180"/>
      <c r="E78" s="180"/>
      <c r="F78" s="180"/>
      <c r="G78" s="180"/>
      <c r="H78" s="180"/>
      <c r="I78" s="180"/>
    </row>
    <row r="79" hidden="1">
      <c r="A79" s="189" t="s">
        <v>174</v>
      </c>
      <c r="B79" s="198">
        <f>'Faturamento '!I40</f>
        <v>0</v>
      </c>
      <c r="C79" s="191">
        <v>0.05</v>
      </c>
      <c r="D79" s="192">
        <f t="shared" ref="D79:D82" si="30">B79*C79</f>
        <v>0</v>
      </c>
      <c r="E79" s="212">
        <f t="shared" ref="E79:E86" si="31">B79*C79</f>
        <v>0</v>
      </c>
      <c r="F79" s="198">
        <f t="shared" ref="F79:F86" si="32">B79+E79</f>
        <v>0</v>
      </c>
      <c r="G79" s="199">
        <f>'Faturamento '!J40</f>
        <v>0</v>
      </c>
      <c r="H79" s="185"/>
      <c r="I79" s="205">
        <f t="shared" ref="I79:I86" si="33">G79-F79</f>
        <v>0</v>
      </c>
      <c r="J79" s="213" t="str">
        <f t="shared" ref="J79:J86" si="34">G79*100/F79</f>
        <v>#DIV/0!</v>
      </c>
      <c r="K79" s="204"/>
    </row>
    <row r="80" hidden="1">
      <c r="A80" s="196" t="s">
        <v>175</v>
      </c>
      <c r="B80" s="198">
        <f>'Faturamento '!I41</f>
        <v>0</v>
      </c>
      <c r="C80" s="197">
        <v>0.05</v>
      </c>
      <c r="D80" s="192">
        <f t="shared" si="30"/>
        <v>0</v>
      </c>
      <c r="E80" s="212">
        <f t="shared" si="31"/>
        <v>0</v>
      </c>
      <c r="F80" s="198">
        <f t="shared" si="32"/>
        <v>0</v>
      </c>
      <c r="G80" s="199">
        <f>'Faturamento '!J41</f>
        <v>0</v>
      </c>
      <c r="H80" s="185"/>
      <c r="I80" s="205">
        <f t="shared" si="33"/>
        <v>0</v>
      </c>
      <c r="J80" s="213" t="str">
        <f t="shared" si="34"/>
        <v>#DIV/0!</v>
      </c>
      <c r="K80" s="204"/>
    </row>
    <row r="81" hidden="1">
      <c r="A81" s="196" t="s">
        <v>176</v>
      </c>
      <c r="B81" s="198">
        <f>'Faturamento '!I42</f>
        <v>0</v>
      </c>
      <c r="C81" s="197">
        <v>0.05</v>
      </c>
      <c r="D81" s="192">
        <f t="shared" si="30"/>
        <v>0</v>
      </c>
      <c r="E81" s="212">
        <f t="shared" si="31"/>
        <v>0</v>
      </c>
      <c r="F81" s="198">
        <f t="shared" si="32"/>
        <v>0</v>
      </c>
      <c r="G81" s="199">
        <f>'Faturamento '!J42</f>
        <v>0</v>
      </c>
      <c r="H81" s="185"/>
      <c r="I81" s="205">
        <f t="shared" si="33"/>
        <v>0</v>
      </c>
      <c r="J81" s="214" t="str">
        <f t="shared" si="34"/>
        <v>#DIV/0!</v>
      </c>
      <c r="K81" s="215">
        <v>373.48</v>
      </c>
    </row>
    <row r="82" hidden="1">
      <c r="A82" s="196" t="s">
        <v>177</v>
      </c>
      <c r="B82" s="198">
        <f>'Faturamento '!I43</f>
        <v>0</v>
      </c>
      <c r="C82" s="197">
        <v>0.1</v>
      </c>
      <c r="D82" s="192">
        <f t="shared" si="30"/>
        <v>0</v>
      </c>
      <c r="E82" s="212">
        <f t="shared" si="31"/>
        <v>0</v>
      </c>
      <c r="F82" s="198">
        <f t="shared" si="32"/>
        <v>0</v>
      </c>
      <c r="G82" s="199">
        <f>'Faturamento '!J43</f>
        <v>0</v>
      </c>
      <c r="H82" s="185"/>
      <c r="I82" s="205">
        <f t="shared" si="33"/>
        <v>0</v>
      </c>
      <c r="J82" s="216" t="str">
        <f t="shared" si="34"/>
        <v>#DIV/0!</v>
      </c>
      <c r="K82" s="215">
        <v>144.18</v>
      </c>
    </row>
    <row r="83" hidden="1">
      <c r="A83" s="196" t="s">
        <v>188</v>
      </c>
      <c r="B83" s="198">
        <f>'Faturamento '!I44</f>
        <v>0</v>
      </c>
      <c r="C83" s="197">
        <v>0.35</v>
      </c>
      <c r="D83" s="192"/>
      <c r="E83" s="212">
        <f t="shared" si="31"/>
        <v>0</v>
      </c>
      <c r="F83" s="198">
        <f t="shared" si="32"/>
        <v>0</v>
      </c>
      <c r="G83" s="199">
        <f>'Faturamento '!J44</f>
        <v>0</v>
      </c>
      <c r="H83" s="185"/>
      <c r="I83" s="205">
        <f t="shared" si="33"/>
        <v>0</v>
      </c>
      <c r="J83" s="216" t="str">
        <f t="shared" si="34"/>
        <v>#DIV/0!</v>
      </c>
      <c r="K83" s="215">
        <v>86.95</v>
      </c>
    </row>
    <row r="84" hidden="1">
      <c r="A84" s="196" t="s">
        <v>71</v>
      </c>
      <c r="B84" s="198">
        <f>'Faturamento '!I45</f>
        <v>0</v>
      </c>
      <c r="C84" s="197">
        <v>0.05</v>
      </c>
      <c r="D84" s="192">
        <f t="shared" ref="D84:D86" si="35">B84*C84</f>
        <v>0</v>
      </c>
      <c r="E84" s="212">
        <f t="shared" si="31"/>
        <v>0</v>
      </c>
      <c r="F84" s="198">
        <f t="shared" si="32"/>
        <v>0</v>
      </c>
      <c r="G84" s="199">
        <f>'Faturamento '!J45</f>
        <v>0</v>
      </c>
      <c r="H84" s="185"/>
      <c r="I84" s="205">
        <f t="shared" si="33"/>
        <v>0</v>
      </c>
      <c r="J84" s="213" t="str">
        <f t="shared" si="34"/>
        <v>#DIV/0!</v>
      </c>
      <c r="K84" s="204"/>
    </row>
    <row r="85" hidden="1">
      <c r="A85" s="196" t="s">
        <v>22</v>
      </c>
      <c r="B85" s="198">
        <f>'Faturamento '!I47</f>
        <v>0</v>
      </c>
      <c r="C85" s="197">
        <v>0.05</v>
      </c>
      <c r="D85" s="192">
        <f t="shared" si="35"/>
        <v>0</v>
      </c>
      <c r="E85" s="212">
        <f t="shared" si="31"/>
        <v>0</v>
      </c>
      <c r="F85" s="198">
        <f t="shared" si="32"/>
        <v>0</v>
      </c>
      <c r="G85" s="199">
        <f>'Faturamento '!J47</f>
        <v>0</v>
      </c>
      <c r="H85" s="185"/>
      <c r="I85" s="205">
        <f t="shared" si="33"/>
        <v>0</v>
      </c>
      <c r="J85" s="214" t="str">
        <f t="shared" si="34"/>
        <v>#DIV/0!</v>
      </c>
      <c r="K85" s="215">
        <v>531.45</v>
      </c>
      <c r="L85" s="78">
        <v>2.0</v>
      </c>
      <c r="M85" s="134">
        <f>K85/L85</f>
        <v>265.725</v>
      </c>
    </row>
    <row r="86" hidden="1">
      <c r="A86" s="196" t="s">
        <v>19</v>
      </c>
      <c r="B86" s="198">
        <f>'Faturamento '!I46</f>
        <v>0</v>
      </c>
      <c r="C86" s="197">
        <v>0.1</v>
      </c>
      <c r="D86" s="192">
        <f t="shared" si="35"/>
        <v>0</v>
      </c>
      <c r="E86" s="212">
        <f t="shared" si="31"/>
        <v>0</v>
      </c>
      <c r="F86" s="198">
        <f t="shared" si="32"/>
        <v>0</v>
      </c>
      <c r="G86" s="199">
        <f>'Faturamento '!J46</f>
        <v>0</v>
      </c>
      <c r="H86" s="185"/>
      <c r="I86" s="205">
        <f t="shared" si="33"/>
        <v>0</v>
      </c>
      <c r="J86" s="213" t="str">
        <f t="shared" si="34"/>
        <v>#DIV/0!</v>
      </c>
      <c r="K86" s="204"/>
    </row>
    <row r="87" hidden="1"/>
    <row r="89">
      <c r="A89" s="179" t="s">
        <v>191</v>
      </c>
    </row>
    <row r="90">
      <c r="A90" s="180"/>
      <c r="B90" s="180"/>
      <c r="C90" s="180"/>
      <c r="D90" s="180"/>
      <c r="E90" s="180"/>
      <c r="F90" s="180"/>
      <c r="G90" s="180"/>
      <c r="H90" s="180"/>
      <c r="I90" s="180"/>
    </row>
    <row r="91">
      <c r="A91" s="181" t="s">
        <v>66</v>
      </c>
      <c r="B91" s="182" t="s">
        <v>168</v>
      </c>
      <c r="C91" s="182" t="s">
        <v>169</v>
      </c>
      <c r="D91" s="183"/>
      <c r="E91" s="211" t="s">
        <v>190</v>
      </c>
      <c r="F91" s="182" t="s">
        <v>170</v>
      </c>
      <c r="G91" s="184" t="s">
        <v>171</v>
      </c>
      <c r="H91" s="185"/>
      <c r="I91" s="186" t="s">
        <v>172</v>
      </c>
      <c r="L91" s="217" t="s">
        <v>192</v>
      </c>
    </row>
    <row r="92">
      <c r="A92" s="187"/>
      <c r="B92" s="180"/>
      <c r="C92" s="180"/>
      <c r="D92" s="180"/>
      <c r="E92" s="180"/>
      <c r="F92" s="180"/>
      <c r="G92" s="180"/>
      <c r="H92" s="180"/>
      <c r="I92" s="180"/>
    </row>
    <row r="93">
      <c r="A93" s="189" t="s">
        <v>174</v>
      </c>
      <c r="B93" s="198">
        <f>'Faturamento '!J40</f>
        <v>0</v>
      </c>
      <c r="C93" s="191">
        <v>0.05</v>
      </c>
      <c r="D93" s="192">
        <f t="shared" ref="D93:D96" si="36">B93*C93</f>
        <v>0</v>
      </c>
      <c r="E93" s="212">
        <f t="shared" ref="E93:E100" si="37">B93*C93</f>
        <v>0</v>
      </c>
      <c r="F93" s="198">
        <f t="shared" ref="F93:F100" si="38">B93+E93</f>
        <v>0</v>
      </c>
      <c r="G93" s="199">
        <f>'Faturamento '!K40</f>
        <v>0</v>
      </c>
      <c r="H93" s="185"/>
      <c r="I93" s="205">
        <f t="shared" ref="I93:I100" si="39">G93-F93</f>
        <v>0</v>
      </c>
      <c r="J93" s="218">
        <v>1.0</v>
      </c>
      <c r="K93" s="204">
        <f t="shared" ref="K93:K94" si="40">I93/J93</f>
        <v>0</v>
      </c>
      <c r="L93" s="219" t="str">
        <f t="shared" ref="L93:L100" si="41">G93*100/F93</f>
        <v>#DIV/0!</v>
      </c>
      <c r="M93" s="220">
        <f t="shared" ref="M93:M100" si="42">G93*1%</f>
        <v>0</v>
      </c>
      <c r="N93" s="221"/>
      <c r="P93" s="189" t="s">
        <v>174</v>
      </c>
    </row>
    <row r="94">
      <c r="A94" s="196" t="s">
        <v>175</v>
      </c>
      <c r="B94" s="198">
        <f>'Faturamento '!J41</f>
        <v>0</v>
      </c>
      <c r="C94" s="197">
        <v>0.05</v>
      </c>
      <c r="D94" s="192">
        <f t="shared" si="36"/>
        <v>0</v>
      </c>
      <c r="E94" s="212">
        <f t="shared" si="37"/>
        <v>0</v>
      </c>
      <c r="F94" s="198">
        <f t="shared" si="38"/>
        <v>0</v>
      </c>
      <c r="G94" s="199">
        <f>'Faturamento '!K41</f>
        <v>0</v>
      </c>
      <c r="H94" s="185"/>
      <c r="I94" s="205">
        <f t="shared" si="39"/>
        <v>0</v>
      </c>
      <c r="J94" s="218">
        <v>1.0</v>
      </c>
      <c r="K94" s="204">
        <f t="shared" si="40"/>
        <v>0</v>
      </c>
      <c r="L94" s="219" t="str">
        <f t="shared" si="41"/>
        <v>#DIV/0!</v>
      </c>
      <c r="M94" s="222">
        <f t="shared" si="42"/>
        <v>0</v>
      </c>
      <c r="N94" s="223"/>
      <c r="O94" s="215"/>
      <c r="P94" s="196" t="s">
        <v>175</v>
      </c>
    </row>
    <row r="95">
      <c r="A95" s="196" t="s">
        <v>176</v>
      </c>
      <c r="B95" s="198">
        <f>'Faturamento '!J42</f>
        <v>0</v>
      </c>
      <c r="C95" s="197">
        <v>0.05</v>
      </c>
      <c r="D95" s="192">
        <f t="shared" si="36"/>
        <v>0</v>
      </c>
      <c r="E95" s="212">
        <f t="shared" si="37"/>
        <v>0</v>
      </c>
      <c r="F95" s="198">
        <f t="shared" si="38"/>
        <v>0</v>
      </c>
      <c r="G95" s="199">
        <f>'Faturamento '!K42</f>
        <v>0</v>
      </c>
      <c r="H95" s="185"/>
      <c r="I95" s="224">
        <f t="shared" si="39"/>
        <v>0</v>
      </c>
      <c r="J95" s="225"/>
      <c r="K95" s="204"/>
      <c r="L95" s="219" t="str">
        <f t="shared" si="41"/>
        <v>#DIV/0!</v>
      </c>
      <c r="M95" s="222">
        <f t="shared" si="42"/>
        <v>0</v>
      </c>
      <c r="N95" s="223"/>
      <c r="O95" s="215"/>
      <c r="P95" s="196" t="s">
        <v>176</v>
      </c>
    </row>
    <row r="96">
      <c r="A96" s="196" t="s">
        <v>177</v>
      </c>
      <c r="B96" s="198">
        <f>'Faturamento '!J43</f>
        <v>0</v>
      </c>
      <c r="C96" s="197">
        <v>0.1</v>
      </c>
      <c r="D96" s="192">
        <f t="shared" si="36"/>
        <v>0</v>
      </c>
      <c r="E96" s="212">
        <f t="shared" si="37"/>
        <v>0</v>
      </c>
      <c r="F96" s="198">
        <f t="shared" si="38"/>
        <v>0</v>
      </c>
      <c r="G96" s="199">
        <f>'Faturamento '!K43</f>
        <v>0</v>
      </c>
      <c r="H96" s="185"/>
      <c r="I96" s="205">
        <f t="shared" si="39"/>
        <v>0</v>
      </c>
      <c r="J96" s="218">
        <v>1.0</v>
      </c>
      <c r="K96" s="204">
        <f>I96/J96</f>
        <v>0</v>
      </c>
      <c r="L96" s="219" t="str">
        <f t="shared" si="41"/>
        <v>#DIV/0!</v>
      </c>
      <c r="M96" s="220">
        <f t="shared" si="42"/>
        <v>0</v>
      </c>
      <c r="N96" s="221"/>
      <c r="O96" s="204"/>
      <c r="P96" s="196" t="s">
        <v>177</v>
      </c>
    </row>
    <row r="97">
      <c r="A97" s="196" t="s">
        <v>188</v>
      </c>
      <c r="B97" s="198">
        <f>'Faturamento '!J44</f>
        <v>0</v>
      </c>
      <c r="C97" s="197">
        <v>0.35</v>
      </c>
      <c r="D97" s="192"/>
      <c r="E97" s="212">
        <f t="shared" si="37"/>
        <v>0</v>
      </c>
      <c r="F97" s="198">
        <f t="shared" si="38"/>
        <v>0</v>
      </c>
      <c r="G97" s="199">
        <f>'Faturamento '!K44</f>
        <v>0</v>
      </c>
      <c r="H97" s="185"/>
      <c r="I97" s="224">
        <f t="shared" si="39"/>
        <v>0</v>
      </c>
      <c r="J97" s="225"/>
      <c r="K97" s="204"/>
      <c r="L97" s="219" t="str">
        <f t="shared" si="41"/>
        <v>#DIV/0!</v>
      </c>
      <c r="M97" s="222">
        <f t="shared" si="42"/>
        <v>0</v>
      </c>
      <c r="N97" s="223"/>
      <c r="O97" s="215">
        <v>120.76</v>
      </c>
      <c r="P97" s="196" t="s">
        <v>188</v>
      </c>
      <c r="R97" s="78">
        <v>20.8</v>
      </c>
    </row>
    <row r="98">
      <c r="A98" s="196" t="s">
        <v>71</v>
      </c>
      <c r="B98" s="198">
        <f>'Faturamento '!J45</f>
        <v>0</v>
      </c>
      <c r="C98" s="197">
        <v>0.05</v>
      </c>
      <c r="D98" s="192">
        <f t="shared" ref="D98:D100" si="43">B98*C98</f>
        <v>0</v>
      </c>
      <c r="E98" s="212">
        <f t="shared" si="37"/>
        <v>0</v>
      </c>
      <c r="F98" s="198">
        <f t="shared" si="38"/>
        <v>0</v>
      </c>
      <c r="G98" s="199">
        <f>'Faturamento '!K45</f>
        <v>0</v>
      </c>
      <c r="H98" s="185"/>
      <c r="I98" s="224">
        <f t="shared" si="39"/>
        <v>0</v>
      </c>
      <c r="J98" s="225"/>
      <c r="K98" s="204"/>
      <c r="L98" s="219" t="str">
        <f t="shared" si="41"/>
        <v>#DIV/0!</v>
      </c>
      <c r="M98" s="222">
        <f t="shared" si="42"/>
        <v>0</v>
      </c>
      <c r="N98" s="223"/>
      <c r="O98" s="226">
        <v>187.84</v>
      </c>
      <c r="P98" s="196" t="s">
        <v>71</v>
      </c>
      <c r="R98" s="78">
        <v>57.84</v>
      </c>
    </row>
    <row r="99">
      <c r="A99" s="196" t="s">
        <v>22</v>
      </c>
      <c r="B99" s="198">
        <f>'Faturamento '!J47</f>
        <v>0</v>
      </c>
      <c r="C99" s="197">
        <v>0.05</v>
      </c>
      <c r="D99" s="192">
        <f t="shared" si="43"/>
        <v>0</v>
      </c>
      <c r="E99" s="212">
        <f t="shared" si="37"/>
        <v>0</v>
      </c>
      <c r="F99" s="198">
        <f t="shared" si="38"/>
        <v>0</v>
      </c>
      <c r="G99" s="199">
        <f>'Faturamento '!K47</f>
        <v>0</v>
      </c>
      <c r="H99" s="185"/>
      <c r="I99" s="205">
        <f t="shared" si="39"/>
        <v>0</v>
      </c>
      <c r="J99" s="218">
        <v>1.0</v>
      </c>
      <c r="K99" s="204">
        <f>I99/J99</f>
        <v>0</v>
      </c>
      <c r="L99" s="219" t="str">
        <f t="shared" si="41"/>
        <v>#DIV/0!</v>
      </c>
      <c r="M99" s="222">
        <f t="shared" si="42"/>
        <v>0</v>
      </c>
      <c r="N99" s="227">
        <v>2.0</v>
      </c>
      <c r="O99" s="226">
        <v>33.75</v>
      </c>
      <c r="P99" s="196" t="s">
        <v>22</v>
      </c>
    </row>
    <row r="100">
      <c r="A100" s="196" t="s">
        <v>19</v>
      </c>
      <c r="B100" s="198">
        <f>'Faturamento '!J46</f>
        <v>0</v>
      </c>
      <c r="C100" s="197">
        <v>0.1</v>
      </c>
      <c r="D100" s="192">
        <f t="shared" si="43"/>
        <v>0</v>
      </c>
      <c r="E100" s="212">
        <f t="shared" si="37"/>
        <v>0</v>
      </c>
      <c r="F100" s="198">
        <f t="shared" si="38"/>
        <v>0</v>
      </c>
      <c r="G100" s="199">
        <f>'Faturamento '!K46</f>
        <v>0</v>
      </c>
      <c r="H100" s="185"/>
      <c r="I100" s="224">
        <f t="shared" si="39"/>
        <v>0</v>
      </c>
      <c r="K100" s="204"/>
      <c r="L100" s="219" t="str">
        <f t="shared" si="41"/>
        <v>#DIV/0!</v>
      </c>
      <c r="M100" s="222">
        <f t="shared" si="42"/>
        <v>0</v>
      </c>
      <c r="N100" s="223"/>
      <c r="O100" s="226">
        <v>0.0</v>
      </c>
      <c r="P100" s="196" t="s">
        <v>19</v>
      </c>
      <c r="R100" s="153">
        <f>SUM(R97:R98)</f>
        <v>78.64</v>
      </c>
    </row>
    <row r="101">
      <c r="O101" s="228">
        <f>SUM(O94:O100)</f>
        <v>342.35</v>
      </c>
    </row>
    <row r="102">
      <c r="J102" s="78"/>
    </row>
    <row r="103">
      <c r="H103" s="206"/>
      <c r="I103" s="206"/>
      <c r="L103" s="134">
        <f>M99/2</f>
        <v>0</v>
      </c>
      <c r="M103" s="134">
        <f>L103-O99</f>
        <v>-33.75</v>
      </c>
    </row>
    <row r="104">
      <c r="A104" s="179" t="s">
        <v>193</v>
      </c>
    </row>
    <row r="105">
      <c r="A105" s="180"/>
      <c r="B105" s="180"/>
      <c r="C105" s="180"/>
      <c r="D105" s="180"/>
      <c r="E105" s="180"/>
      <c r="F105" s="180"/>
      <c r="G105" s="180"/>
      <c r="H105" s="180"/>
      <c r="I105" s="180"/>
    </row>
    <row r="106">
      <c r="A106" s="189" t="s">
        <v>66</v>
      </c>
      <c r="B106" s="229" t="s">
        <v>168</v>
      </c>
      <c r="C106" s="229" t="s">
        <v>169</v>
      </c>
      <c r="D106" s="230"/>
      <c r="E106" s="217" t="s">
        <v>190</v>
      </c>
      <c r="F106" s="229" t="s">
        <v>170</v>
      </c>
      <c r="G106" s="231" t="s">
        <v>171</v>
      </c>
      <c r="H106" s="185"/>
      <c r="I106" s="217" t="s">
        <v>172</v>
      </c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</row>
    <row r="107">
      <c r="A107" s="187"/>
      <c r="B107" s="180"/>
      <c r="C107" s="180"/>
      <c r="D107" s="180"/>
      <c r="E107" s="180"/>
      <c r="F107" s="180"/>
      <c r="G107" s="180"/>
      <c r="H107" s="180"/>
      <c r="I107" s="180"/>
    </row>
    <row r="108">
      <c r="A108" s="189" t="s">
        <v>174</v>
      </c>
      <c r="B108" s="198">
        <f>'Faturamento '!K40</f>
        <v>0</v>
      </c>
      <c r="C108" s="191">
        <v>0.1246</v>
      </c>
      <c r="D108" s="192">
        <f t="shared" ref="D108:D115" si="44">F108-B108</f>
        <v>15000</v>
      </c>
      <c r="E108" s="212">
        <f t="shared" ref="E108:E115" si="45">D108</f>
        <v>15000</v>
      </c>
      <c r="F108" s="212">
        <v>15000.0</v>
      </c>
      <c r="G108" s="199">
        <f>'Faturamento '!L40</f>
        <v>0</v>
      </c>
      <c r="H108" s="185"/>
      <c r="I108" s="212">
        <f t="shared" ref="I108:I115" si="46">G108-F108</f>
        <v>-15000</v>
      </c>
      <c r="J108" s="233">
        <f t="shared" ref="J108:J115" si="47">G108*100/F108</f>
        <v>0</v>
      </c>
      <c r="K108" s="76"/>
    </row>
    <row r="109">
      <c r="A109" s="196" t="s">
        <v>175</v>
      </c>
      <c r="B109" s="198">
        <f>'Faturamento '!K41</f>
        <v>0</v>
      </c>
      <c r="C109" s="197">
        <v>0.02</v>
      </c>
      <c r="D109" s="192">
        <f t="shared" si="44"/>
        <v>18000</v>
      </c>
      <c r="E109" s="212">
        <f t="shared" si="45"/>
        <v>18000</v>
      </c>
      <c r="F109" s="212">
        <v>18000.0</v>
      </c>
      <c r="G109" s="199">
        <f>'Faturamento '!L41</f>
        <v>0</v>
      </c>
      <c r="H109" s="185"/>
      <c r="I109" s="212">
        <f t="shared" si="46"/>
        <v>-18000</v>
      </c>
      <c r="J109" s="234">
        <f t="shared" si="47"/>
        <v>0</v>
      </c>
      <c r="K109" s="235" t="s">
        <v>117</v>
      </c>
      <c r="L109" s="78">
        <v>17.0</v>
      </c>
      <c r="M109" s="134">
        <f>L112/K112*L109</f>
        <v>222.5186667</v>
      </c>
    </row>
    <row r="110">
      <c r="A110" s="196" t="s">
        <v>176</v>
      </c>
      <c r="B110" s="198">
        <f>'Faturamento '!K42</f>
        <v>0</v>
      </c>
      <c r="C110" s="197">
        <v>0.01</v>
      </c>
      <c r="D110" s="192">
        <f t="shared" si="44"/>
        <v>43000</v>
      </c>
      <c r="E110" s="212">
        <f t="shared" si="45"/>
        <v>43000</v>
      </c>
      <c r="F110" s="212">
        <v>43000.0</v>
      </c>
      <c r="G110" s="199">
        <f>'Faturamento '!L42</f>
        <v>0</v>
      </c>
      <c r="H110" s="185"/>
      <c r="I110" s="212">
        <f t="shared" si="46"/>
        <v>-43000</v>
      </c>
      <c r="J110" s="236">
        <f t="shared" si="47"/>
        <v>0</v>
      </c>
      <c r="K110" s="235" t="s">
        <v>185</v>
      </c>
      <c r="L110" s="153">
        <f>30-L109</f>
        <v>13</v>
      </c>
      <c r="M110" s="134">
        <f>L112/30*L110</f>
        <v>170.1613333</v>
      </c>
    </row>
    <row r="111">
      <c r="A111" s="196" t="s">
        <v>177</v>
      </c>
      <c r="B111" s="198">
        <f>'Faturamento '!K43</f>
        <v>0</v>
      </c>
      <c r="C111" s="197">
        <v>0.2</v>
      </c>
      <c r="D111" s="192">
        <f t="shared" si="44"/>
        <v>14000</v>
      </c>
      <c r="E111" s="212">
        <f t="shared" si="45"/>
        <v>14000</v>
      </c>
      <c r="F111" s="212">
        <v>14000.0</v>
      </c>
      <c r="G111" s="199">
        <f>'Faturamento '!L43</f>
        <v>0</v>
      </c>
      <c r="H111" s="185"/>
      <c r="I111" s="212">
        <f t="shared" si="46"/>
        <v>-14000</v>
      </c>
      <c r="J111" s="233">
        <f t="shared" si="47"/>
        <v>0</v>
      </c>
      <c r="K111" s="76"/>
    </row>
    <row r="112">
      <c r="A112" s="196" t="s">
        <v>188</v>
      </c>
      <c r="B112" s="198">
        <f>'Faturamento '!K44</f>
        <v>0</v>
      </c>
      <c r="C112" s="197">
        <v>0.3</v>
      </c>
      <c r="D112" s="192">
        <f t="shared" si="44"/>
        <v>15000</v>
      </c>
      <c r="E112" s="212">
        <f t="shared" si="45"/>
        <v>15000</v>
      </c>
      <c r="F112" s="212">
        <v>15000.0</v>
      </c>
      <c r="G112" s="199">
        <f>'Faturamento '!L44</f>
        <v>0</v>
      </c>
      <c r="H112" s="185"/>
      <c r="I112" s="212">
        <f t="shared" si="46"/>
        <v>-15000</v>
      </c>
      <c r="J112" s="234">
        <f t="shared" si="47"/>
        <v>0</v>
      </c>
      <c r="K112" s="235">
        <v>30.0</v>
      </c>
      <c r="L112" s="78">
        <v>392.68</v>
      </c>
    </row>
    <row r="113">
      <c r="A113" s="196" t="s">
        <v>71</v>
      </c>
      <c r="B113" s="198">
        <f>'Faturamento '!K45</f>
        <v>0</v>
      </c>
      <c r="C113" s="197">
        <v>0.05</v>
      </c>
      <c r="D113" s="192">
        <f t="shared" si="44"/>
        <v>19000</v>
      </c>
      <c r="E113" s="212">
        <f t="shared" si="45"/>
        <v>19000</v>
      </c>
      <c r="F113" s="212">
        <v>19000.0</v>
      </c>
      <c r="G113" s="199">
        <f>'Faturamento '!L45</f>
        <v>0</v>
      </c>
      <c r="H113" s="185"/>
      <c r="I113" s="212">
        <f t="shared" si="46"/>
        <v>-19000</v>
      </c>
      <c r="J113" s="233">
        <f t="shared" si="47"/>
        <v>0</v>
      </c>
      <c r="K113" s="204">
        <f>L109*L112/K112</f>
        <v>222.5186667</v>
      </c>
    </row>
    <row r="114">
      <c r="A114" s="196" t="s">
        <v>22</v>
      </c>
      <c r="B114" s="198">
        <f>'Faturamento '!K47</f>
        <v>0</v>
      </c>
      <c r="C114" s="197">
        <v>0.015</v>
      </c>
      <c r="D114" s="192">
        <f t="shared" si="44"/>
        <v>58000</v>
      </c>
      <c r="E114" s="212">
        <f t="shared" si="45"/>
        <v>58000</v>
      </c>
      <c r="F114" s="212">
        <v>58000.0</v>
      </c>
      <c r="G114" s="199">
        <f>'Faturamento '!L47</f>
        <v>0</v>
      </c>
      <c r="H114" s="185"/>
      <c r="I114" s="212">
        <f t="shared" si="46"/>
        <v>-58000</v>
      </c>
      <c r="J114" s="234">
        <f t="shared" si="47"/>
        <v>0</v>
      </c>
      <c r="K114" s="76"/>
    </row>
    <row r="115">
      <c r="A115" s="196" t="s">
        <v>19</v>
      </c>
      <c r="B115" s="198">
        <f>'Faturamento '!K46</f>
        <v>0</v>
      </c>
      <c r="C115" s="197">
        <v>0.1</v>
      </c>
      <c r="D115" s="192">
        <f t="shared" si="44"/>
        <v>20000</v>
      </c>
      <c r="E115" s="212">
        <f t="shared" si="45"/>
        <v>20000</v>
      </c>
      <c r="F115" s="212">
        <v>20000.0</v>
      </c>
      <c r="G115" s="199">
        <f>'Faturamento '!L46</f>
        <v>0</v>
      </c>
      <c r="H115" s="185"/>
      <c r="I115" s="212">
        <f t="shared" si="46"/>
        <v>-20000</v>
      </c>
      <c r="J115" s="234">
        <f t="shared" si="47"/>
        <v>0</v>
      </c>
      <c r="K115" s="76"/>
    </row>
    <row r="116">
      <c r="J116" s="148"/>
    </row>
    <row r="117">
      <c r="F117" s="204">
        <f t="shared" ref="F117:G117" si="48">SUM(F106:F115)</f>
        <v>202000</v>
      </c>
      <c r="G117" s="204">
        <f t="shared" si="48"/>
        <v>0</v>
      </c>
      <c r="I117" s="237">
        <f>G117*100/F117</f>
        <v>0</v>
      </c>
    </row>
    <row r="121">
      <c r="A121" s="179" t="s">
        <v>194</v>
      </c>
    </row>
    <row r="122">
      <c r="A122" s="180"/>
      <c r="B122" s="180"/>
      <c r="C122" s="180"/>
      <c r="D122" s="180"/>
      <c r="E122" s="180"/>
      <c r="F122" s="180"/>
      <c r="G122" s="180"/>
      <c r="H122" s="180"/>
      <c r="I122" s="180"/>
    </row>
    <row r="123">
      <c r="A123" s="189" t="s">
        <v>66</v>
      </c>
      <c r="B123" s="229" t="s">
        <v>168</v>
      </c>
      <c r="C123" s="229" t="s">
        <v>169</v>
      </c>
      <c r="D123" s="230"/>
      <c r="E123" s="217" t="s">
        <v>195</v>
      </c>
      <c r="F123" s="229" t="s">
        <v>170</v>
      </c>
      <c r="G123" s="231" t="s">
        <v>171</v>
      </c>
      <c r="H123" s="185"/>
      <c r="I123" s="217" t="s">
        <v>172</v>
      </c>
      <c r="J123" s="232"/>
    </row>
    <row r="124">
      <c r="A124" s="187"/>
      <c r="B124" s="180"/>
      <c r="C124" s="180"/>
      <c r="D124" s="180"/>
      <c r="E124" s="180"/>
      <c r="F124" s="180"/>
      <c r="G124" s="180"/>
      <c r="H124" s="180"/>
      <c r="I124" s="180"/>
    </row>
    <row r="125">
      <c r="A125" s="189" t="s">
        <v>174</v>
      </c>
      <c r="B125" s="198">
        <f>'Faturamento '!L40</f>
        <v>0</v>
      </c>
      <c r="C125" s="191">
        <v>0.05</v>
      </c>
      <c r="D125" s="192">
        <f t="shared" ref="D125:D132" si="49">B125*C125</f>
        <v>0</v>
      </c>
      <c r="E125" s="212">
        <f t="shared" ref="E125:E132" si="50">F125-B125</f>
        <v>17500</v>
      </c>
      <c r="F125" s="212">
        <v>17500.0</v>
      </c>
      <c r="G125" s="199">
        <f>'Faturamento '!M40</f>
        <v>0</v>
      </c>
      <c r="H125" s="185"/>
      <c r="I125" s="212">
        <f t="shared" ref="I125:I132" si="51">G125-F125</f>
        <v>-17500</v>
      </c>
      <c r="J125" s="234">
        <f t="shared" ref="J125:J132" si="52">G125*100/F125</f>
        <v>0</v>
      </c>
    </row>
    <row r="126">
      <c r="A126" s="196" t="s">
        <v>175</v>
      </c>
      <c r="B126" s="198">
        <f>'Faturamento '!L41</f>
        <v>0</v>
      </c>
      <c r="C126" s="197">
        <v>0.3</v>
      </c>
      <c r="D126" s="192">
        <f t="shared" si="49"/>
        <v>0</v>
      </c>
      <c r="E126" s="212">
        <f t="shared" si="50"/>
        <v>17000</v>
      </c>
      <c r="F126" s="212">
        <v>17000.0</v>
      </c>
      <c r="G126" s="199">
        <f>'Faturamento '!M41</f>
        <v>0</v>
      </c>
      <c r="H126" s="185"/>
      <c r="I126" s="212">
        <f t="shared" si="51"/>
        <v>-17000</v>
      </c>
      <c r="J126" s="238">
        <f t="shared" si="52"/>
        <v>0</v>
      </c>
    </row>
    <row r="127">
      <c r="A127" s="196" t="s">
        <v>176</v>
      </c>
      <c r="B127" s="198">
        <f>'Faturamento '!L42</f>
        <v>0</v>
      </c>
      <c r="C127" s="197">
        <v>0.02</v>
      </c>
      <c r="D127" s="192">
        <f t="shared" si="49"/>
        <v>0</v>
      </c>
      <c r="E127" s="212">
        <f t="shared" si="50"/>
        <v>41000</v>
      </c>
      <c r="F127" s="212">
        <v>41000.0</v>
      </c>
      <c r="G127" s="199">
        <f>'Faturamento '!M42</f>
        <v>0</v>
      </c>
      <c r="H127" s="185"/>
      <c r="I127" s="212">
        <f t="shared" si="51"/>
        <v>-41000</v>
      </c>
      <c r="J127" s="238">
        <f t="shared" si="52"/>
        <v>0</v>
      </c>
    </row>
    <row r="128">
      <c r="A128" s="196" t="s">
        <v>177</v>
      </c>
      <c r="B128" s="198">
        <f>'Faturamento '!L43</f>
        <v>0</v>
      </c>
      <c r="C128" s="197">
        <v>0.1</v>
      </c>
      <c r="D128" s="192">
        <f t="shared" si="49"/>
        <v>0</v>
      </c>
      <c r="E128" s="212">
        <f t="shared" si="50"/>
        <v>15500</v>
      </c>
      <c r="F128" s="212">
        <v>15500.0</v>
      </c>
      <c r="G128" s="199">
        <f>'Faturamento '!M43</f>
        <v>0</v>
      </c>
      <c r="H128" s="185"/>
      <c r="I128" s="212">
        <f t="shared" si="51"/>
        <v>-15500</v>
      </c>
      <c r="J128" s="234">
        <f t="shared" si="52"/>
        <v>0</v>
      </c>
    </row>
    <row r="129">
      <c r="A129" s="196" t="s">
        <v>188</v>
      </c>
      <c r="B129" s="198">
        <f>'Faturamento '!L44</f>
        <v>0</v>
      </c>
      <c r="C129" s="197">
        <v>0.3</v>
      </c>
      <c r="D129" s="192">
        <f t="shared" si="49"/>
        <v>0</v>
      </c>
      <c r="E129" s="212">
        <f t="shared" si="50"/>
        <v>15000</v>
      </c>
      <c r="F129" s="212">
        <v>15000.0</v>
      </c>
      <c r="G129" s="199">
        <f>'Faturamento '!M44</f>
        <v>0</v>
      </c>
      <c r="H129" s="185"/>
      <c r="I129" s="212">
        <f t="shared" si="51"/>
        <v>-15000</v>
      </c>
      <c r="J129" s="234">
        <f t="shared" si="52"/>
        <v>0</v>
      </c>
    </row>
    <row r="130">
      <c r="A130" s="196" t="s">
        <v>71</v>
      </c>
      <c r="B130" s="198">
        <f>'Faturamento '!L45</f>
        <v>0</v>
      </c>
      <c r="C130" s="197">
        <v>0.05</v>
      </c>
      <c r="D130" s="192">
        <f t="shared" si="49"/>
        <v>0</v>
      </c>
      <c r="E130" s="212">
        <f t="shared" si="50"/>
        <v>21000</v>
      </c>
      <c r="F130" s="212">
        <v>21000.0</v>
      </c>
      <c r="G130" s="199">
        <f>'Faturamento '!M45</f>
        <v>0</v>
      </c>
      <c r="H130" s="185"/>
      <c r="I130" s="212">
        <f t="shared" si="51"/>
        <v>-21000</v>
      </c>
      <c r="J130" s="234">
        <f t="shared" si="52"/>
        <v>0</v>
      </c>
    </row>
    <row r="131">
      <c r="A131" s="196" t="s">
        <v>22</v>
      </c>
      <c r="B131" s="198">
        <f>'Faturamento '!L47</f>
        <v>0</v>
      </c>
      <c r="C131" s="197">
        <v>0.05</v>
      </c>
      <c r="D131" s="192">
        <f t="shared" si="49"/>
        <v>0</v>
      </c>
      <c r="E131" s="212">
        <f t="shared" si="50"/>
        <v>52000</v>
      </c>
      <c r="F131" s="212">
        <v>52000.0</v>
      </c>
      <c r="G131" s="199">
        <f>'Faturamento '!M47</f>
        <v>0</v>
      </c>
      <c r="H131" s="185"/>
      <c r="I131" s="212">
        <f t="shared" si="51"/>
        <v>-52000</v>
      </c>
      <c r="J131" s="234">
        <f t="shared" si="52"/>
        <v>0</v>
      </c>
    </row>
    <row r="132">
      <c r="A132" s="196" t="s">
        <v>19</v>
      </c>
      <c r="B132" s="198">
        <f>'Faturamento '!L46</f>
        <v>0</v>
      </c>
      <c r="C132" s="197">
        <v>0.1</v>
      </c>
      <c r="D132" s="192">
        <f t="shared" si="49"/>
        <v>0</v>
      </c>
      <c r="E132" s="212">
        <f t="shared" si="50"/>
        <v>18000</v>
      </c>
      <c r="F132" s="212">
        <v>18000.0</v>
      </c>
      <c r="G132" s="199">
        <f>'Faturamento '!M46</f>
        <v>0</v>
      </c>
      <c r="H132" s="185"/>
      <c r="I132" s="212">
        <f t="shared" si="51"/>
        <v>-18000</v>
      </c>
      <c r="J132" s="238">
        <f t="shared" si="52"/>
        <v>0</v>
      </c>
    </row>
    <row r="133">
      <c r="J133" s="148"/>
    </row>
    <row r="134">
      <c r="F134" s="204">
        <f t="shared" ref="F134:G134" si="53">SUM(F123:F132)</f>
        <v>197000</v>
      </c>
      <c r="G134" s="204">
        <f t="shared" si="53"/>
        <v>0</v>
      </c>
      <c r="I134" s="237"/>
    </row>
    <row r="138">
      <c r="A138" s="179" t="s">
        <v>196</v>
      </c>
    </row>
    <row r="139">
      <c r="A139" s="180"/>
      <c r="B139" s="180"/>
      <c r="C139" s="180"/>
      <c r="D139" s="180"/>
      <c r="E139" s="180"/>
      <c r="F139" s="180"/>
      <c r="G139" s="180"/>
      <c r="H139" s="180"/>
      <c r="I139" s="180"/>
    </row>
    <row r="140">
      <c r="A140" s="189" t="s">
        <v>66</v>
      </c>
      <c r="B140" s="229" t="s">
        <v>168</v>
      </c>
      <c r="C140" s="229" t="s">
        <v>169</v>
      </c>
      <c r="D140" s="230"/>
      <c r="E140" s="217" t="s">
        <v>195</v>
      </c>
      <c r="F140" s="229" t="s">
        <v>170</v>
      </c>
      <c r="G140" s="231" t="s">
        <v>171</v>
      </c>
      <c r="H140" s="185"/>
      <c r="I140" s="217" t="s">
        <v>172</v>
      </c>
      <c r="J140" s="232"/>
    </row>
    <row r="141">
      <c r="A141" s="187"/>
      <c r="B141" s="180"/>
      <c r="C141" s="180"/>
      <c r="D141" s="180"/>
      <c r="E141" s="180"/>
      <c r="F141" s="180"/>
      <c r="G141" s="180"/>
      <c r="H141" s="180"/>
      <c r="I141" s="180"/>
    </row>
    <row r="142">
      <c r="A142" s="189" t="s">
        <v>174</v>
      </c>
      <c r="B142" s="198" t="str">
        <f>'Faturamento '!L57</f>
        <v/>
      </c>
      <c r="C142" s="191">
        <v>0.05</v>
      </c>
      <c r="D142" s="192">
        <f t="shared" ref="D142:D149" si="54">B142*C142</f>
        <v>0</v>
      </c>
      <c r="E142" s="212">
        <f t="shared" ref="E142:E149" si="55">F142-B142</f>
        <v>15000</v>
      </c>
      <c r="F142" s="212">
        <v>15000.0</v>
      </c>
      <c r="G142" s="199">
        <f>Jan!D128</f>
        <v>14956.86</v>
      </c>
      <c r="H142" s="185"/>
      <c r="I142" s="212">
        <f t="shared" ref="I142:I149" si="56">G142-F142</f>
        <v>-43.14</v>
      </c>
      <c r="J142" s="238">
        <f t="shared" ref="J142:J149" si="57">G142*100/F142</f>
        <v>99.7124</v>
      </c>
    </row>
    <row r="143">
      <c r="A143" s="196" t="s">
        <v>175</v>
      </c>
      <c r="B143" s="198" t="str">
        <f>'Faturamento '!L58</f>
        <v/>
      </c>
      <c r="C143" s="197">
        <v>0.3</v>
      </c>
      <c r="D143" s="192">
        <f t="shared" si="54"/>
        <v>0</v>
      </c>
      <c r="E143" s="212">
        <f t="shared" si="55"/>
        <v>18000</v>
      </c>
      <c r="F143" s="212">
        <v>18000.0</v>
      </c>
      <c r="G143" s="199">
        <f>Jan!D129</f>
        <v>0</v>
      </c>
      <c r="H143" s="185"/>
      <c r="I143" s="212">
        <f t="shared" si="56"/>
        <v>-18000</v>
      </c>
      <c r="J143" s="234">
        <f t="shared" si="57"/>
        <v>0</v>
      </c>
    </row>
    <row r="144">
      <c r="A144" s="196" t="s">
        <v>176</v>
      </c>
      <c r="B144" s="198" t="str">
        <f>'Faturamento '!L59</f>
        <v/>
      </c>
      <c r="C144" s="197">
        <v>0.02</v>
      </c>
      <c r="D144" s="192">
        <f t="shared" si="54"/>
        <v>0</v>
      </c>
      <c r="E144" s="212">
        <f t="shared" si="55"/>
        <v>41000</v>
      </c>
      <c r="F144" s="212">
        <v>41000.0</v>
      </c>
      <c r="G144" s="199">
        <f>Jan!D130</f>
        <v>48020.92</v>
      </c>
      <c r="H144" s="185"/>
      <c r="I144" s="212">
        <f t="shared" si="56"/>
        <v>7020.92</v>
      </c>
      <c r="J144" s="238">
        <f t="shared" si="57"/>
        <v>117.1241951</v>
      </c>
    </row>
    <row r="145">
      <c r="A145" s="196" t="s">
        <v>177</v>
      </c>
      <c r="B145" s="198" t="str">
        <f>'Faturamento '!L60</f>
        <v/>
      </c>
      <c r="C145" s="197">
        <v>0.1</v>
      </c>
      <c r="D145" s="192">
        <f t="shared" si="54"/>
        <v>0</v>
      </c>
      <c r="E145" s="212">
        <f t="shared" si="55"/>
        <v>15000</v>
      </c>
      <c r="F145" s="212">
        <v>15000.0</v>
      </c>
      <c r="G145" s="199">
        <f>Jan!D131</f>
        <v>30515.35</v>
      </c>
      <c r="H145" s="185"/>
      <c r="I145" s="212">
        <f t="shared" si="56"/>
        <v>15515.35</v>
      </c>
      <c r="J145" s="238">
        <f t="shared" si="57"/>
        <v>203.4356667</v>
      </c>
    </row>
    <row r="146">
      <c r="A146" s="196" t="s">
        <v>188</v>
      </c>
      <c r="B146" s="198" t="str">
        <f>'Faturamento '!L61</f>
        <v/>
      </c>
      <c r="C146" s="197">
        <v>0.3</v>
      </c>
      <c r="D146" s="192">
        <f t="shared" si="54"/>
        <v>0</v>
      </c>
      <c r="E146" s="212">
        <f t="shared" si="55"/>
        <v>15000</v>
      </c>
      <c r="F146" s="212">
        <v>15000.0</v>
      </c>
      <c r="G146" s="199">
        <f>Jan!D132</f>
        <v>0</v>
      </c>
      <c r="H146" s="185"/>
      <c r="I146" s="212">
        <f t="shared" si="56"/>
        <v>-15000</v>
      </c>
      <c r="J146" s="238">
        <f t="shared" si="57"/>
        <v>0</v>
      </c>
    </row>
    <row r="147">
      <c r="A147" s="196" t="s">
        <v>71</v>
      </c>
      <c r="B147" s="198" t="str">
        <f>'Faturamento '!L62</f>
        <v/>
      </c>
      <c r="C147" s="197">
        <v>0.05</v>
      </c>
      <c r="D147" s="192">
        <f t="shared" si="54"/>
        <v>0</v>
      </c>
      <c r="E147" s="212">
        <f t="shared" si="55"/>
        <v>18000</v>
      </c>
      <c r="F147" s="212">
        <v>18000.0</v>
      </c>
      <c r="G147" s="199">
        <f>Jan!D127</f>
        <v>19569.73</v>
      </c>
      <c r="H147" s="185"/>
      <c r="I147" s="212">
        <f t="shared" si="56"/>
        <v>1569.73</v>
      </c>
      <c r="J147" s="238">
        <f t="shared" si="57"/>
        <v>108.7207222</v>
      </c>
    </row>
    <row r="148">
      <c r="A148" s="196" t="s">
        <v>22</v>
      </c>
      <c r="B148" s="198" t="str">
        <f>'Faturamento '!L64</f>
        <v/>
      </c>
      <c r="C148" s="197">
        <v>0.05</v>
      </c>
      <c r="D148" s="192">
        <f t="shared" si="54"/>
        <v>0</v>
      </c>
      <c r="E148" s="212">
        <f t="shared" si="55"/>
        <v>52000</v>
      </c>
      <c r="F148" s="212">
        <v>52000.0</v>
      </c>
      <c r="G148" s="199">
        <f>Jan!D134</f>
        <v>63686.35</v>
      </c>
      <c r="H148" s="185"/>
      <c r="I148" s="212">
        <f t="shared" si="56"/>
        <v>11686.35</v>
      </c>
      <c r="J148" s="238">
        <f t="shared" si="57"/>
        <v>122.47375</v>
      </c>
    </row>
    <row r="149">
      <c r="A149" s="196" t="s">
        <v>19</v>
      </c>
      <c r="B149" s="198" t="str">
        <f>'Faturamento '!L63</f>
        <v/>
      </c>
      <c r="C149" s="197">
        <v>0.1</v>
      </c>
      <c r="D149" s="192">
        <f t="shared" si="54"/>
        <v>0</v>
      </c>
      <c r="E149" s="212">
        <f t="shared" si="55"/>
        <v>19000</v>
      </c>
      <c r="F149" s="212">
        <v>19000.0</v>
      </c>
      <c r="G149" s="199">
        <f>Jan!D133</f>
        <v>19482.65</v>
      </c>
      <c r="H149" s="185"/>
      <c r="I149" s="212">
        <f t="shared" si="56"/>
        <v>482.65</v>
      </c>
      <c r="J149" s="238">
        <f t="shared" si="57"/>
        <v>102.5402632</v>
      </c>
    </row>
    <row r="150">
      <c r="J150" s="148"/>
    </row>
    <row r="152">
      <c r="A152" s="95" t="s">
        <v>197</v>
      </c>
      <c r="D152" s="95" t="s">
        <v>198</v>
      </c>
    </row>
    <row r="153">
      <c r="A153" s="239" t="s">
        <v>174</v>
      </c>
      <c r="B153" s="105">
        <v>1500.0</v>
      </c>
      <c r="D153" s="240" t="s">
        <v>174</v>
      </c>
      <c r="E153" s="241">
        <v>15000.0</v>
      </c>
      <c r="F153" s="242">
        <v>16.0</v>
      </c>
      <c r="G153" s="78">
        <v>18.0</v>
      </c>
    </row>
    <row r="154">
      <c r="A154" s="243" t="s">
        <v>175</v>
      </c>
      <c r="B154" s="108">
        <v>1200.0</v>
      </c>
      <c r="D154" s="244" t="s">
        <v>175</v>
      </c>
      <c r="E154" s="212">
        <v>18000.0</v>
      </c>
    </row>
    <row r="155">
      <c r="A155" s="243" t="s">
        <v>176</v>
      </c>
      <c r="B155" s="108">
        <v>3200.0</v>
      </c>
      <c r="D155" s="244" t="s">
        <v>176</v>
      </c>
      <c r="E155" s="241">
        <v>41000.0</v>
      </c>
      <c r="G155" s="78">
        <v>43.0</v>
      </c>
    </row>
    <row r="156">
      <c r="A156" s="243" t="s">
        <v>177</v>
      </c>
      <c r="B156" s="108">
        <v>1200.0</v>
      </c>
      <c r="D156" s="244" t="s">
        <v>177</v>
      </c>
      <c r="E156" s="241">
        <v>15000.0</v>
      </c>
      <c r="G156" s="78">
        <v>22.0</v>
      </c>
    </row>
    <row r="157">
      <c r="A157" s="243" t="s">
        <v>188</v>
      </c>
      <c r="B157" s="108">
        <v>1500.0</v>
      </c>
      <c r="D157" s="244" t="s">
        <v>188</v>
      </c>
      <c r="E157" s="241">
        <v>15000.0</v>
      </c>
      <c r="G157" s="78">
        <v>15.0</v>
      </c>
    </row>
    <row r="158">
      <c r="A158" s="243" t="s">
        <v>71</v>
      </c>
      <c r="B158" s="108">
        <v>1300.0</v>
      </c>
      <c r="D158" s="244" t="s">
        <v>71</v>
      </c>
      <c r="E158" s="212">
        <v>18000.0</v>
      </c>
      <c r="G158" s="78">
        <v>17.0</v>
      </c>
    </row>
    <row r="159">
      <c r="A159" s="243" t="s">
        <v>22</v>
      </c>
      <c r="B159" s="105">
        <v>3600.0</v>
      </c>
      <c r="D159" s="244" t="s">
        <v>22</v>
      </c>
      <c r="E159" s="241">
        <v>52000.0</v>
      </c>
      <c r="F159" s="242">
        <v>58.0</v>
      </c>
      <c r="G159" s="78">
        <v>62.0</v>
      </c>
    </row>
    <row r="160">
      <c r="A160" s="243" t="s">
        <v>19</v>
      </c>
      <c r="B160" s="105">
        <v>1100.0</v>
      </c>
      <c r="D160" s="244" t="s">
        <v>19</v>
      </c>
      <c r="E160" s="241">
        <v>19000.0</v>
      </c>
      <c r="F160" s="242">
        <v>21.0</v>
      </c>
      <c r="G160" s="78">
        <v>21.0</v>
      </c>
    </row>
    <row r="161">
      <c r="B161" s="245"/>
    </row>
    <row r="162">
      <c r="A162" s="1" t="s">
        <v>199</v>
      </c>
      <c r="B162" s="114">
        <f>SUM(B153+B154+B155+B156+B157+B158+B159+B160)</f>
        <v>14600</v>
      </c>
      <c r="D162" s="1" t="s">
        <v>200</v>
      </c>
      <c r="E162" s="246">
        <f>SUM(E153+E154+E155+E156+E157+E158+E159+E160)</f>
        <v>193000</v>
      </c>
    </row>
    <row r="166">
      <c r="A166" s="78" t="s">
        <v>201</v>
      </c>
    </row>
    <row r="167">
      <c r="A167" s="78" t="s">
        <v>202</v>
      </c>
    </row>
    <row r="168">
      <c r="A168" s="78" t="s">
        <v>203</v>
      </c>
    </row>
    <row r="169">
      <c r="A169" s="78" t="s">
        <v>204</v>
      </c>
    </row>
    <row r="170">
      <c r="A170" s="78" t="s">
        <v>205</v>
      </c>
    </row>
    <row r="173">
      <c r="A173" s="247" t="s">
        <v>20</v>
      </c>
      <c r="B173" s="78" t="s">
        <v>206</v>
      </c>
      <c r="C173" s="78" t="s">
        <v>207</v>
      </c>
    </row>
    <row r="174">
      <c r="A174" s="247">
        <v>307.0</v>
      </c>
      <c r="B174" s="78" t="s">
        <v>206</v>
      </c>
      <c r="C174" s="78" t="s">
        <v>208</v>
      </c>
    </row>
    <row r="175">
      <c r="A175" s="247" t="s">
        <v>22</v>
      </c>
      <c r="B175" s="78" t="s">
        <v>206</v>
      </c>
    </row>
    <row r="176">
      <c r="A176" s="247">
        <v>213.0</v>
      </c>
      <c r="B176" s="78" t="s">
        <v>206</v>
      </c>
      <c r="C176" s="78" t="s">
        <v>209</v>
      </c>
    </row>
    <row r="177">
      <c r="A177" s="247">
        <v>202.0</v>
      </c>
      <c r="B177" s="78" t="s">
        <v>206</v>
      </c>
      <c r="C177" s="78" t="s">
        <v>210</v>
      </c>
    </row>
    <row r="178">
      <c r="A178" s="247">
        <v>313.0</v>
      </c>
      <c r="B178" s="78" t="s">
        <v>206</v>
      </c>
      <c r="C178" s="78" t="s">
        <v>211</v>
      </c>
    </row>
    <row r="179">
      <c r="A179" s="247" t="s">
        <v>212</v>
      </c>
      <c r="B179" s="78" t="s">
        <v>206</v>
      </c>
      <c r="C179" s="78" t="s">
        <v>213</v>
      </c>
    </row>
    <row r="180">
      <c r="A180" s="247" t="s">
        <v>71</v>
      </c>
      <c r="B180" s="78" t="s">
        <v>206</v>
      </c>
      <c r="C180" s="78" t="s">
        <v>214</v>
      </c>
    </row>
    <row r="181">
      <c r="A181" s="247" t="s">
        <v>21</v>
      </c>
      <c r="B181" s="78" t="s">
        <v>206</v>
      </c>
      <c r="C181" s="78" t="s">
        <v>215</v>
      </c>
    </row>
    <row r="187">
      <c r="A187" s="179" t="s">
        <v>216</v>
      </c>
    </row>
    <row r="188">
      <c r="A188" s="180"/>
      <c r="B188" s="180"/>
      <c r="C188" s="180"/>
      <c r="D188" s="180"/>
      <c r="E188" s="180"/>
      <c r="F188" s="180"/>
      <c r="G188" s="180"/>
      <c r="H188" s="180"/>
      <c r="I188" s="180"/>
    </row>
    <row r="189">
      <c r="A189" s="189" t="s">
        <v>66</v>
      </c>
      <c r="B189" s="229" t="s">
        <v>168</v>
      </c>
      <c r="C189" s="229" t="s">
        <v>169</v>
      </c>
      <c r="D189" s="230"/>
      <c r="E189" s="217" t="s">
        <v>195</v>
      </c>
      <c r="F189" s="229" t="s">
        <v>170</v>
      </c>
      <c r="G189" s="231" t="s">
        <v>171</v>
      </c>
      <c r="H189" s="185"/>
      <c r="I189" s="217" t="s">
        <v>172</v>
      </c>
      <c r="J189" s="232"/>
    </row>
    <row r="190">
      <c r="A190" s="187"/>
      <c r="B190" s="180"/>
      <c r="C190" s="180"/>
      <c r="D190" s="180"/>
      <c r="E190" s="180"/>
      <c r="F190" s="180"/>
      <c r="G190" s="180"/>
      <c r="H190" s="180"/>
      <c r="I190" s="180"/>
    </row>
    <row r="191">
      <c r="A191" s="189" t="s">
        <v>174</v>
      </c>
      <c r="B191" s="198" t="str">
        <f>'Faturamento '!L106</f>
        <v/>
      </c>
      <c r="C191" s="191">
        <v>0.05</v>
      </c>
      <c r="D191" s="192">
        <f t="shared" ref="D191:D198" si="58">B191*C191</f>
        <v>0</v>
      </c>
      <c r="E191" s="212">
        <f t="shared" ref="E191:E198" si="59">F191-B191</f>
        <v>17000</v>
      </c>
      <c r="F191" s="212">
        <v>17000.0</v>
      </c>
      <c r="G191" s="199">
        <f>Fev!D128</f>
        <v>15394.71</v>
      </c>
      <c r="H191" s="185"/>
      <c r="I191" s="212">
        <f t="shared" ref="I191:I198" si="60">G191-F191</f>
        <v>-1605.29</v>
      </c>
      <c r="J191" s="248">
        <f t="shared" ref="J191:J198" si="61">G191*100/F191</f>
        <v>90.55711765</v>
      </c>
      <c r="K191" s="153">
        <f>Fev!D128*0.01</f>
        <v>153.9471</v>
      </c>
    </row>
    <row r="192">
      <c r="A192" s="196" t="s">
        <v>175</v>
      </c>
      <c r="B192" s="198" t="str">
        <f>'Faturamento '!L107</f>
        <v/>
      </c>
      <c r="C192" s="197">
        <v>0.3</v>
      </c>
      <c r="D192" s="192">
        <f t="shared" si="58"/>
        <v>0</v>
      </c>
      <c r="E192" s="212">
        <f t="shared" si="59"/>
        <v>18000</v>
      </c>
      <c r="F192" s="212">
        <v>18000.0</v>
      </c>
      <c r="G192" s="199">
        <f>Fev!D129</f>
        <v>0</v>
      </c>
      <c r="H192" s="185"/>
      <c r="I192" s="212">
        <f t="shared" si="60"/>
        <v>-18000</v>
      </c>
      <c r="J192" s="234">
        <f t="shared" si="61"/>
        <v>0</v>
      </c>
    </row>
    <row r="193">
      <c r="A193" s="196" t="s">
        <v>176</v>
      </c>
      <c r="B193" s="198" t="str">
        <f>'Faturamento '!L108</f>
        <v/>
      </c>
      <c r="C193" s="197">
        <v>0.02</v>
      </c>
      <c r="D193" s="192">
        <f t="shared" si="58"/>
        <v>0</v>
      </c>
      <c r="E193" s="212">
        <f t="shared" si="59"/>
        <v>41000</v>
      </c>
      <c r="F193" s="212">
        <v>41000.0</v>
      </c>
      <c r="G193" s="199">
        <f>Fev!D130</f>
        <v>32756.95</v>
      </c>
      <c r="H193" s="185"/>
      <c r="I193" s="212">
        <f t="shared" si="60"/>
        <v>-8243.05</v>
      </c>
      <c r="J193" s="234">
        <f t="shared" si="61"/>
        <v>79.895</v>
      </c>
    </row>
    <row r="194">
      <c r="A194" s="196" t="s">
        <v>177</v>
      </c>
      <c r="B194" s="198" t="str">
        <f>'Faturamento '!L109</f>
        <v/>
      </c>
      <c r="C194" s="197">
        <v>0.1</v>
      </c>
      <c r="D194" s="192">
        <f t="shared" si="58"/>
        <v>0</v>
      </c>
      <c r="E194" s="212">
        <f t="shared" si="59"/>
        <v>18000</v>
      </c>
      <c r="F194" s="212">
        <v>18000.0</v>
      </c>
      <c r="G194" s="199">
        <f>Fev!D131</f>
        <v>18490.14</v>
      </c>
      <c r="H194" s="185"/>
      <c r="I194" s="212">
        <f t="shared" si="60"/>
        <v>490.14</v>
      </c>
      <c r="J194" s="234">
        <f t="shared" si="61"/>
        <v>102.723</v>
      </c>
    </row>
    <row r="195">
      <c r="A195" s="196" t="s">
        <v>188</v>
      </c>
      <c r="B195" s="198" t="str">
        <f>'Faturamento '!L110</f>
        <v/>
      </c>
      <c r="C195" s="197">
        <v>0.3</v>
      </c>
      <c r="D195" s="192">
        <f t="shared" si="58"/>
        <v>0</v>
      </c>
      <c r="E195" s="212">
        <f t="shared" si="59"/>
        <v>15000</v>
      </c>
      <c r="F195" s="212">
        <v>15000.0</v>
      </c>
      <c r="G195" s="199">
        <f>Fev!D132</f>
        <v>0</v>
      </c>
      <c r="H195" s="185"/>
      <c r="I195" s="212">
        <f t="shared" si="60"/>
        <v>-15000</v>
      </c>
      <c r="J195" s="234">
        <f t="shared" si="61"/>
        <v>0</v>
      </c>
    </row>
    <row r="196">
      <c r="A196" s="196" t="s">
        <v>71</v>
      </c>
      <c r="B196" s="198" t="str">
        <f>'Faturamento '!L111</f>
        <v/>
      </c>
      <c r="C196" s="197">
        <v>0.05</v>
      </c>
      <c r="D196" s="192">
        <f t="shared" si="58"/>
        <v>0</v>
      </c>
      <c r="E196" s="212">
        <f t="shared" si="59"/>
        <v>18000</v>
      </c>
      <c r="F196" s="212">
        <v>18000.0</v>
      </c>
      <c r="G196" s="199">
        <f>Fev!D127</f>
        <v>17496.33</v>
      </c>
      <c r="H196" s="185"/>
      <c r="I196" s="212">
        <f t="shared" si="60"/>
        <v>-503.67</v>
      </c>
      <c r="J196" s="248">
        <f t="shared" si="61"/>
        <v>97.20183333</v>
      </c>
      <c r="K196" s="153">
        <f>Fev!D127*0.01</f>
        <v>174.9633</v>
      </c>
    </row>
    <row r="197">
      <c r="A197" s="196" t="s">
        <v>22</v>
      </c>
      <c r="B197" s="198" t="str">
        <f>'Faturamento '!L113</f>
        <v/>
      </c>
      <c r="C197" s="197">
        <v>0.05</v>
      </c>
      <c r="D197" s="192">
        <f t="shared" si="58"/>
        <v>0</v>
      </c>
      <c r="E197" s="212">
        <f t="shared" si="59"/>
        <v>58000</v>
      </c>
      <c r="F197" s="212">
        <v>58000.0</v>
      </c>
      <c r="G197" s="199">
        <f>Fev!D134</f>
        <v>42089.98</v>
      </c>
      <c r="H197" s="185"/>
      <c r="I197" s="212">
        <f t="shared" si="60"/>
        <v>-15910.02</v>
      </c>
      <c r="J197" s="234">
        <f t="shared" si="61"/>
        <v>72.56893103</v>
      </c>
    </row>
    <row r="198">
      <c r="A198" s="196" t="s">
        <v>19</v>
      </c>
      <c r="B198" s="198" t="str">
        <f>'Faturamento '!L112</f>
        <v/>
      </c>
      <c r="C198" s="197">
        <v>0.1</v>
      </c>
      <c r="D198" s="192">
        <f t="shared" si="58"/>
        <v>0</v>
      </c>
      <c r="E198" s="212">
        <f t="shared" si="59"/>
        <v>20000</v>
      </c>
      <c r="F198" s="212">
        <v>20000.0</v>
      </c>
      <c r="G198" s="199">
        <f>Fev!D133</f>
        <v>10796.04</v>
      </c>
      <c r="H198" s="185"/>
      <c r="I198" s="212">
        <f t="shared" si="60"/>
        <v>-9203.96</v>
      </c>
      <c r="J198" s="234">
        <f t="shared" si="61"/>
        <v>53.9802</v>
      </c>
    </row>
    <row r="199">
      <c r="J199" s="148"/>
    </row>
    <row r="201">
      <c r="A201" s="95" t="s">
        <v>197</v>
      </c>
      <c r="D201" s="95" t="s">
        <v>198</v>
      </c>
    </row>
    <row r="202">
      <c r="A202" s="249" t="s">
        <v>174</v>
      </c>
      <c r="B202" s="105">
        <v>1500.0</v>
      </c>
      <c r="D202" s="240" t="s">
        <v>174</v>
      </c>
      <c r="E202" s="212">
        <v>17000.0</v>
      </c>
      <c r="F202" s="78"/>
    </row>
    <row r="203">
      <c r="A203" s="250" t="s">
        <v>175</v>
      </c>
      <c r="B203" s="105">
        <v>1200.0</v>
      </c>
      <c r="D203" s="196" t="s">
        <v>175</v>
      </c>
      <c r="E203" s="212">
        <v>18000.0</v>
      </c>
      <c r="F203" s="78"/>
    </row>
    <row r="204">
      <c r="A204" s="243" t="s">
        <v>176</v>
      </c>
      <c r="B204" s="105">
        <v>3200.0</v>
      </c>
      <c r="D204" s="196" t="s">
        <v>176</v>
      </c>
      <c r="E204" s="212">
        <v>41000.0</v>
      </c>
      <c r="F204" s="78"/>
    </row>
    <row r="205">
      <c r="A205" s="250" t="s">
        <v>177</v>
      </c>
      <c r="B205" s="105">
        <v>1200.0</v>
      </c>
      <c r="D205" s="196" t="s">
        <v>177</v>
      </c>
      <c r="E205" s="212">
        <v>18000.0</v>
      </c>
      <c r="F205" s="78"/>
    </row>
    <row r="206">
      <c r="A206" s="243" t="s">
        <v>188</v>
      </c>
      <c r="B206" s="105">
        <v>1200.0</v>
      </c>
      <c r="D206" s="196" t="s">
        <v>188</v>
      </c>
      <c r="E206" s="212">
        <v>15000.0</v>
      </c>
      <c r="F206" s="78"/>
    </row>
    <row r="207">
      <c r="A207" s="243" t="s">
        <v>71</v>
      </c>
      <c r="B207" s="105">
        <v>1000.0</v>
      </c>
      <c r="D207" s="244" t="s">
        <v>71</v>
      </c>
      <c r="E207" s="212">
        <v>18000.0</v>
      </c>
      <c r="F207" s="78"/>
    </row>
    <row r="208">
      <c r="A208" s="243" t="s">
        <v>22</v>
      </c>
      <c r="B208" s="105">
        <v>3000.0</v>
      </c>
      <c r="D208" s="196" t="s">
        <v>22</v>
      </c>
      <c r="E208" s="212">
        <v>58000.0</v>
      </c>
      <c r="F208" s="78"/>
    </row>
    <row r="209">
      <c r="A209" s="243" t="s">
        <v>19</v>
      </c>
      <c r="B209" s="105">
        <v>1100.0</v>
      </c>
      <c r="D209" s="196" t="s">
        <v>19</v>
      </c>
      <c r="E209" s="212">
        <v>20000.0</v>
      </c>
      <c r="F209" s="78"/>
    </row>
    <row r="210">
      <c r="B210" s="245"/>
    </row>
    <row r="211">
      <c r="A211" s="1" t="s">
        <v>199</v>
      </c>
      <c r="B211" s="114">
        <f>SUM(B202+B203+B204+B205+B206+B207+B208+B209)</f>
        <v>13400</v>
      </c>
      <c r="D211" s="1" t="s">
        <v>200</v>
      </c>
      <c r="E211" s="246">
        <f>SUM(E202+E203+E204+E205+E206+E207+E208+E209)</f>
        <v>205000</v>
      </c>
    </row>
    <row r="215">
      <c r="A215" s="189" t="s">
        <v>217</v>
      </c>
      <c r="C215" s="78" t="s">
        <v>218</v>
      </c>
    </row>
    <row r="216">
      <c r="A216" s="251" t="s">
        <v>219</v>
      </c>
      <c r="B216" s="78" t="s">
        <v>220</v>
      </c>
      <c r="C216" s="78" t="s">
        <v>221</v>
      </c>
    </row>
    <row r="217">
      <c r="A217" s="196" t="s">
        <v>222</v>
      </c>
      <c r="B217" s="78" t="s">
        <v>223</v>
      </c>
      <c r="C217" s="78" t="s">
        <v>224</v>
      </c>
    </row>
    <row r="218">
      <c r="A218" s="251" t="s">
        <v>177</v>
      </c>
      <c r="B218" s="78" t="s">
        <v>223</v>
      </c>
      <c r="C218" s="78" t="s">
        <v>225</v>
      </c>
    </row>
    <row r="219">
      <c r="A219" s="196" t="s">
        <v>226</v>
      </c>
      <c r="B219" s="78" t="s">
        <v>223</v>
      </c>
      <c r="C219" s="78" t="s">
        <v>227</v>
      </c>
    </row>
    <row r="220">
      <c r="A220" s="196" t="s">
        <v>228</v>
      </c>
      <c r="C220" s="78" t="s">
        <v>229</v>
      </c>
    </row>
    <row r="221">
      <c r="A221" s="251" t="s">
        <v>22</v>
      </c>
      <c r="C221" s="78" t="s">
        <v>230</v>
      </c>
    </row>
    <row r="222">
      <c r="A222" s="196" t="s">
        <v>231</v>
      </c>
      <c r="B222" s="78" t="s">
        <v>223</v>
      </c>
      <c r="C222" s="78" t="s">
        <v>232</v>
      </c>
    </row>
    <row r="227">
      <c r="A227" s="78" t="s">
        <v>233</v>
      </c>
    </row>
    <row r="228">
      <c r="A228" s="78" t="s">
        <v>234</v>
      </c>
    </row>
    <row r="241">
      <c r="A241" s="179" t="s">
        <v>235</v>
      </c>
    </row>
    <row r="242">
      <c r="A242" s="180"/>
      <c r="B242" s="180"/>
      <c r="C242" s="180"/>
      <c r="D242" s="180"/>
      <c r="E242" s="180"/>
      <c r="F242" s="180"/>
      <c r="G242" s="180"/>
      <c r="H242" s="180"/>
      <c r="I242" s="180"/>
    </row>
    <row r="243">
      <c r="A243" s="189" t="s">
        <v>66</v>
      </c>
      <c r="B243" s="229" t="s">
        <v>168</v>
      </c>
      <c r="C243" s="229" t="s">
        <v>169</v>
      </c>
      <c r="D243" s="230"/>
      <c r="E243" s="217" t="s">
        <v>195</v>
      </c>
      <c r="F243" s="229" t="s">
        <v>170</v>
      </c>
      <c r="G243" s="231" t="s">
        <v>171</v>
      </c>
      <c r="H243" s="185"/>
      <c r="I243" s="217" t="s">
        <v>172</v>
      </c>
      <c r="J243" s="232"/>
    </row>
    <row r="244">
      <c r="A244" s="187"/>
      <c r="B244" s="180"/>
      <c r="C244" s="180"/>
      <c r="D244" s="180"/>
      <c r="E244" s="180"/>
      <c r="F244" s="180"/>
      <c r="G244" s="180"/>
      <c r="H244" s="180"/>
      <c r="I244" s="180"/>
    </row>
    <row r="245">
      <c r="A245" s="189" t="s">
        <v>174</v>
      </c>
      <c r="B245" s="198" t="str">
        <f>'Faturamento '!L160</f>
        <v/>
      </c>
      <c r="C245" s="191">
        <v>0.05</v>
      </c>
      <c r="D245" s="192">
        <f t="shared" ref="D245:D252" si="62">B245*C245</f>
        <v>0</v>
      </c>
      <c r="E245" s="212">
        <f t="shared" ref="E245:E252" si="63">F245-B245</f>
        <v>19000</v>
      </c>
      <c r="F245" s="212">
        <v>19000.0</v>
      </c>
      <c r="G245" s="199">
        <f>Mar!D128</f>
        <v>0</v>
      </c>
      <c r="H245" s="185"/>
      <c r="I245" s="212">
        <f t="shared" ref="I245:I252" si="64">G245-F245</f>
        <v>-19000</v>
      </c>
      <c r="J245" s="234">
        <f t="shared" ref="J245:J252" si="65">G245*100/F245</f>
        <v>0</v>
      </c>
    </row>
    <row r="246">
      <c r="A246" s="196" t="s">
        <v>175</v>
      </c>
      <c r="B246" s="198" t="str">
        <f>'Faturamento '!L161</f>
        <v/>
      </c>
      <c r="C246" s="197">
        <v>0.3</v>
      </c>
      <c r="D246" s="192">
        <f t="shared" si="62"/>
        <v>0</v>
      </c>
      <c r="E246" s="212">
        <f t="shared" si="63"/>
        <v>19000</v>
      </c>
      <c r="F246" s="212">
        <v>19000.0</v>
      </c>
      <c r="G246" s="199">
        <f>Mar!D129</f>
        <v>0</v>
      </c>
      <c r="H246" s="185"/>
      <c r="I246" s="212">
        <f t="shared" si="64"/>
        <v>-19000</v>
      </c>
      <c r="J246" s="234">
        <f t="shared" si="65"/>
        <v>0</v>
      </c>
    </row>
    <row r="247">
      <c r="A247" s="196" t="s">
        <v>176</v>
      </c>
      <c r="B247" s="198" t="str">
        <f>'Faturamento '!L162</f>
        <v/>
      </c>
      <c r="C247" s="197">
        <v>0.02</v>
      </c>
      <c r="D247" s="192">
        <f t="shared" si="62"/>
        <v>0</v>
      </c>
      <c r="E247" s="212">
        <f t="shared" si="63"/>
        <v>42000</v>
      </c>
      <c r="F247" s="212">
        <v>42000.0</v>
      </c>
      <c r="G247" s="199">
        <f>Mar!D130</f>
        <v>0</v>
      </c>
      <c r="H247" s="185"/>
      <c r="I247" s="212">
        <f t="shared" si="64"/>
        <v>-42000</v>
      </c>
      <c r="J247" s="234">
        <f t="shared" si="65"/>
        <v>0</v>
      </c>
    </row>
    <row r="248">
      <c r="A248" s="196" t="s">
        <v>177</v>
      </c>
      <c r="B248" s="198" t="str">
        <f>'Faturamento '!L163</f>
        <v/>
      </c>
      <c r="C248" s="197">
        <v>0.1</v>
      </c>
      <c r="D248" s="192">
        <f t="shared" si="62"/>
        <v>0</v>
      </c>
      <c r="E248" s="212">
        <f t="shared" si="63"/>
        <v>20000</v>
      </c>
      <c r="F248" s="212">
        <v>20000.0</v>
      </c>
      <c r="G248" s="199">
        <f>Mar!D131</f>
        <v>0</v>
      </c>
      <c r="H248" s="185"/>
      <c r="I248" s="212">
        <f t="shared" si="64"/>
        <v>-20000</v>
      </c>
      <c r="J248" s="238">
        <f t="shared" si="65"/>
        <v>0</v>
      </c>
      <c r="K248" s="78">
        <v>196.66</v>
      </c>
    </row>
    <row r="249">
      <c r="A249" s="196" t="s">
        <v>188</v>
      </c>
      <c r="B249" s="198" t="str">
        <f>'Faturamento '!L164</f>
        <v/>
      </c>
      <c r="C249" s="197">
        <v>0.3</v>
      </c>
      <c r="D249" s="192">
        <f t="shared" si="62"/>
        <v>0</v>
      </c>
      <c r="E249" s="212">
        <f t="shared" si="63"/>
        <v>16000</v>
      </c>
      <c r="F249" s="212">
        <v>16000.0</v>
      </c>
      <c r="G249" s="199">
        <f>Mar!D132</f>
        <v>0</v>
      </c>
      <c r="H249" s="185"/>
      <c r="I249" s="212">
        <f t="shared" si="64"/>
        <v>-16000</v>
      </c>
      <c r="J249" s="234">
        <f t="shared" si="65"/>
        <v>0</v>
      </c>
    </row>
    <row r="250">
      <c r="A250" s="196" t="s">
        <v>71</v>
      </c>
      <c r="B250" s="198" t="str">
        <f>'Faturamento '!L165</f>
        <v/>
      </c>
      <c r="C250" s="197">
        <v>0.05</v>
      </c>
      <c r="D250" s="192">
        <f t="shared" si="62"/>
        <v>0</v>
      </c>
      <c r="E250" s="212">
        <f t="shared" si="63"/>
        <v>19000</v>
      </c>
      <c r="F250" s="212">
        <v>19000.0</v>
      </c>
      <c r="G250" s="199">
        <f>Mar!D127</f>
        <v>0</v>
      </c>
      <c r="H250" s="185"/>
      <c r="I250" s="212">
        <f t="shared" si="64"/>
        <v>-19000</v>
      </c>
      <c r="J250" s="234">
        <f t="shared" si="65"/>
        <v>0</v>
      </c>
    </row>
    <row r="251">
      <c r="A251" s="196" t="s">
        <v>22</v>
      </c>
      <c r="B251" s="198" t="str">
        <f>'Faturamento '!L167</f>
        <v/>
      </c>
      <c r="C251" s="197">
        <v>0.05</v>
      </c>
      <c r="D251" s="192">
        <f t="shared" si="62"/>
        <v>0</v>
      </c>
      <c r="E251" s="212">
        <f t="shared" si="63"/>
        <v>60000</v>
      </c>
      <c r="F251" s="212">
        <v>60000.0</v>
      </c>
      <c r="G251" s="199">
        <f>Mar!D134</f>
        <v>0</v>
      </c>
      <c r="H251" s="185"/>
      <c r="I251" s="212">
        <f t="shared" si="64"/>
        <v>-60000</v>
      </c>
      <c r="J251" s="238">
        <f t="shared" si="65"/>
        <v>0</v>
      </c>
      <c r="K251" s="78">
        <v>569.24</v>
      </c>
      <c r="L251" s="153">
        <f>K251/2</f>
        <v>284.62</v>
      </c>
    </row>
    <row r="252">
      <c r="A252" s="196" t="s">
        <v>19</v>
      </c>
      <c r="B252" s="198" t="str">
        <f>'Faturamento '!L166</f>
        <v/>
      </c>
      <c r="C252" s="197">
        <v>0.1</v>
      </c>
      <c r="D252" s="192">
        <f t="shared" si="62"/>
        <v>0</v>
      </c>
      <c r="E252" s="212">
        <f t="shared" si="63"/>
        <v>21000</v>
      </c>
      <c r="F252" s="212">
        <v>21000.0</v>
      </c>
      <c r="G252" s="199">
        <f>Mar!D133</f>
        <v>0</v>
      </c>
      <c r="H252" s="185"/>
      <c r="I252" s="212">
        <f t="shared" si="64"/>
        <v>-21000</v>
      </c>
      <c r="J252" s="238">
        <f t="shared" si="65"/>
        <v>0</v>
      </c>
      <c r="K252" s="78">
        <v>196.65</v>
      </c>
    </row>
    <row r="253">
      <c r="J253" s="148"/>
    </row>
    <row r="255">
      <c r="A255" s="95" t="s">
        <v>197</v>
      </c>
      <c r="D255" s="95" t="s">
        <v>198</v>
      </c>
      <c r="H255" s="95" t="s">
        <v>198</v>
      </c>
    </row>
    <row r="256">
      <c r="A256" s="239" t="s">
        <v>174</v>
      </c>
      <c r="B256" s="105">
        <v>1500.0</v>
      </c>
      <c r="D256" s="252" t="s">
        <v>174</v>
      </c>
      <c r="E256" s="212">
        <v>19000.0</v>
      </c>
      <c r="F256" s="78"/>
      <c r="H256" s="252" t="s">
        <v>174</v>
      </c>
      <c r="I256" s="212">
        <v>15000.0</v>
      </c>
    </row>
    <row r="257">
      <c r="A257" s="243" t="s">
        <v>175</v>
      </c>
      <c r="B257" s="105">
        <v>1000.0</v>
      </c>
      <c r="D257" s="253" t="s">
        <v>175</v>
      </c>
      <c r="E257" s="212">
        <v>19000.0</v>
      </c>
      <c r="F257" s="78"/>
      <c r="H257" s="253" t="s">
        <v>175</v>
      </c>
      <c r="I257" s="212"/>
    </row>
    <row r="258">
      <c r="A258" s="243" t="s">
        <v>176</v>
      </c>
      <c r="B258" s="105">
        <v>3000.0</v>
      </c>
      <c r="D258" s="253" t="s">
        <v>176</v>
      </c>
      <c r="E258" s="212">
        <v>42000.0</v>
      </c>
      <c r="F258" s="78"/>
      <c r="H258" s="253" t="s">
        <v>176</v>
      </c>
      <c r="I258" s="212">
        <v>34000.0</v>
      </c>
    </row>
    <row r="259">
      <c r="A259" s="243" t="s">
        <v>177</v>
      </c>
      <c r="B259" s="105">
        <v>1000.0</v>
      </c>
      <c r="D259" s="253" t="s">
        <v>177</v>
      </c>
      <c r="E259" s="212">
        <v>20000.0</v>
      </c>
      <c r="F259" s="78"/>
      <c r="H259" s="253" t="s">
        <v>177</v>
      </c>
      <c r="I259" s="212">
        <v>35000.0</v>
      </c>
    </row>
    <row r="260">
      <c r="A260" s="243" t="s">
        <v>188</v>
      </c>
      <c r="B260" s="105">
        <v>1000.0</v>
      </c>
      <c r="D260" s="253" t="s">
        <v>188</v>
      </c>
      <c r="E260" s="212">
        <v>16000.0</v>
      </c>
      <c r="F260" s="78"/>
      <c r="H260" s="253" t="s">
        <v>188</v>
      </c>
      <c r="I260" s="212">
        <v>15000.0</v>
      </c>
    </row>
    <row r="261">
      <c r="A261" s="243" t="s">
        <v>71</v>
      </c>
      <c r="B261" s="105">
        <v>1000.0</v>
      </c>
      <c r="D261" s="253" t="s">
        <v>71</v>
      </c>
      <c r="E261" s="212">
        <v>19000.0</v>
      </c>
      <c r="F261" s="78"/>
      <c r="H261" s="253" t="s">
        <v>71</v>
      </c>
      <c r="I261" s="212">
        <v>16000.0</v>
      </c>
    </row>
    <row r="262">
      <c r="A262" s="243" t="s">
        <v>22</v>
      </c>
      <c r="B262" s="105">
        <v>3000.0</v>
      </c>
      <c r="D262" s="253" t="s">
        <v>22</v>
      </c>
      <c r="E262" s="212">
        <v>60000.0</v>
      </c>
      <c r="F262" s="78"/>
      <c r="H262" s="253" t="s">
        <v>22</v>
      </c>
      <c r="I262" s="212">
        <v>55000.0</v>
      </c>
    </row>
    <row r="263">
      <c r="A263" s="243" t="s">
        <v>19</v>
      </c>
      <c r="B263" s="105">
        <v>1000.0</v>
      </c>
      <c r="D263" s="253" t="s">
        <v>19</v>
      </c>
      <c r="E263" s="212">
        <v>21000.0</v>
      </c>
      <c r="F263" s="78"/>
      <c r="H263" s="253" t="s">
        <v>19</v>
      </c>
      <c r="I263" s="212">
        <v>20000.0</v>
      </c>
    </row>
    <row r="264">
      <c r="B264" s="245"/>
    </row>
    <row r="265">
      <c r="A265" s="1" t="s">
        <v>199</v>
      </c>
      <c r="B265" s="114">
        <f>SUM(B256+B257+B258+B259+B260+B261+B262+B263)</f>
        <v>12500</v>
      </c>
      <c r="D265" s="1" t="s">
        <v>200</v>
      </c>
      <c r="E265" s="246">
        <f>SUM(E256+E257+E258+E259+E260+E261+E262+E263)</f>
        <v>216000</v>
      </c>
      <c r="H265" s="1" t="s">
        <v>200</v>
      </c>
      <c r="I265" s="246">
        <f>SUM(I256+I257+I258+I259+I260+I261+I262+I263)</f>
        <v>190000</v>
      </c>
    </row>
    <row r="268">
      <c r="A268" s="78" t="s">
        <v>236</v>
      </c>
      <c r="B268" s="78" t="s">
        <v>237</v>
      </c>
    </row>
    <row r="269">
      <c r="A269" s="78" t="s">
        <v>20</v>
      </c>
      <c r="B269" s="78" t="s">
        <v>238</v>
      </c>
    </row>
    <row r="270">
      <c r="A270" s="78" t="s">
        <v>239</v>
      </c>
      <c r="B270" s="78" t="s">
        <v>240</v>
      </c>
    </row>
    <row r="271">
      <c r="M271" s="78">
        <v>800.0</v>
      </c>
    </row>
    <row r="272">
      <c r="M272" s="78">
        <v>550.0</v>
      </c>
    </row>
    <row r="273">
      <c r="M273" s="78">
        <v>70.0</v>
      </c>
    </row>
    <row r="274">
      <c r="M274" s="78">
        <v>40.0</v>
      </c>
    </row>
    <row r="275">
      <c r="M275" s="78">
        <v>16.0</v>
      </c>
    </row>
    <row r="276">
      <c r="M276" s="153">
        <f>SUM(M271:M275)</f>
        <v>1476</v>
      </c>
    </row>
    <row r="279">
      <c r="A279" s="179" t="s">
        <v>241</v>
      </c>
    </row>
    <row r="280">
      <c r="A280" s="180"/>
      <c r="B280" s="180"/>
      <c r="C280" s="180"/>
      <c r="D280" s="180"/>
      <c r="E280" s="180"/>
      <c r="F280" s="180"/>
      <c r="G280" s="180"/>
      <c r="H280" s="180"/>
      <c r="I280" s="180"/>
    </row>
    <row r="281">
      <c r="A281" s="189" t="s">
        <v>66</v>
      </c>
      <c r="B281" s="229" t="s">
        <v>168</v>
      </c>
      <c r="C281" s="229" t="s">
        <v>169</v>
      </c>
      <c r="D281" s="230"/>
      <c r="E281" s="217" t="s">
        <v>195</v>
      </c>
      <c r="F281" s="229" t="s">
        <v>170</v>
      </c>
      <c r="G281" s="231" t="s">
        <v>171</v>
      </c>
      <c r="H281" s="185"/>
      <c r="I281" s="217" t="s">
        <v>172</v>
      </c>
      <c r="J281" s="232"/>
    </row>
    <row r="282">
      <c r="A282" s="187"/>
      <c r="B282" s="180"/>
      <c r="C282" s="180"/>
      <c r="D282" s="180"/>
      <c r="E282" s="180"/>
      <c r="F282" s="180"/>
      <c r="G282" s="180"/>
      <c r="H282" s="180"/>
      <c r="I282" s="180"/>
    </row>
    <row r="283">
      <c r="A283" s="189" t="s">
        <v>174</v>
      </c>
      <c r="B283" s="198" t="str">
        <f>'Faturamento '!L198</f>
        <v/>
      </c>
      <c r="C283" s="191">
        <v>0.05</v>
      </c>
      <c r="D283" s="192">
        <f t="shared" ref="D283:D290" si="66">B283*C283</f>
        <v>0</v>
      </c>
      <c r="E283" s="212">
        <f t="shared" ref="E283:E290" si="67">F283-B283</f>
        <v>18000</v>
      </c>
      <c r="F283" s="212">
        <v>18000.0</v>
      </c>
      <c r="G283" s="199">
        <f>Abr!D128</f>
        <v>0</v>
      </c>
      <c r="H283" s="185"/>
      <c r="I283" s="212">
        <f t="shared" ref="I283:I290" si="68">G283-F283</f>
        <v>-18000</v>
      </c>
      <c r="J283" s="254">
        <f t="shared" ref="J283:J290" si="69">(G283*100)/F283</f>
        <v>0</v>
      </c>
    </row>
    <row r="284">
      <c r="A284" s="196" t="s">
        <v>175</v>
      </c>
      <c r="B284" s="198" t="str">
        <f>'Faturamento '!L199</f>
        <v/>
      </c>
      <c r="C284" s="197">
        <v>0.3</v>
      </c>
      <c r="D284" s="192">
        <f t="shared" si="66"/>
        <v>0</v>
      </c>
      <c r="E284" s="212">
        <f t="shared" si="67"/>
        <v>18000</v>
      </c>
      <c r="F284" s="212">
        <v>18000.0</v>
      </c>
      <c r="G284" s="199">
        <f>Abr!D129</f>
        <v>0</v>
      </c>
      <c r="H284" s="185"/>
      <c r="I284" s="212">
        <f t="shared" si="68"/>
        <v>-18000</v>
      </c>
      <c r="J284" s="254">
        <f t="shared" si="69"/>
        <v>0</v>
      </c>
    </row>
    <row r="285">
      <c r="A285" s="196" t="s">
        <v>176</v>
      </c>
      <c r="B285" s="198" t="str">
        <f>'Faturamento '!L200</f>
        <v/>
      </c>
      <c r="C285" s="197">
        <v>0.02</v>
      </c>
      <c r="D285" s="192">
        <f t="shared" si="66"/>
        <v>0</v>
      </c>
      <c r="E285" s="212">
        <f t="shared" si="67"/>
        <v>38000</v>
      </c>
      <c r="F285" s="212">
        <v>38000.0</v>
      </c>
      <c r="G285" s="199">
        <f>Abr!D130</f>
        <v>0</v>
      </c>
      <c r="H285" s="185"/>
      <c r="I285" s="212">
        <f t="shared" si="68"/>
        <v>-38000</v>
      </c>
      <c r="J285" s="255">
        <f t="shared" si="69"/>
        <v>0</v>
      </c>
      <c r="L285" s="256">
        <v>384.67</v>
      </c>
      <c r="M285" s="78">
        <v>2.0</v>
      </c>
      <c r="N285" s="153">
        <f>L285/M285</f>
        <v>192.335</v>
      </c>
      <c r="O285" s="78">
        <v>193.0</v>
      </c>
    </row>
    <row r="286">
      <c r="A286" s="196" t="s">
        <v>177</v>
      </c>
      <c r="B286" s="198" t="str">
        <f>'Faturamento '!L201</f>
        <v/>
      </c>
      <c r="C286" s="197">
        <v>0.1</v>
      </c>
      <c r="D286" s="192">
        <f t="shared" si="66"/>
        <v>0</v>
      </c>
      <c r="E286" s="212">
        <f t="shared" si="67"/>
        <v>20000</v>
      </c>
      <c r="F286" s="212">
        <v>20000.0</v>
      </c>
      <c r="G286" s="199">
        <f>Abr!D131</f>
        <v>0</v>
      </c>
      <c r="H286" s="185"/>
      <c r="I286" s="212">
        <f t="shared" si="68"/>
        <v>-20000</v>
      </c>
      <c r="J286" s="255">
        <f t="shared" si="69"/>
        <v>0</v>
      </c>
      <c r="L286" s="256">
        <v>212.0</v>
      </c>
    </row>
    <row r="287">
      <c r="A287" s="196" t="s">
        <v>188</v>
      </c>
      <c r="B287" s="198" t="str">
        <f>'Faturamento '!L202</f>
        <v/>
      </c>
      <c r="C287" s="197">
        <v>0.3</v>
      </c>
      <c r="D287" s="192">
        <f t="shared" si="66"/>
        <v>0</v>
      </c>
      <c r="E287" s="212">
        <f t="shared" si="67"/>
        <v>15000</v>
      </c>
      <c r="F287" s="212">
        <v>15000.0</v>
      </c>
      <c r="G287" s="199">
        <f>Abr!D132</f>
        <v>0</v>
      </c>
      <c r="H287" s="185"/>
      <c r="I287" s="212">
        <f t="shared" si="68"/>
        <v>-15000</v>
      </c>
      <c r="J287" s="255">
        <f t="shared" si="69"/>
        <v>0</v>
      </c>
      <c r="L287" s="257">
        <v>151.0</v>
      </c>
    </row>
    <row r="288">
      <c r="A288" s="196" t="s">
        <v>71</v>
      </c>
      <c r="B288" s="198" t="str">
        <f>'Faturamento '!L203</f>
        <v/>
      </c>
      <c r="C288" s="197">
        <v>0.05</v>
      </c>
      <c r="D288" s="192">
        <f t="shared" si="66"/>
        <v>0</v>
      </c>
      <c r="E288" s="212">
        <f t="shared" si="67"/>
        <v>18000</v>
      </c>
      <c r="F288" s="212">
        <v>18000.0</v>
      </c>
      <c r="G288" s="199">
        <f>Abr!D127</f>
        <v>0</v>
      </c>
      <c r="H288" s="185"/>
      <c r="I288" s="212">
        <f t="shared" si="68"/>
        <v>-18000</v>
      </c>
      <c r="J288" s="255">
        <f t="shared" si="69"/>
        <v>0</v>
      </c>
      <c r="L288" s="257">
        <v>176.14</v>
      </c>
    </row>
    <row r="289">
      <c r="A289" s="196" t="s">
        <v>22</v>
      </c>
      <c r="B289" s="198" t="str">
        <f>'Faturamento '!L205</f>
        <v/>
      </c>
      <c r="C289" s="197">
        <v>0.05</v>
      </c>
      <c r="D289" s="192">
        <f t="shared" si="66"/>
        <v>0</v>
      </c>
      <c r="E289" s="212">
        <f t="shared" si="67"/>
        <v>58000</v>
      </c>
      <c r="F289" s="212">
        <v>58000.0</v>
      </c>
      <c r="G289" s="199">
        <f>Abr!D134</f>
        <v>0</v>
      </c>
      <c r="H289" s="185"/>
      <c r="I289" s="212">
        <f t="shared" si="68"/>
        <v>-58000</v>
      </c>
      <c r="J289" s="255">
        <f t="shared" si="69"/>
        <v>0</v>
      </c>
      <c r="L289" s="258">
        <v>598.68</v>
      </c>
      <c r="M289" s="78">
        <v>2.0</v>
      </c>
      <c r="N289" s="134">
        <f>L289/M289</f>
        <v>299.34</v>
      </c>
    </row>
    <row r="290">
      <c r="A290" s="196" t="s">
        <v>19</v>
      </c>
      <c r="B290" s="198" t="str">
        <f>'Faturamento '!L204</f>
        <v/>
      </c>
      <c r="C290" s="197">
        <v>0.1</v>
      </c>
      <c r="D290" s="192">
        <f t="shared" si="66"/>
        <v>0</v>
      </c>
      <c r="E290" s="212">
        <f t="shared" si="67"/>
        <v>20000</v>
      </c>
      <c r="F290" s="212">
        <v>20000.0</v>
      </c>
      <c r="G290" s="199">
        <f>Abr!D133</f>
        <v>0</v>
      </c>
      <c r="H290" s="185"/>
      <c r="I290" s="212">
        <f t="shared" si="68"/>
        <v>-20000</v>
      </c>
      <c r="J290" s="255">
        <f t="shared" si="69"/>
        <v>0</v>
      </c>
      <c r="L290" s="257">
        <v>206.58</v>
      </c>
    </row>
    <row r="291">
      <c r="J291" s="148"/>
    </row>
    <row r="293">
      <c r="A293" s="95" t="s">
        <v>197</v>
      </c>
      <c r="D293" s="95" t="s">
        <v>198</v>
      </c>
      <c r="H293" s="95" t="s">
        <v>198</v>
      </c>
    </row>
    <row r="294">
      <c r="A294" s="239" t="s">
        <v>174</v>
      </c>
      <c r="B294" s="105">
        <v>1500.0</v>
      </c>
      <c r="D294" s="252" t="s">
        <v>174</v>
      </c>
      <c r="E294" s="212">
        <v>18000.0</v>
      </c>
      <c r="F294" s="78"/>
      <c r="H294" s="252" t="s">
        <v>174</v>
      </c>
      <c r="I294" s="212">
        <v>15000.0</v>
      </c>
      <c r="J294" s="212">
        <v>17000.0</v>
      </c>
    </row>
    <row r="295">
      <c r="A295" s="243" t="s">
        <v>175</v>
      </c>
      <c r="B295" s="105">
        <v>1000.0</v>
      </c>
      <c r="D295" s="253" t="s">
        <v>175</v>
      </c>
      <c r="E295" s="212">
        <v>18000.0</v>
      </c>
      <c r="F295" s="78"/>
      <c r="H295" s="253" t="s">
        <v>175</v>
      </c>
      <c r="I295" s="212"/>
      <c r="J295" s="212"/>
    </row>
    <row r="296">
      <c r="A296" s="243" t="s">
        <v>176</v>
      </c>
      <c r="B296" s="105">
        <v>3000.0</v>
      </c>
      <c r="D296" s="253" t="s">
        <v>176</v>
      </c>
      <c r="E296" s="212">
        <v>38000.0</v>
      </c>
      <c r="F296" s="78"/>
      <c r="H296" s="253" t="s">
        <v>176</v>
      </c>
      <c r="I296" s="212">
        <v>34000.0</v>
      </c>
      <c r="J296" s="259">
        <v>36000.0</v>
      </c>
    </row>
    <row r="297">
      <c r="A297" s="243" t="s">
        <v>177</v>
      </c>
      <c r="B297" s="105">
        <v>1000.0</v>
      </c>
      <c r="D297" s="253" t="s">
        <v>177</v>
      </c>
      <c r="E297" s="212">
        <v>20000.0</v>
      </c>
      <c r="F297" s="78"/>
      <c r="H297" s="253" t="s">
        <v>177</v>
      </c>
      <c r="I297" s="212">
        <v>35000.0</v>
      </c>
      <c r="J297" s="212">
        <v>35000.0</v>
      </c>
    </row>
    <row r="298">
      <c r="A298" s="243" t="s">
        <v>188</v>
      </c>
      <c r="B298" s="105">
        <v>1000.0</v>
      </c>
      <c r="D298" s="253" t="s">
        <v>188</v>
      </c>
      <c r="E298" s="212">
        <v>15000.0</v>
      </c>
      <c r="F298" s="78"/>
      <c r="H298" s="253" t="s">
        <v>188</v>
      </c>
      <c r="I298" s="212">
        <v>15000.0</v>
      </c>
      <c r="J298" s="212">
        <v>16000.0</v>
      </c>
    </row>
    <row r="299">
      <c r="A299" s="243" t="s">
        <v>71</v>
      </c>
      <c r="B299" s="105">
        <v>1000.0</v>
      </c>
      <c r="D299" s="253" t="s">
        <v>71</v>
      </c>
      <c r="E299" s="212">
        <v>18000.0</v>
      </c>
      <c r="F299" s="78"/>
      <c r="H299" s="253" t="s">
        <v>71</v>
      </c>
      <c r="I299" s="212">
        <v>16000.0</v>
      </c>
      <c r="J299" s="212">
        <v>17000.0</v>
      </c>
    </row>
    <row r="300">
      <c r="A300" s="243" t="s">
        <v>22</v>
      </c>
      <c r="B300" s="105">
        <v>3000.0</v>
      </c>
      <c r="D300" s="253" t="s">
        <v>22</v>
      </c>
      <c r="E300" s="212">
        <v>58000.0</v>
      </c>
      <c r="F300" s="78"/>
      <c r="H300" s="253" t="s">
        <v>22</v>
      </c>
      <c r="I300" s="212">
        <v>55000.0</v>
      </c>
      <c r="J300" s="259">
        <v>55000.0</v>
      </c>
    </row>
    <row r="301">
      <c r="A301" s="243" t="s">
        <v>19</v>
      </c>
      <c r="B301" s="105">
        <v>1000.0</v>
      </c>
      <c r="D301" s="253" t="s">
        <v>19</v>
      </c>
      <c r="E301" s="212">
        <v>20000.0</v>
      </c>
      <c r="F301" s="78"/>
      <c r="H301" s="253" t="s">
        <v>19</v>
      </c>
      <c r="I301" s="212">
        <v>20000.0</v>
      </c>
      <c r="J301" s="259">
        <v>20000.0</v>
      </c>
    </row>
    <row r="302">
      <c r="B302" s="245"/>
    </row>
    <row r="303">
      <c r="A303" s="1" t="s">
        <v>199</v>
      </c>
      <c r="B303" s="114">
        <f>SUM(B294+B295+B296+B297+B298+B299+B300+B301)</f>
        <v>12500</v>
      </c>
      <c r="D303" s="1" t="s">
        <v>200</v>
      </c>
      <c r="E303" s="246">
        <f>SUM(E294+E295+E296+E297+E298+E299+E300+E301)</f>
        <v>205000</v>
      </c>
      <c r="H303" s="1" t="s">
        <v>200</v>
      </c>
      <c r="I303" s="246">
        <f t="shared" ref="I303:J303" si="70">SUM(I294+I295+I296+I297+I298+I299+I300+I301)</f>
        <v>190000</v>
      </c>
      <c r="J303" s="246">
        <f t="shared" si="70"/>
        <v>196000</v>
      </c>
    </row>
    <row r="305">
      <c r="E305" s="153">
        <f>205000-18000</f>
        <v>187000</v>
      </c>
    </row>
    <row r="314">
      <c r="A314" s="179" t="s">
        <v>167</v>
      </c>
    </row>
    <row r="315">
      <c r="A315" s="180"/>
      <c r="B315" s="180"/>
      <c r="C315" s="180"/>
      <c r="D315" s="180"/>
      <c r="E315" s="180"/>
      <c r="F315" s="180"/>
      <c r="G315" s="180"/>
      <c r="H315" s="180"/>
      <c r="I315" s="180"/>
      <c r="M315" s="153">
        <f>L323-M317-M318</f>
        <v>261</v>
      </c>
    </row>
    <row r="316">
      <c r="A316" s="189" t="s">
        <v>66</v>
      </c>
      <c r="B316" s="229" t="s">
        <v>168</v>
      </c>
      <c r="C316" s="229" t="s">
        <v>169</v>
      </c>
      <c r="D316" s="230"/>
      <c r="E316" s="217" t="s">
        <v>195</v>
      </c>
      <c r="F316" s="229" t="s">
        <v>170</v>
      </c>
      <c r="G316" s="231" t="s">
        <v>171</v>
      </c>
      <c r="H316" s="185"/>
      <c r="I316" s="217" t="s">
        <v>172</v>
      </c>
      <c r="J316" s="232"/>
    </row>
    <row r="317">
      <c r="A317" s="187"/>
      <c r="B317" s="180"/>
      <c r="C317" s="180"/>
      <c r="D317" s="180"/>
      <c r="E317" s="180"/>
      <c r="F317" s="180"/>
      <c r="G317" s="180"/>
      <c r="H317" s="180"/>
      <c r="I317" s="180"/>
      <c r="M317" s="260">
        <f>L323/4</f>
        <v>162</v>
      </c>
      <c r="N317" s="78" t="s">
        <v>242</v>
      </c>
    </row>
    <row r="318">
      <c r="A318" s="189" t="s">
        <v>174</v>
      </c>
      <c r="B318" s="198" t="str">
        <f>'Faturamento '!L235</f>
        <v/>
      </c>
      <c r="C318" s="191">
        <v>0.05</v>
      </c>
      <c r="D318" s="192">
        <f t="shared" ref="D318:D324" si="71">B318*C318</f>
        <v>0</v>
      </c>
      <c r="E318" s="212">
        <f t="shared" ref="E318:E324" si="72">F318-B318</f>
        <v>18000</v>
      </c>
      <c r="F318" s="212">
        <v>18000.0</v>
      </c>
      <c r="G318" s="199">
        <f>Mai!D128</f>
        <v>0</v>
      </c>
      <c r="H318" s="185"/>
      <c r="I318" s="212">
        <f t="shared" ref="I318:I324" si="73">G318-F318</f>
        <v>-18000</v>
      </c>
      <c r="J318" s="255">
        <f t="shared" ref="J318:J324" si="74">(G318*100)/F318</f>
        <v>0</v>
      </c>
      <c r="K318" s="261">
        <v>196.23</v>
      </c>
      <c r="L318" s="78" t="s">
        <v>243</v>
      </c>
      <c r="M318" s="78">
        <v>225.0</v>
      </c>
      <c r="N318" s="78" t="s">
        <v>118</v>
      </c>
    </row>
    <row r="319">
      <c r="A319" s="196" t="s">
        <v>176</v>
      </c>
      <c r="B319" s="198" t="str">
        <f>'Faturamento '!L237</f>
        <v/>
      </c>
      <c r="C319" s="197">
        <v>0.02</v>
      </c>
      <c r="D319" s="192">
        <f t="shared" si="71"/>
        <v>0</v>
      </c>
      <c r="E319" s="262">
        <f t="shared" si="72"/>
        <v>41000</v>
      </c>
      <c r="F319" s="212">
        <v>41000.0</v>
      </c>
      <c r="G319" s="199">
        <f>Mai!D130</f>
        <v>0</v>
      </c>
      <c r="H319" s="185"/>
      <c r="I319" s="212">
        <f t="shared" si="73"/>
        <v>-41000</v>
      </c>
      <c r="J319" s="255">
        <f t="shared" si="74"/>
        <v>0</v>
      </c>
      <c r="K319" s="203"/>
      <c r="L319" s="78" t="s">
        <v>244</v>
      </c>
      <c r="M319" s="78">
        <v>135.0</v>
      </c>
      <c r="N319" s="78" t="s">
        <v>245</v>
      </c>
    </row>
    <row r="320">
      <c r="A320" s="196" t="s">
        <v>177</v>
      </c>
      <c r="B320" s="198" t="str">
        <f>'Faturamento '!L238</f>
        <v/>
      </c>
      <c r="C320" s="197">
        <v>0.1</v>
      </c>
      <c r="D320" s="192">
        <f t="shared" si="71"/>
        <v>0</v>
      </c>
      <c r="E320" s="262">
        <f t="shared" si="72"/>
        <v>25000</v>
      </c>
      <c r="F320" s="212">
        <v>25000.0</v>
      </c>
      <c r="G320" s="199">
        <f>Mai!D131</f>
        <v>0</v>
      </c>
      <c r="H320" s="185"/>
      <c r="I320" s="212">
        <f t="shared" si="73"/>
        <v>-25000</v>
      </c>
      <c r="J320" s="255">
        <f t="shared" si="74"/>
        <v>0</v>
      </c>
      <c r="K320" s="203">
        <v>300.0</v>
      </c>
      <c r="L320" s="78" t="s">
        <v>246</v>
      </c>
      <c r="M320" s="78">
        <v>200.0</v>
      </c>
      <c r="N320" s="78" t="s">
        <v>117</v>
      </c>
      <c r="O320" s="78">
        <v>300.0</v>
      </c>
    </row>
    <row r="321">
      <c r="A321" s="196" t="s">
        <v>188</v>
      </c>
      <c r="B321" s="198" t="str">
        <f>'Faturamento '!L239</f>
        <v/>
      </c>
      <c r="C321" s="197">
        <v>0.3</v>
      </c>
      <c r="D321" s="192">
        <f t="shared" si="71"/>
        <v>0</v>
      </c>
      <c r="E321" s="212">
        <f t="shared" si="72"/>
        <v>16000</v>
      </c>
      <c r="F321" s="212">
        <v>16000.0</v>
      </c>
      <c r="G321" s="199">
        <f>Mai!D132</f>
        <v>0</v>
      </c>
      <c r="H321" s="185"/>
      <c r="I321" s="212">
        <f t="shared" si="73"/>
        <v>-16000</v>
      </c>
      <c r="J321" s="254">
        <f t="shared" si="74"/>
        <v>0</v>
      </c>
      <c r="K321" s="134"/>
    </row>
    <row r="322">
      <c r="A322" s="196" t="s">
        <v>71</v>
      </c>
      <c r="B322" s="198" t="str">
        <f>'Faturamento '!L240</f>
        <v/>
      </c>
      <c r="C322" s="197">
        <v>0.05</v>
      </c>
      <c r="D322" s="192">
        <f t="shared" si="71"/>
        <v>0</v>
      </c>
      <c r="E322" s="262">
        <f t="shared" si="72"/>
        <v>19000</v>
      </c>
      <c r="F322" s="212">
        <v>19000.0</v>
      </c>
      <c r="G322" s="199">
        <f>Mai!D127</f>
        <v>0</v>
      </c>
      <c r="H322" s="185"/>
      <c r="I322" s="212">
        <f t="shared" si="73"/>
        <v>-19000</v>
      </c>
      <c r="J322" s="255">
        <f t="shared" si="74"/>
        <v>0</v>
      </c>
      <c r="K322" s="203">
        <v>222.0</v>
      </c>
      <c r="L322" s="78" t="s">
        <v>247</v>
      </c>
      <c r="M322" s="78" t="s">
        <v>248</v>
      </c>
    </row>
    <row r="323">
      <c r="A323" s="196" t="s">
        <v>22</v>
      </c>
      <c r="B323" s="198" t="str">
        <f>'Faturamento '!L242</f>
        <v/>
      </c>
      <c r="C323" s="197">
        <v>0.05</v>
      </c>
      <c r="D323" s="192">
        <f t="shared" si="71"/>
        <v>0</v>
      </c>
      <c r="E323" s="262">
        <f t="shared" si="72"/>
        <v>60000</v>
      </c>
      <c r="F323" s="212">
        <v>60000.0</v>
      </c>
      <c r="G323" s="199">
        <f>Mai!D134</f>
        <v>0</v>
      </c>
      <c r="H323" s="185"/>
      <c r="I323" s="212">
        <f t="shared" si="73"/>
        <v>-60000</v>
      </c>
      <c r="J323" s="255">
        <f t="shared" si="74"/>
        <v>0</v>
      </c>
      <c r="K323" s="203">
        <v>647.08</v>
      </c>
      <c r="L323" s="78">
        <v>648.0</v>
      </c>
      <c r="M323" s="78" t="s">
        <v>249</v>
      </c>
    </row>
    <row r="324">
      <c r="A324" s="196" t="s">
        <v>19</v>
      </c>
      <c r="B324" s="198" t="str">
        <f>'Faturamento '!L241</f>
        <v/>
      </c>
      <c r="C324" s="197">
        <v>0.1</v>
      </c>
      <c r="D324" s="192">
        <f t="shared" si="71"/>
        <v>0</v>
      </c>
      <c r="E324" s="212">
        <f t="shared" si="72"/>
        <v>21000</v>
      </c>
      <c r="F324" s="212">
        <v>21000.0</v>
      </c>
      <c r="G324" s="199">
        <f>Mai!D133</f>
        <v>0</v>
      </c>
      <c r="H324" s="185"/>
      <c r="I324" s="212">
        <f t="shared" si="73"/>
        <v>-21000</v>
      </c>
      <c r="J324" s="254">
        <f t="shared" si="74"/>
        <v>0</v>
      </c>
      <c r="K324" s="134"/>
      <c r="M324" s="78" t="s">
        <v>250</v>
      </c>
    </row>
    <row r="325">
      <c r="J325" s="148"/>
      <c r="K325" s="134">
        <f>SUM(K318:K324)</f>
        <v>1365.31</v>
      </c>
      <c r="M325" s="78">
        <v>18.0</v>
      </c>
    </row>
    <row r="327">
      <c r="A327" s="95" t="s">
        <v>197</v>
      </c>
      <c r="D327" s="95" t="s">
        <v>198</v>
      </c>
      <c r="H327" s="95" t="s">
        <v>198</v>
      </c>
      <c r="K327" s="95" t="s">
        <v>251</v>
      </c>
    </row>
    <row r="328">
      <c r="A328" s="239" t="s">
        <v>174</v>
      </c>
      <c r="B328" s="263">
        <v>1500.0</v>
      </c>
      <c r="D328" s="252" t="s">
        <v>174</v>
      </c>
      <c r="E328" s="212">
        <v>18000.0</v>
      </c>
      <c r="F328" s="78"/>
      <c r="H328" s="252" t="s">
        <v>174</v>
      </c>
      <c r="I328" s="212">
        <v>17000.0</v>
      </c>
      <c r="J328" s="212">
        <v>21000.0</v>
      </c>
      <c r="K328" s="203">
        <v>18000.0</v>
      </c>
      <c r="L328" s="78">
        <v>19000.0</v>
      </c>
    </row>
    <row r="329">
      <c r="A329" s="243" t="s">
        <v>176</v>
      </c>
      <c r="B329" s="264">
        <v>3000.0</v>
      </c>
      <c r="D329" s="253" t="s">
        <v>176</v>
      </c>
      <c r="E329" s="212">
        <v>41000.0</v>
      </c>
      <c r="F329" s="78"/>
      <c r="H329" s="253" t="s">
        <v>176</v>
      </c>
      <c r="I329" s="212">
        <v>35000.0</v>
      </c>
      <c r="J329" s="212">
        <v>41000.0</v>
      </c>
      <c r="K329" s="203">
        <v>41000.0</v>
      </c>
      <c r="L329" s="78">
        <v>43000.0</v>
      </c>
    </row>
    <row r="330">
      <c r="A330" s="243" t="s">
        <v>177</v>
      </c>
      <c r="B330" s="265">
        <v>1000.0</v>
      </c>
      <c r="D330" s="253" t="s">
        <v>177</v>
      </c>
      <c r="E330" s="212">
        <v>25000.0</v>
      </c>
      <c r="F330" s="78"/>
      <c r="H330" s="253" t="s">
        <v>177</v>
      </c>
      <c r="I330" s="212">
        <v>25000.0</v>
      </c>
      <c r="J330" s="212">
        <v>35000.0</v>
      </c>
      <c r="K330" s="258">
        <v>35000.0</v>
      </c>
      <c r="L330" s="78">
        <v>33000.0</v>
      </c>
    </row>
    <row r="331">
      <c r="A331" s="243" t="s">
        <v>188</v>
      </c>
      <c r="B331" s="265">
        <v>1000.0</v>
      </c>
      <c r="D331" s="253" t="s">
        <v>188</v>
      </c>
      <c r="E331" s="212">
        <v>16000.0</v>
      </c>
      <c r="F331" s="78"/>
      <c r="H331" s="253" t="s">
        <v>188</v>
      </c>
      <c r="I331" s="212">
        <v>15000.0</v>
      </c>
      <c r="J331" s="212">
        <v>25000.0</v>
      </c>
      <c r="K331" s="258">
        <v>20000.0</v>
      </c>
      <c r="L331" s="78">
        <v>17000.0</v>
      </c>
    </row>
    <row r="332">
      <c r="A332" s="243" t="s">
        <v>71</v>
      </c>
      <c r="B332" s="266">
        <v>1000.0</v>
      </c>
      <c r="D332" s="253" t="s">
        <v>71</v>
      </c>
      <c r="E332" s="212">
        <v>19000.0</v>
      </c>
      <c r="F332" s="78"/>
      <c r="H332" s="253" t="s">
        <v>71</v>
      </c>
      <c r="I332" s="212">
        <v>17000.0</v>
      </c>
      <c r="J332" s="212">
        <v>20000.0</v>
      </c>
      <c r="K332" s="203">
        <v>20000.0</v>
      </c>
      <c r="L332" s="78">
        <v>20000.0</v>
      </c>
    </row>
    <row r="333">
      <c r="A333" s="243" t="s">
        <v>22</v>
      </c>
      <c r="B333" s="264">
        <v>3000.0</v>
      </c>
      <c r="D333" s="253" t="s">
        <v>22</v>
      </c>
      <c r="E333" s="212">
        <v>60000.0</v>
      </c>
      <c r="F333" s="78"/>
      <c r="H333" s="253" t="s">
        <v>22</v>
      </c>
      <c r="I333" s="212">
        <v>55000.0</v>
      </c>
      <c r="J333" s="212">
        <v>60000.0</v>
      </c>
      <c r="K333" s="203">
        <v>60000.0</v>
      </c>
      <c r="L333" s="78">
        <v>62000.0</v>
      </c>
    </row>
    <row r="334">
      <c r="A334" s="243" t="s">
        <v>19</v>
      </c>
      <c r="B334" s="263">
        <v>1000.0</v>
      </c>
      <c r="D334" s="253" t="s">
        <v>19</v>
      </c>
      <c r="E334" s="212">
        <v>21000.0</v>
      </c>
      <c r="F334" s="78"/>
      <c r="H334" s="253" t="s">
        <v>19</v>
      </c>
      <c r="I334" s="212">
        <v>20000.0</v>
      </c>
      <c r="J334" s="212">
        <v>21000.0</v>
      </c>
      <c r="K334" s="203">
        <v>21000.0</v>
      </c>
      <c r="L334" s="78">
        <v>21000.0</v>
      </c>
    </row>
    <row r="335">
      <c r="B335" s="245"/>
    </row>
    <row r="336">
      <c r="A336" s="1" t="s">
        <v>199</v>
      </c>
      <c r="B336" s="114">
        <f>SUM(B328+B329+B330+B331+B332+B333+B334)</f>
        <v>11500</v>
      </c>
      <c r="D336" s="1" t="s">
        <v>200</v>
      </c>
      <c r="E336" s="246">
        <f>SUM(E328+E329+E330+E331+E332+E333+E334)</f>
        <v>200000</v>
      </c>
      <c r="H336" s="1" t="s">
        <v>200</v>
      </c>
      <c r="I336" s="246">
        <f t="shared" ref="I336:J336" si="75">SUM(I328+I329+I330+I331+I332+I333+I334)</f>
        <v>184000</v>
      </c>
      <c r="J336" s="246">
        <f t="shared" si="75"/>
        <v>223000</v>
      </c>
      <c r="K336" s="267">
        <f>SUM(K328:K334)</f>
        <v>215000</v>
      </c>
    </row>
    <row r="350">
      <c r="A350" s="179" t="s">
        <v>178</v>
      </c>
    </row>
    <row r="351">
      <c r="A351" s="180"/>
      <c r="B351" s="180"/>
      <c r="C351" s="180"/>
      <c r="D351" s="180"/>
      <c r="E351" s="180"/>
      <c r="F351" s="180"/>
      <c r="G351" s="180"/>
      <c r="H351" s="180"/>
      <c r="I351" s="180"/>
    </row>
    <row r="352">
      <c r="A352" s="189" t="s">
        <v>66</v>
      </c>
      <c r="B352" s="229" t="s">
        <v>168</v>
      </c>
      <c r="C352" s="229" t="s">
        <v>169</v>
      </c>
      <c r="D352" s="230"/>
      <c r="E352" s="217" t="s">
        <v>195</v>
      </c>
      <c r="F352" s="229" t="s">
        <v>170</v>
      </c>
      <c r="G352" s="231" t="s">
        <v>171</v>
      </c>
      <c r="H352" s="185"/>
      <c r="I352" s="217" t="s">
        <v>172</v>
      </c>
      <c r="J352" s="232"/>
    </row>
    <row r="353">
      <c r="A353" s="187"/>
      <c r="B353" s="180"/>
      <c r="C353" s="180"/>
      <c r="D353" s="180"/>
      <c r="E353" s="180"/>
      <c r="F353" s="180"/>
      <c r="G353" s="180"/>
      <c r="H353" s="180"/>
      <c r="I353" s="180"/>
    </row>
    <row r="354">
      <c r="A354" s="189" t="s">
        <v>174</v>
      </c>
      <c r="B354" s="198" t="str">
        <f>'Faturamento '!L271</f>
        <v/>
      </c>
      <c r="C354" s="191">
        <v>0.05</v>
      </c>
      <c r="D354" s="192">
        <f t="shared" ref="D354:D360" si="76">B354*C354</f>
        <v>0</v>
      </c>
      <c r="E354" s="212">
        <f t="shared" ref="E354:E360" si="77">F354-B354</f>
        <v>19000</v>
      </c>
      <c r="F354" s="212">
        <v>19000.0</v>
      </c>
      <c r="G354" s="199">
        <f>Jun!D128</f>
        <v>0</v>
      </c>
      <c r="H354" s="185"/>
      <c r="I354" s="212">
        <f t="shared" ref="I354:I360" si="78">G354-F354</f>
        <v>-19000</v>
      </c>
      <c r="J354" s="254">
        <f t="shared" ref="J354:J360" si="79">(G354*100)/F354</f>
        <v>0</v>
      </c>
    </row>
    <row r="355">
      <c r="A355" s="196" t="s">
        <v>176</v>
      </c>
      <c r="B355" s="198" t="str">
        <f>'Faturamento '!L273</f>
        <v/>
      </c>
      <c r="C355" s="197">
        <v>0.02</v>
      </c>
      <c r="D355" s="192">
        <f t="shared" si="76"/>
        <v>0</v>
      </c>
      <c r="E355" s="262">
        <f t="shared" si="77"/>
        <v>43000</v>
      </c>
      <c r="F355" s="212">
        <v>43000.0</v>
      </c>
      <c r="G355" s="199">
        <f>Jun!D130</f>
        <v>0</v>
      </c>
      <c r="H355" s="185"/>
      <c r="I355" s="212">
        <f t="shared" si="78"/>
        <v>-43000</v>
      </c>
      <c r="J355" s="254">
        <f t="shared" si="79"/>
        <v>0</v>
      </c>
    </row>
    <row r="356">
      <c r="A356" s="196" t="s">
        <v>177</v>
      </c>
      <c r="B356" s="198" t="str">
        <f>'Faturamento '!L274</f>
        <v/>
      </c>
      <c r="C356" s="197">
        <v>0.1</v>
      </c>
      <c r="D356" s="192">
        <f t="shared" si="76"/>
        <v>0</v>
      </c>
      <c r="E356" s="262">
        <f t="shared" si="77"/>
        <v>32000</v>
      </c>
      <c r="F356" s="212">
        <v>32000.0</v>
      </c>
      <c r="G356" s="199">
        <f>Jun!D131</f>
        <v>0</v>
      </c>
      <c r="H356" s="185"/>
      <c r="I356" s="212">
        <f t="shared" si="78"/>
        <v>-32000</v>
      </c>
      <c r="J356" s="254">
        <f t="shared" si="79"/>
        <v>0</v>
      </c>
    </row>
    <row r="357">
      <c r="A357" s="196" t="s">
        <v>188</v>
      </c>
      <c r="B357" s="198" t="str">
        <f>'Faturamento '!L275</f>
        <v/>
      </c>
      <c r="C357" s="197">
        <v>0.3</v>
      </c>
      <c r="D357" s="192">
        <f t="shared" si="76"/>
        <v>0</v>
      </c>
      <c r="E357" s="212">
        <f t="shared" si="77"/>
        <v>16000</v>
      </c>
      <c r="F357" s="212">
        <v>16000.0</v>
      </c>
      <c r="G357" s="199">
        <f>Jun!D132</f>
        <v>0</v>
      </c>
      <c r="H357" s="185"/>
      <c r="I357" s="212">
        <f t="shared" si="78"/>
        <v>-16000</v>
      </c>
      <c r="J357" s="255">
        <f t="shared" si="79"/>
        <v>0</v>
      </c>
      <c r="K357" s="203">
        <v>176.8</v>
      </c>
    </row>
    <row r="358">
      <c r="A358" s="196" t="s">
        <v>71</v>
      </c>
      <c r="B358" s="198" t="str">
        <f>'Faturamento '!L276</f>
        <v/>
      </c>
      <c r="C358" s="197">
        <v>0.05</v>
      </c>
      <c r="D358" s="192">
        <f t="shared" si="76"/>
        <v>0</v>
      </c>
      <c r="E358" s="262">
        <f t="shared" si="77"/>
        <v>21000</v>
      </c>
      <c r="F358" s="212">
        <v>21000.0</v>
      </c>
      <c r="G358" s="199">
        <f>Jun!D127</f>
        <v>0</v>
      </c>
      <c r="H358" s="185"/>
      <c r="I358" s="212">
        <f t="shared" si="78"/>
        <v>-21000</v>
      </c>
      <c r="J358" s="255">
        <f t="shared" si="79"/>
        <v>0</v>
      </c>
      <c r="K358" s="203">
        <v>228.58</v>
      </c>
    </row>
    <row r="359">
      <c r="A359" s="196" t="s">
        <v>22</v>
      </c>
      <c r="B359" s="198" t="str">
        <f>'Faturamento '!L278</f>
        <v/>
      </c>
      <c r="C359" s="197">
        <v>0.05</v>
      </c>
      <c r="D359" s="192">
        <f t="shared" si="76"/>
        <v>0</v>
      </c>
      <c r="E359" s="262">
        <f t="shared" si="77"/>
        <v>63000</v>
      </c>
      <c r="F359" s="212">
        <v>63000.0</v>
      </c>
      <c r="G359" s="199">
        <f>Jun!D134</f>
        <v>0</v>
      </c>
      <c r="H359" s="185"/>
      <c r="I359" s="212">
        <f t="shared" si="78"/>
        <v>-63000</v>
      </c>
      <c r="J359" s="254">
        <f t="shared" si="79"/>
        <v>0</v>
      </c>
    </row>
    <row r="360">
      <c r="A360" s="196" t="s">
        <v>19</v>
      </c>
      <c r="B360" s="198" t="str">
        <f>'Faturamento '!L277</f>
        <v/>
      </c>
      <c r="C360" s="197">
        <v>0.1</v>
      </c>
      <c r="D360" s="192">
        <f t="shared" si="76"/>
        <v>0</v>
      </c>
      <c r="E360" s="212">
        <f t="shared" si="77"/>
        <v>21000</v>
      </c>
      <c r="F360" s="212">
        <v>21000.0</v>
      </c>
      <c r="G360" s="199">
        <f>Jun!D133</f>
        <v>0</v>
      </c>
      <c r="H360" s="185"/>
      <c r="I360" s="212">
        <f t="shared" si="78"/>
        <v>-21000</v>
      </c>
      <c r="J360" s="254">
        <f t="shared" si="79"/>
        <v>0</v>
      </c>
    </row>
    <row r="361">
      <c r="J361" s="148"/>
    </row>
    <row r="363">
      <c r="A363" s="95" t="s">
        <v>197</v>
      </c>
      <c r="D363" s="95" t="s">
        <v>198</v>
      </c>
      <c r="H363" s="95" t="s">
        <v>198</v>
      </c>
      <c r="K363" s="95" t="s">
        <v>251</v>
      </c>
    </row>
    <row r="364">
      <c r="A364" s="239" t="s">
        <v>174</v>
      </c>
      <c r="B364" s="263">
        <v>600.0</v>
      </c>
      <c r="D364" s="252" t="s">
        <v>174</v>
      </c>
      <c r="E364" s="212">
        <v>19000.0</v>
      </c>
      <c r="F364" s="78"/>
      <c r="H364" s="252" t="s">
        <v>174</v>
      </c>
      <c r="I364" s="212">
        <v>17000.0</v>
      </c>
      <c r="J364" s="212">
        <v>21000.0</v>
      </c>
      <c r="K364" s="203">
        <v>18000.0</v>
      </c>
      <c r="L364" s="78">
        <v>19000.0</v>
      </c>
    </row>
    <row r="365">
      <c r="A365" s="243" t="s">
        <v>176</v>
      </c>
      <c r="B365" s="263">
        <v>1500.0</v>
      </c>
      <c r="D365" s="253" t="s">
        <v>176</v>
      </c>
      <c r="E365" s="212">
        <v>43000.0</v>
      </c>
      <c r="F365" s="78"/>
      <c r="H365" s="253" t="s">
        <v>176</v>
      </c>
      <c r="I365" s="212">
        <v>35000.0</v>
      </c>
      <c r="J365" s="212">
        <v>45000.0</v>
      </c>
      <c r="K365" s="203">
        <v>41000.0</v>
      </c>
      <c r="L365" s="78">
        <v>43000.0</v>
      </c>
    </row>
    <row r="366">
      <c r="A366" s="243" t="s">
        <v>177</v>
      </c>
      <c r="B366" s="263">
        <v>1000.0</v>
      </c>
      <c r="D366" s="253" t="s">
        <v>177</v>
      </c>
      <c r="E366" s="212">
        <v>32000.0</v>
      </c>
      <c r="F366" s="78"/>
      <c r="H366" s="253" t="s">
        <v>177</v>
      </c>
      <c r="I366" s="212">
        <v>25000.0</v>
      </c>
      <c r="J366" s="212">
        <v>35000.0</v>
      </c>
      <c r="K366" s="258">
        <v>35000.0</v>
      </c>
      <c r="L366" s="78">
        <v>33000.0</v>
      </c>
    </row>
    <row r="367">
      <c r="A367" s="243" t="s">
        <v>188</v>
      </c>
      <c r="B367" s="263">
        <v>1000.0</v>
      </c>
      <c r="D367" s="253" t="s">
        <v>188</v>
      </c>
      <c r="E367" s="212">
        <v>16000.0</v>
      </c>
      <c r="F367" s="78"/>
      <c r="H367" s="253" t="s">
        <v>188</v>
      </c>
      <c r="I367" s="212">
        <v>15000.0</v>
      </c>
      <c r="J367" s="212">
        <v>30000.0</v>
      </c>
      <c r="K367" s="258">
        <v>20000.0</v>
      </c>
      <c r="L367" s="78">
        <v>17000.0</v>
      </c>
    </row>
    <row r="368">
      <c r="A368" s="243" t="s">
        <v>71</v>
      </c>
      <c r="B368" s="263">
        <v>600.0</v>
      </c>
      <c r="D368" s="253" t="s">
        <v>71</v>
      </c>
      <c r="E368" s="212">
        <v>21000.0</v>
      </c>
      <c r="F368" s="78"/>
      <c r="H368" s="253" t="s">
        <v>71</v>
      </c>
      <c r="I368" s="212">
        <v>17000.0</v>
      </c>
      <c r="J368" s="212">
        <v>22000.0</v>
      </c>
      <c r="K368" s="203">
        <v>20000.0</v>
      </c>
      <c r="L368" s="78">
        <v>20000.0</v>
      </c>
    </row>
    <row r="369">
      <c r="A369" s="243" t="s">
        <v>22</v>
      </c>
      <c r="B369" s="263">
        <v>3000.0</v>
      </c>
      <c r="D369" s="253" t="s">
        <v>22</v>
      </c>
      <c r="E369" s="212">
        <v>63000.0</v>
      </c>
      <c r="F369" s="78"/>
      <c r="H369" s="253" t="s">
        <v>22</v>
      </c>
      <c r="I369" s="212">
        <v>55000.0</v>
      </c>
      <c r="J369" s="212">
        <v>63000.0</v>
      </c>
      <c r="K369" s="203">
        <v>60000.0</v>
      </c>
      <c r="L369" s="78">
        <v>62000.0</v>
      </c>
    </row>
    <row r="370">
      <c r="A370" s="243" t="s">
        <v>19</v>
      </c>
      <c r="B370" s="263">
        <v>800.0</v>
      </c>
      <c r="D370" s="253" t="s">
        <v>19</v>
      </c>
      <c r="E370" s="212">
        <v>21000.0</v>
      </c>
      <c r="F370" s="78"/>
      <c r="H370" s="253" t="s">
        <v>19</v>
      </c>
      <c r="I370" s="212">
        <v>20000.0</v>
      </c>
      <c r="J370" s="212">
        <v>21000.0</v>
      </c>
      <c r="K370" s="203">
        <v>21000.0</v>
      </c>
      <c r="L370" s="78">
        <v>21000.0</v>
      </c>
    </row>
    <row r="371">
      <c r="B371" s="245"/>
    </row>
    <row r="372">
      <c r="A372" s="1" t="s">
        <v>199</v>
      </c>
      <c r="B372" s="114">
        <f>SUM(B364+B365+B366+B367+B368+B369+B370)</f>
        <v>8500</v>
      </c>
      <c r="D372" s="1" t="s">
        <v>200</v>
      </c>
      <c r="E372" s="246">
        <f>SUM(E364+E365+E366+E367+E368+E369+E370)</f>
        <v>215000</v>
      </c>
      <c r="H372" s="1" t="s">
        <v>200</v>
      </c>
      <c r="I372" s="246">
        <f t="shared" ref="I372:J372" si="80">SUM(I364+I365+I366+I367+I368+I369+I370)</f>
        <v>184000</v>
      </c>
      <c r="J372" s="246">
        <f t="shared" si="80"/>
        <v>237000</v>
      </c>
      <c r="K372" s="267">
        <f>SUM(K364:K370)</f>
        <v>215000</v>
      </c>
    </row>
    <row r="385">
      <c r="A385" s="179" t="s">
        <v>186</v>
      </c>
    </row>
    <row r="386">
      <c r="A386" s="180"/>
      <c r="B386" s="180"/>
      <c r="C386" s="180"/>
      <c r="D386" s="180"/>
      <c r="E386" s="180"/>
      <c r="F386" s="180"/>
      <c r="G386" s="180"/>
      <c r="H386" s="180"/>
      <c r="I386" s="180"/>
    </row>
    <row r="387">
      <c r="A387" s="189" t="s">
        <v>66</v>
      </c>
      <c r="B387" s="229" t="s">
        <v>168</v>
      </c>
      <c r="C387" s="229" t="s">
        <v>169</v>
      </c>
      <c r="D387" s="230"/>
      <c r="E387" s="217" t="s">
        <v>195</v>
      </c>
      <c r="F387" s="229" t="s">
        <v>170</v>
      </c>
      <c r="G387" s="231" t="s">
        <v>171</v>
      </c>
      <c r="H387" s="185"/>
      <c r="I387" s="217" t="s">
        <v>172</v>
      </c>
      <c r="J387" s="232"/>
    </row>
    <row r="388">
      <c r="A388" s="187"/>
      <c r="B388" s="180"/>
      <c r="C388" s="180"/>
      <c r="D388" s="180"/>
      <c r="E388" s="180"/>
      <c r="F388" s="180"/>
      <c r="G388" s="180"/>
      <c r="H388" s="180"/>
      <c r="I388" s="180"/>
    </row>
    <row r="389">
      <c r="A389" s="189" t="s">
        <v>174</v>
      </c>
      <c r="B389" s="198" t="str">
        <f>'Faturamento '!L306</f>
        <v/>
      </c>
      <c r="C389" s="191">
        <v>0.05</v>
      </c>
      <c r="D389" s="192">
        <f t="shared" ref="D389:D395" si="81">B389*C389</f>
        <v>0</v>
      </c>
      <c r="E389" s="212">
        <f t="shared" ref="E389:E395" si="82">F389-B389</f>
        <v>19000</v>
      </c>
      <c r="F389" s="212">
        <v>19000.0</v>
      </c>
      <c r="G389" s="199">
        <f>Jul!D128</f>
        <v>0</v>
      </c>
      <c r="H389" s="185"/>
      <c r="I389" s="212">
        <f t="shared" ref="I389:I395" si="83">G389-F389</f>
        <v>-19000</v>
      </c>
      <c r="J389" s="255">
        <f t="shared" ref="J389:J395" si="84">(G389*100)/F389</f>
        <v>0</v>
      </c>
      <c r="K389" s="258">
        <v>214.0</v>
      </c>
    </row>
    <row r="390">
      <c r="A390" s="196" t="s">
        <v>176</v>
      </c>
      <c r="B390" s="198" t="str">
        <f>'Faturamento '!L308</f>
        <v/>
      </c>
      <c r="C390" s="197">
        <v>0.02</v>
      </c>
      <c r="D390" s="192">
        <f t="shared" si="81"/>
        <v>0</v>
      </c>
      <c r="E390" s="212">
        <f t="shared" si="82"/>
        <v>41000</v>
      </c>
      <c r="F390" s="212">
        <v>41000.0</v>
      </c>
      <c r="G390" s="199">
        <f>Jul!D130</f>
        <v>0</v>
      </c>
      <c r="H390" s="185"/>
      <c r="I390" s="212">
        <f t="shared" si="83"/>
        <v>-41000</v>
      </c>
      <c r="J390" s="255">
        <f t="shared" si="84"/>
        <v>0</v>
      </c>
      <c r="K390" s="268">
        <v>440.0</v>
      </c>
    </row>
    <row r="391">
      <c r="A391" s="196" t="s">
        <v>177</v>
      </c>
      <c r="B391" s="198" t="str">
        <f>'Faturamento '!L309</f>
        <v/>
      </c>
      <c r="C391" s="197">
        <v>0.1</v>
      </c>
      <c r="D391" s="192">
        <f t="shared" si="81"/>
        <v>0</v>
      </c>
      <c r="E391" s="212">
        <f t="shared" si="82"/>
        <v>30000</v>
      </c>
      <c r="F391" s="212">
        <v>30000.0</v>
      </c>
      <c r="G391" s="199">
        <f>Jul!D131</f>
        <v>0</v>
      </c>
      <c r="H391" s="185"/>
      <c r="I391" s="212">
        <f t="shared" si="83"/>
        <v>-30000</v>
      </c>
      <c r="J391" s="254">
        <f t="shared" si="84"/>
        <v>0</v>
      </c>
      <c r="K391" s="134"/>
    </row>
    <row r="392">
      <c r="A392" s="196" t="s">
        <v>188</v>
      </c>
      <c r="B392" s="198" t="str">
        <f>'Faturamento '!L310</f>
        <v/>
      </c>
      <c r="C392" s="197">
        <v>0.3</v>
      </c>
      <c r="D392" s="192">
        <f t="shared" si="81"/>
        <v>0</v>
      </c>
      <c r="E392" s="212">
        <f t="shared" si="82"/>
        <v>18000</v>
      </c>
      <c r="F392" s="212">
        <v>18000.0</v>
      </c>
      <c r="G392" s="199">
        <f>Jul!D132</f>
        <v>0</v>
      </c>
      <c r="H392" s="185"/>
      <c r="I392" s="212">
        <f t="shared" si="83"/>
        <v>-18000</v>
      </c>
      <c r="J392" s="254">
        <f t="shared" si="84"/>
        <v>0</v>
      </c>
      <c r="K392" s="134"/>
    </row>
    <row r="393">
      <c r="A393" s="196" t="s">
        <v>71</v>
      </c>
      <c r="B393" s="198" t="str">
        <f>'Faturamento '!L311</f>
        <v/>
      </c>
      <c r="C393" s="197">
        <v>0.05</v>
      </c>
      <c r="D393" s="192">
        <f t="shared" si="81"/>
        <v>0</v>
      </c>
      <c r="E393" s="212">
        <f t="shared" si="82"/>
        <v>23000</v>
      </c>
      <c r="F393" s="212">
        <v>23000.0</v>
      </c>
      <c r="G393" s="199">
        <f>Jul!D127</f>
        <v>0</v>
      </c>
      <c r="H393" s="185"/>
      <c r="I393" s="212">
        <f t="shared" si="83"/>
        <v>-23000</v>
      </c>
      <c r="J393" s="255">
        <f t="shared" si="84"/>
        <v>0</v>
      </c>
      <c r="K393" s="258">
        <v>236.0</v>
      </c>
    </row>
    <row r="394">
      <c r="A394" s="196" t="s">
        <v>22</v>
      </c>
      <c r="B394" s="198" t="str">
        <f>'Faturamento '!L313</f>
        <v/>
      </c>
      <c r="C394" s="197">
        <v>0.05</v>
      </c>
      <c r="D394" s="192">
        <f t="shared" si="81"/>
        <v>0</v>
      </c>
      <c r="E394" s="212">
        <f t="shared" si="82"/>
        <v>60000</v>
      </c>
      <c r="F394" s="212">
        <v>60000.0</v>
      </c>
      <c r="G394" s="199">
        <f>Jul!D134</f>
        <v>0</v>
      </c>
      <c r="H394" s="185"/>
      <c r="I394" s="212">
        <f t="shared" si="83"/>
        <v>-60000</v>
      </c>
      <c r="J394" s="255">
        <f t="shared" si="84"/>
        <v>0</v>
      </c>
      <c r="K394" s="268">
        <v>713.0</v>
      </c>
      <c r="L394" s="134">
        <f>K394/2</f>
        <v>356.5</v>
      </c>
    </row>
    <row r="395">
      <c r="A395" s="196" t="s">
        <v>19</v>
      </c>
      <c r="B395" s="198" t="str">
        <f>'Faturamento '!L312</f>
        <v/>
      </c>
      <c r="C395" s="197">
        <v>0.1</v>
      </c>
      <c r="D395" s="192">
        <f t="shared" si="81"/>
        <v>0</v>
      </c>
      <c r="E395" s="212">
        <f t="shared" si="82"/>
        <v>22000</v>
      </c>
      <c r="F395" s="212">
        <v>22000.0</v>
      </c>
      <c r="G395" s="199">
        <f>Jul!D133</f>
        <v>0</v>
      </c>
      <c r="H395" s="185"/>
      <c r="I395" s="212">
        <f t="shared" si="83"/>
        <v>-22000</v>
      </c>
      <c r="J395" s="254">
        <f t="shared" si="84"/>
        <v>0</v>
      </c>
    </row>
    <row r="396">
      <c r="J396" s="148"/>
    </row>
    <row r="398">
      <c r="A398" s="95" t="s">
        <v>197</v>
      </c>
      <c r="D398" s="95" t="s">
        <v>198</v>
      </c>
      <c r="H398" s="95" t="s">
        <v>198</v>
      </c>
      <c r="K398" s="95" t="s">
        <v>251</v>
      </c>
    </row>
    <row r="399">
      <c r="A399" s="239" t="s">
        <v>174</v>
      </c>
      <c r="B399" s="263">
        <v>600.0</v>
      </c>
      <c r="D399" s="252" t="s">
        <v>174</v>
      </c>
      <c r="E399" s="212">
        <v>19000.0</v>
      </c>
      <c r="F399" s="78"/>
      <c r="H399" s="252" t="s">
        <v>174</v>
      </c>
      <c r="I399" s="212">
        <v>17000.0</v>
      </c>
      <c r="J399" s="212">
        <v>21000.0</v>
      </c>
      <c r="K399" s="203">
        <v>18000.0</v>
      </c>
      <c r="L399" s="78">
        <v>19000.0</v>
      </c>
    </row>
    <row r="400">
      <c r="A400" s="243" t="s">
        <v>176</v>
      </c>
      <c r="B400" s="263">
        <v>1500.0</v>
      </c>
      <c r="D400" s="253" t="s">
        <v>176</v>
      </c>
      <c r="E400" s="212">
        <v>41000.0</v>
      </c>
      <c r="F400" s="78"/>
      <c r="H400" s="253" t="s">
        <v>176</v>
      </c>
      <c r="I400" s="212">
        <v>35000.0</v>
      </c>
      <c r="J400" s="212">
        <v>45000.0</v>
      </c>
      <c r="K400" s="203">
        <v>41000.0</v>
      </c>
      <c r="L400" s="78">
        <v>43000.0</v>
      </c>
    </row>
    <row r="401">
      <c r="A401" s="243" t="s">
        <v>177</v>
      </c>
      <c r="B401" s="263">
        <v>1000.0</v>
      </c>
      <c r="D401" s="253" t="s">
        <v>177</v>
      </c>
      <c r="E401" s="212">
        <v>30000.0</v>
      </c>
      <c r="F401" s="78"/>
      <c r="H401" s="253" t="s">
        <v>177</v>
      </c>
      <c r="I401" s="212">
        <v>25000.0</v>
      </c>
      <c r="J401" s="212">
        <v>35000.0</v>
      </c>
      <c r="K401" s="258">
        <v>35000.0</v>
      </c>
      <c r="L401" s="78">
        <v>33000.0</v>
      </c>
    </row>
    <row r="402">
      <c r="A402" s="243" t="s">
        <v>188</v>
      </c>
      <c r="B402" s="263">
        <v>1000.0</v>
      </c>
      <c r="D402" s="253" t="s">
        <v>188</v>
      </c>
      <c r="E402" s="212">
        <v>18000.0</v>
      </c>
      <c r="F402" s="78"/>
      <c r="H402" s="253" t="s">
        <v>188</v>
      </c>
      <c r="I402" s="212">
        <v>15000.0</v>
      </c>
      <c r="J402" s="212">
        <v>30000.0</v>
      </c>
      <c r="K402" s="258">
        <v>20000.0</v>
      </c>
      <c r="L402" s="78">
        <v>17000.0</v>
      </c>
    </row>
    <row r="403">
      <c r="A403" s="243" t="s">
        <v>71</v>
      </c>
      <c r="B403" s="263">
        <v>600.0</v>
      </c>
      <c r="D403" s="253" t="s">
        <v>71</v>
      </c>
      <c r="E403" s="212">
        <v>23000.0</v>
      </c>
      <c r="F403" s="78"/>
      <c r="H403" s="253" t="s">
        <v>71</v>
      </c>
      <c r="I403" s="212">
        <v>17000.0</v>
      </c>
      <c r="J403" s="212">
        <v>22000.0</v>
      </c>
      <c r="K403" s="203">
        <v>20000.0</v>
      </c>
      <c r="L403" s="78">
        <v>20000.0</v>
      </c>
    </row>
    <row r="404">
      <c r="A404" s="243" t="s">
        <v>22</v>
      </c>
      <c r="B404" s="263">
        <v>3000.0</v>
      </c>
      <c r="D404" s="253" t="s">
        <v>22</v>
      </c>
      <c r="E404" s="212">
        <v>60000.0</v>
      </c>
      <c r="F404" s="78"/>
      <c r="H404" s="253" t="s">
        <v>22</v>
      </c>
      <c r="I404" s="212">
        <v>55000.0</v>
      </c>
      <c r="J404" s="212">
        <v>63000.0</v>
      </c>
      <c r="K404" s="203">
        <v>60000.0</v>
      </c>
      <c r="L404" s="78">
        <v>62000.0</v>
      </c>
    </row>
    <row r="405">
      <c r="A405" s="243" t="s">
        <v>19</v>
      </c>
      <c r="B405" s="263">
        <v>800.0</v>
      </c>
      <c r="D405" s="253" t="s">
        <v>19</v>
      </c>
      <c r="E405" s="212">
        <v>22000.0</v>
      </c>
      <c r="F405" s="78"/>
      <c r="H405" s="253" t="s">
        <v>19</v>
      </c>
      <c r="I405" s="212">
        <v>20000.0</v>
      </c>
      <c r="J405" s="212">
        <v>21000.0</v>
      </c>
      <c r="K405" s="203">
        <v>21000.0</v>
      </c>
      <c r="L405" s="78">
        <v>21000.0</v>
      </c>
    </row>
    <row r="406">
      <c r="B406" s="245"/>
    </row>
    <row r="407">
      <c r="A407" s="1" t="s">
        <v>199</v>
      </c>
      <c r="B407" s="114">
        <f>SUM(B399+B400+B401+B402+B403+B404+B405)</f>
        <v>8500</v>
      </c>
      <c r="D407" s="1" t="s">
        <v>200</v>
      </c>
      <c r="E407" s="246">
        <f>SUM(E399+E400+E401+E402+E403+E404+E405)</f>
        <v>213000</v>
      </c>
      <c r="H407" s="1" t="s">
        <v>200</v>
      </c>
      <c r="I407" s="246">
        <f t="shared" ref="I407:J407" si="85">SUM(I399+I400+I401+I402+I403+I404+I405)</f>
        <v>184000</v>
      </c>
      <c r="J407" s="246">
        <f t="shared" si="85"/>
        <v>237000</v>
      </c>
      <c r="K407" s="267">
        <f>SUM(K399:K405)</f>
        <v>215000</v>
      </c>
    </row>
    <row r="420">
      <c r="A420" s="179" t="s">
        <v>187</v>
      </c>
    </row>
    <row r="421">
      <c r="A421" s="180"/>
      <c r="B421" s="180"/>
      <c r="C421" s="180"/>
      <c r="D421" s="180"/>
      <c r="E421" s="180"/>
      <c r="F421" s="180"/>
      <c r="G421" s="180"/>
      <c r="H421" s="180"/>
      <c r="I421" s="180"/>
    </row>
    <row r="422">
      <c r="A422" s="189" t="s">
        <v>66</v>
      </c>
      <c r="B422" s="229" t="s">
        <v>168</v>
      </c>
      <c r="C422" s="229" t="s">
        <v>169</v>
      </c>
      <c r="D422" s="230"/>
      <c r="E422" s="217" t="s">
        <v>195</v>
      </c>
      <c r="F422" s="229" t="s">
        <v>170</v>
      </c>
      <c r="G422" s="231" t="s">
        <v>171</v>
      </c>
      <c r="H422" s="185"/>
      <c r="I422" s="217" t="s">
        <v>172</v>
      </c>
      <c r="J422" s="232"/>
    </row>
    <row r="423">
      <c r="A423" s="187"/>
      <c r="B423" s="180"/>
      <c r="C423" s="180"/>
      <c r="D423" s="180"/>
      <c r="E423" s="180"/>
      <c r="F423" s="180"/>
      <c r="G423" s="180"/>
      <c r="H423" s="180"/>
      <c r="I423" s="180"/>
    </row>
    <row r="424">
      <c r="A424" s="189" t="s">
        <v>174</v>
      </c>
      <c r="B424" s="198" t="str">
        <f>'Faturamento '!L341</f>
        <v/>
      </c>
      <c r="C424" s="191">
        <v>0.05</v>
      </c>
      <c r="D424" s="192">
        <f t="shared" ref="D424:D431" si="86">B424*C424</f>
        <v>0</v>
      </c>
      <c r="E424" s="212">
        <f t="shared" ref="E424:E431" si="87">F424-B424</f>
        <v>21000</v>
      </c>
      <c r="F424" s="212">
        <v>21000.0</v>
      </c>
      <c r="G424" s="199">
        <f>Ago!D128</f>
        <v>0</v>
      </c>
      <c r="H424" s="185"/>
      <c r="I424" s="212">
        <f t="shared" ref="I424:I431" si="88">G424-F424</f>
        <v>-21000</v>
      </c>
      <c r="J424" s="254">
        <f t="shared" ref="J424:J431" si="89">(G424*100)/F424</f>
        <v>0</v>
      </c>
    </row>
    <row r="425">
      <c r="A425" s="196" t="s">
        <v>176</v>
      </c>
      <c r="B425" s="198" t="str">
        <f>'Faturamento '!L343</f>
        <v/>
      </c>
      <c r="C425" s="197">
        <v>0.02</v>
      </c>
      <c r="D425" s="192">
        <f t="shared" si="86"/>
        <v>0</v>
      </c>
      <c r="E425" s="212">
        <f t="shared" si="87"/>
        <v>43000</v>
      </c>
      <c r="F425" s="212">
        <v>43000.0</v>
      </c>
      <c r="G425" s="199">
        <f>Ago!D130</f>
        <v>0</v>
      </c>
      <c r="H425" s="185"/>
      <c r="I425" s="212">
        <f t="shared" si="88"/>
        <v>-43000</v>
      </c>
      <c r="J425" s="255">
        <f t="shared" si="89"/>
        <v>0</v>
      </c>
    </row>
    <row r="426">
      <c r="A426" s="196" t="s">
        <v>177</v>
      </c>
      <c r="B426" s="198" t="str">
        <f>'Faturamento '!L344</f>
        <v/>
      </c>
      <c r="C426" s="197">
        <v>0.1</v>
      </c>
      <c r="D426" s="192">
        <f t="shared" si="86"/>
        <v>0</v>
      </c>
      <c r="E426" s="212">
        <f t="shared" si="87"/>
        <v>28000</v>
      </c>
      <c r="F426" s="212">
        <v>28000.0</v>
      </c>
      <c r="G426" s="199">
        <f>Ago!D131</f>
        <v>0</v>
      </c>
      <c r="H426" s="185"/>
      <c r="I426" s="212">
        <f t="shared" si="88"/>
        <v>-28000</v>
      </c>
      <c r="J426" s="255">
        <f t="shared" si="89"/>
        <v>0</v>
      </c>
    </row>
    <row r="427">
      <c r="A427" s="196" t="s">
        <v>188</v>
      </c>
      <c r="B427" s="198" t="str">
        <f>'Faturamento '!L345</f>
        <v/>
      </c>
      <c r="C427" s="197">
        <v>0.3</v>
      </c>
      <c r="D427" s="192">
        <f t="shared" si="86"/>
        <v>0</v>
      </c>
      <c r="E427" s="212">
        <f t="shared" si="87"/>
        <v>18000</v>
      </c>
      <c r="F427" s="212">
        <v>18000.0</v>
      </c>
      <c r="G427" s="199">
        <f>Ago!D132</f>
        <v>0</v>
      </c>
      <c r="H427" s="185"/>
      <c r="I427" s="212">
        <f t="shared" si="88"/>
        <v>-18000</v>
      </c>
      <c r="J427" s="254">
        <f t="shared" si="89"/>
        <v>0</v>
      </c>
    </row>
    <row r="428">
      <c r="A428" s="196" t="s">
        <v>71</v>
      </c>
      <c r="B428" s="198" t="str">
        <f>'Faturamento '!L346</f>
        <v/>
      </c>
      <c r="C428" s="197">
        <v>0.05</v>
      </c>
      <c r="D428" s="192">
        <f t="shared" si="86"/>
        <v>0</v>
      </c>
      <c r="E428" s="212">
        <f t="shared" si="87"/>
        <v>24000</v>
      </c>
      <c r="F428" s="212">
        <v>24000.0</v>
      </c>
      <c r="G428" s="199">
        <f>Ago!D127</f>
        <v>0</v>
      </c>
      <c r="H428" s="185"/>
      <c r="I428" s="212">
        <f t="shared" si="88"/>
        <v>-24000</v>
      </c>
      <c r="J428" s="254">
        <f t="shared" si="89"/>
        <v>0</v>
      </c>
    </row>
    <row r="429">
      <c r="A429" s="196" t="s">
        <v>22</v>
      </c>
      <c r="B429" s="198" t="str">
        <f>'Faturamento '!L348</f>
        <v/>
      </c>
      <c r="C429" s="197">
        <v>0.05</v>
      </c>
      <c r="D429" s="192">
        <f t="shared" si="86"/>
        <v>0</v>
      </c>
      <c r="E429" s="212">
        <f t="shared" si="87"/>
        <v>68000</v>
      </c>
      <c r="F429" s="212">
        <v>68000.0</v>
      </c>
      <c r="G429" s="199">
        <f>Ago!D134</f>
        <v>0</v>
      </c>
      <c r="H429" s="185"/>
      <c r="I429" s="212">
        <f t="shared" si="88"/>
        <v>-68000</v>
      </c>
      <c r="J429" s="254">
        <f t="shared" si="89"/>
        <v>0</v>
      </c>
      <c r="K429" s="134">
        <f>I429/21</f>
        <v>-3238.095238</v>
      </c>
    </row>
    <row r="430">
      <c r="A430" s="196" t="s">
        <v>19</v>
      </c>
      <c r="B430" s="198" t="str">
        <f>'Faturamento '!L347</f>
        <v/>
      </c>
      <c r="C430" s="197">
        <v>0.1</v>
      </c>
      <c r="D430" s="192">
        <f t="shared" si="86"/>
        <v>0</v>
      </c>
      <c r="E430" s="212">
        <f t="shared" si="87"/>
        <v>21000</v>
      </c>
      <c r="F430" s="212">
        <v>21000.0</v>
      </c>
      <c r="G430" s="199">
        <f>Ago!D133</f>
        <v>0</v>
      </c>
      <c r="H430" s="185"/>
      <c r="I430" s="212">
        <f t="shared" si="88"/>
        <v>-21000</v>
      </c>
      <c r="J430" s="255">
        <f t="shared" si="89"/>
        <v>0</v>
      </c>
    </row>
    <row r="431">
      <c r="A431" s="196" t="s">
        <v>79</v>
      </c>
      <c r="B431" s="198" t="str">
        <f>'Faturamento '!L348</f>
        <v/>
      </c>
      <c r="C431" s="197">
        <v>0.1</v>
      </c>
      <c r="D431" s="192">
        <f t="shared" si="86"/>
        <v>0</v>
      </c>
      <c r="E431" s="212">
        <f t="shared" si="87"/>
        <v>1500</v>
      </c>
      <c r="F431" s="212">
        <v>1500.0</v>
      </c>
      <c r="G431" s="199">
        <f>Ago!D129</f>
        <v>0</v>
      </c>
      <c r="H431" s="185"/>
      <c r="I431" s="212">
        <f t="shared" si="88"/>
        <v>-1500</v>
      </c>
      <c r="J431" s="254">
        <f t="shared" si="89"/>
        <v>0</v>
      </c>
    </row>
    <row r="432">
      <c r="J432" s="148"/>
    </row>
    <row r="434">
      <c r="A434" s="95" t="s">
        <v>197</v>
      </c>
      <c r="D434" s="95" t="s">
        <v>198</v>
      </c>
      <c r="H434" s="95" t="s">
        <v>198</v>
      </c>
      <c r="K434" s="95" t="s">
        <v>251</v>
      </c>
    </row>
    <row r="435">
      <c r="A435" s="239" t="s">
        <v>174</v>
      </c>
      <c r="B435" s="263">
        <v>600.0</v>
      </c>
      <c r="D435" s="252" t="s">
        <v>174</v>
      </c>
      <c r="E435" s="212">
        <v>21000.0</v>
      </c>
      <c r="F435" s="78"/>
      <c r="H435" s="252" t="s">
        <v>174</v>
      </c>
      <c r="I435" s="212">
        <v>17000.0</v>
      </c>
      <c r="J435" s="212">
        <v>21500.0</v>
      </c>
      <c r="K435" s="203">
        <v>18000.0</v>
      </c>
      <c r="L435" s="78">
        <v>19000.0</v>
      </c>
    </row>
    <row r="436">
      <c r="A436" s="243" t="s">
        <v>176</v>
      </c>
      <c r="B436" s="263">
        <v>1500.0</v>
      </c>
      <c r="D436" s="253" t="s">
        <v>176</v>
      </c>
      <c r="E436" s="212">
        <v>43000.0</v>
      </c>
      <c r="F436" s="78"/>
      <c r="H436" s="253" t="s">
        <v>176</v>
      </c>
      <c r="I436" s="212">
        <v>35000.0</v>
      </c>
      <c r="J436" s="212">
        <v>45000.0</v>
      </c>
      <c r="K436" s="203">
        <v>41000.0</v>
      </c>
      <c r="L436" s="78">
        <v>43000.0</v>
      </c>
    </row>
    <row r="437">
      <c r="A437" s="243" t="s">
        <v>177</v>
      </c>
      <c r="B437" s="263">
        <v>1000.0</v>
      </c>
      <c r="D437" s="253" t="s">
        <v>177</v>
      </c>
      <c r="E437" s="212">
        <v>28000.0</v>
      </c>
      <c r="F437" s="78"/>
      <c r="H437" s="253" t="s">
        <v>177</v>
      </c>
      <c r="I437" s="212">
        <v>25000.0</v>
      </c>
      <c r="J437" s="212">
        <v>35000.0</v>
      </c>
      <c r="K437" s="258">
        <v>35000.0</v>
      </c>
      <c r="L437" s="78">
        <v>33000.0</v>
      </c>
    </row>
    <row r="438">
      <c r="A438" s="243" t="s">
        <v>188</v>
      </c>
      <c r="B438" s="263">
        <v>1000.0</v>
      </c>
      <c r="D438" s="253" t="s">
        <v>188</v>
      </c>
      <c r="E438" s="212">
        <v>18000.0</v>
      </c>
      <c r="F438" s="78"/>
      <c r="H438" s="253" t="s">
        <v>188</v>
      </c>
      <c r="I438" s="212">
        <v>15000.0</v>
      </c>
      <c r="J438" s="212">
        <v>35000.0</v>
      </c>
      <c r="K438" s="258">
        <v>20000.0</v>
      </c>
      <c r="L438" s="78">
        <v>17000.0</v>
      </c>
    </row>
    <row r="439">
      <c r="A439" s="243" t="s">
        <v>71</v>
      </c>
      <c r="B439" s="263">
        <v>600.0</v>
      </c>
      <c r="D439" s="253" t="s">
        <v>71</v>
      </c>
      <c r="E439" s="212">
        <v>24000.0</v>
      </c>
      <c r="F439" s="78"/>
      <c r="H439" s="253" t="s">
        <v>71</v>
      </c>
      <c r="I439" s="212">
        <v>17000.0</v>
      </c>
      <c r="J439" s="212">
        <v>30000.0</v>
      </c>
      <c r="K439" s="203">
        <v>20000.0</v>
      </c>
      <c r="L439" s="78">
        <v>20000.0</v>
      </c>
    </row>
    <row r="440">
      <c r="A440" s="243" t="s">
        <v>22</v>
      </c>
      <c r="B440" s="263">
        <v>3000.0</v>
      </c>
      <c r="D440" s="253" t="s">
        <v>22</v>
      </c>
      <c r="E440" s="212">
        <v>68000.0</v>
      </c>
      <c r="F440" s="78"/>
      <c r="H440" s="253" t="s">
        <v>22</v>
      </c>
      <c r="I440" s="212">
        <v>55000.0</v>
      </c>
      <c r="J440" s="212">
        <v>70000.0</v>
      </c>
      <c r="K440" s="203">
        <v>60000.0</v>
      </c>
      <c r="L440" s="78">
        <v>62000.0</v>
      </c>
    </row>
    <row r="441">
      <c r="A441" s="269" t="s">
        <v>19</v>
      </c>
      <c r="B441" s="263">
        <v>800.0</v>
      </c>
      <c r="D441" s="253" t="s">
        <v>19</v>
      </c>
      <c r="E441" s="212">
        <v>21000.0</v>
      </c>
      <c r="F441" s="78"/>
      <c r="H441" s="253" t="s">
        <v>19</v>
      </c>
      <c r="I441" s="270">
        <v>20000.0</v>
      </c>
      <c r="J441" s="212">
        <v>21000.0</v>
      </c>
      <c r="K441" s="203">
        <v>21000.0</v>
      </c>
      <c r="L441" s="78">
        <v>21000.0</v>
      </c>
    </row>
    <row r="442">
      <c r="A442" s="271" t="s">
        <v>79</v>
      </c>
      <c r="B442" s="105">
        <v>500.0</v>
      </c>
      <c r="D442" s="253" t="s">
        <v>79</v>
      </c>
      <c r="E442" s="212">
        <v>1500.0</v>
      </c>
      <c r="H442" s="272" t="s">
        <v>79</v>
      </c>
      <c r="I442" s="273">
        <v>3000.0</v>
      </c>
      <c r="J442" s="212">
        <v>10000.0</v>
      </c>
    </row>
    <row r="443">
      <c r="B443" s="245"/>
    </row>
    <row r="444">
      <c r="A444" s="1" t="s">
        <v>199</v>
      </c>
      <c r="B444" s="114">
        <f>SUM(B435+B436+B437+B438+B439+B440+B441)</f>
        <v>8500</v>
      </c>
      <c r="D444" s="1" t="s">
        <v>200</v>
      </c>
      <c r="E444" s="246">
        <f>SUM(E435+E436+E437+E438+E439+E440+E441+E442)</f>
        <v>224500</v>
      </c>
      <c r="H444" s="1" t="s">
        <v>200</v>
      </c>
      <c r="I444" s="246">
        <f t="shared" ref="I444:J444" si="90">SUM(I435+I436+I437+I438+I439+I440+I441+I442)</f>
        <v>187000</v>
      </c>
      <c r="J444" s="246">
        <f t="shared" si="90"/>
        <v>267500</v>
      </c>
      <c r="K444" s="267">
        <f>SUM(K435:K441)</f>
        <v>215000</v>
      </c>
    </row>
    <row r="446">
      <c r="E446" s="134">
        <f>E444-199000</f>
        <v>25500</v>
      </c>
      <c r="J446" s="153">
        <f>257000-199000</f>
        <v>58000</v>
      </c>
    </row>
    <row r="458">
      <c r="A458" s="179" t="s">
        <v>189</v>
      </c>
    </row>
    <row r="459">
      <c r="A459" s="180"/>
      <c r="B459" s="180"/>
      <c r="C459" s="180"/>
      <c r="D459" s="180"/>
      <c r="E459" s="180"/>
      <c r="F459" s="180"/>
      <c r="G459" s="180"/>
      <c r="H459" s="180"/>
      <c r="I459" s="180"/>
    </row>
    <row r="460">
      <c r="A460" s="189" t="s">
        <v>66</v>
      </c>
      <c r="B460" s="229" t="s">
        <v>168</v>
      </c>
      <c r="C460" s="229" t="s">
        <v>169</v>
      </c>
      <c r="D460" s="230"/>
      <c r="E460" s="217" t="s">
        <v>195</v>
      </c>
      <c r="F460" s="229" t="s">
        <v>170</v>
      </c>
      <c r="G460" s="231" t="s">
        <v>171</v>
      </c>
      <c r="H460" s="185"/>
      <c r="I460" s="217" t="s">
        <v>172</v>
      </c>
      <c r="J460" s="232"/>
    </row>
    <row r="461">
      <c r="A461" s="187"/>
      <c r="B461" s="180"/>
      <c r="C461" s="180"/>
      <c r="D461" s="180"/>
      <c r="E461" s="180"/>
      <c r="F461" s="180"/>
      <c r="G461" s="180"/>
      <c r="H461" s="180"/>
      <c r="I461" s="180"/>
    </row>
    <row r="462">
      <c r="A462" s="189" t="s">
        <v>174</v>
      </c>
      <c r="B462" s="198" t="str">
        <f>'Faturamento '!L379</f>
        <v/>
      </c>
      <c r="C462" s="191">
        <v>0.05</v>
      </c>
      <c r="D462" s="192">
        <f t="shared" ref="D462:D469" si="91">B462*C462</f>
        <v>0</v>
      </c>
      <c r="E462" s="212">
        <f t="shared" ref="E462:E469" si="92">F462-B462</f>
        <v>20000</v>
      </c>
      <c r="F462" s="212">
        <v>20000.0</v>
      </c>
      <c r="G462" s="199">
        <f>Set!D128</f>
        <v>0</v>
      </c>
      <c r="H462" s="185"/>
      <c r="I462" s="212">
        <f t="shared" ref="I462:I469" si="93">G462-F462</f>
        <v>-20000</v>
      </c>
      <c r="J462" s="254">
        <f t="shared" ref="J462:J469" si="94">(G462*100)/F462</f>
        <v>0</v>
      </c>
      <c r="L462" s="215">
        <v>195.89</v>
      </c>
      <c r="M462" s="274">
        <v>196.0</v>
      </c>
    </row>
    <row r="463">
      <c r="A463" s="196" t="s">
        <v>176</v>
      </c>
      <c r="B463" s="198" t="str">
        <f>'Faturamento '!L381</f>
        <v/>
      </c>
      <c r="C463" s="197">
        <v>0.02</v>
      </c>
      <c r="D463" s="192">
        <f t="shared" si="91"/>
        <v>0</v>
      </c>
      <c r="E463" s="212">
        <f t="shared" si="92"/>
        <v>43000</v>
      </c>
      <c r="F463" s="212">
        <v>43000.0</v>
      </c>
      <c r="G463" s="199">
        <f>Set!D130</f>
        <v>0</v>
      </c>
      <c r="H463" s="185"/>
      <c r="I463" s="212">
        <f t="shared" si="93"/>
        <v>-43000</v>
      </c>
      <c r="J463" s="255">
        <f t="shared" si="94"/>
        <v>0</v>
      </c>
      <c r="L463" s="215">
        <v>444.23</v>
      </c>
      <c r="M463" s="274">
        <v>445.0</v>
      </c>
      <c r="N463" s="78">
        <v>400.0</v>
      </c>
    </row>
    <row r="464">
      <c r="A464" s="196" t="s">
        <v>177</v>
      </c>
      <c r="B464" s="198" t="str">
        <f>'Faturamento '!L382</f>
        <v/>
      </c>
      <c r="C464" s="197">
        <v>0.1</v>
      </c>
      <c r="D464" s="192">
        <f t="shared" si="91"/>
        <v>0</v>
      </c>
      <c r="E464" s="212">
        <f t="shared" si="92"/>
        <v>28000</v>
      </c>
      <c r="F464" s="212">
        <v>28000.0</v>
      </c>
      <c r="G464" s="199">
        <f>Set!D131</f>
        <v>0</v>
      </c>
      <c r="H464" s="185"/>
      <c r="I464" s="212">
        <f t="shared" si="93"/>
        <v>-28000</v>
      </c>
      <c r="J464" s="254">
        <f t="shared" si="94"/>
        <v>0</v>
      </c>
      <c r="L464" s="215">
        <v>260.91</v>
      </c>
      <c r="M464" s="274">
        <v>261.0</v>
      </c>
    </row>
    <row r="465">
      <c r="A465" s="196" t="s">
        <v>188</v>
      </c>
      <c r="B465" s="198" t="str">
        <f>'Faturamento '!L383</f>
        <v/>
      </c>
      <c r="C465" s="197">
        <v>0.3</v>
      </c>
      <c r="D465" s="192">
        <f t="shared" si="91"/>
        <v>0</v>
      </c>
      <c r="E465" s="212">
        <f t="shared" si="92"/>
        <v>18000</v>
      </c>
      <c r="F465" s="212">
        <v>18000.0</v>
      </c>
      <c r="G465" s="199">
        <f>Set!D132</f>
        <v>0</v>
      </c>
      <c r="H465" s="185"/>
      <c r="I465" s="212">
        <f t="shared" si="93"/>
        <v>-18000</v>
      </c>
      <c r="J465" s="254">
        <f t="shared" si="94"/>
        <v>0</v>
      </c>
      <c r="L465" s="215">
        <v>151.56</v>
      </c>
      <c r="M465" s="274">
        <v>152.0</v>
      </c>
    </row>
    <row r="466">
      <c r="A466" s="196" t="s">
        <v>71</v>
      </c>
      <c r="B466" s="198" t="str">
        <f>'Faturamento '!L384</f>
        <v/>
      </c>
      <c r="C466" s="197">
        <v>0.05</v>
      </c>
      <c r="D466" s="192">
        <f t="shared" si="91"/>
        <v>0</v>
      </c>
      <c r="E466" s="212">
        <f t="shared" si="92"/>
        <v>22000</v>
      </c>
      <c r="F466" s="212">
        <v>22000.0</v>
      </c>
      <c r="G466" s="199">
        <f>Set!D127</f>
        <v>0</v>
      </c>
      <c r="H466" s="185"/>
      <c r="I466" s="212">
        <f t="shared" si="93"/>
        <v>-22000</v>
      </c>
      <c r="J466" s="255">
        <f t="shared" si="94"/>
        <v>0</v>
      </c>
      <c r="L466" s="215">
        <v>233.31</v>
      </c>
      <c r="M466" s="274">
        <v>234.0</v>
      </c>
    </row>
    <row r="467">
      <c r="A467" s="196" t="s">
        <v>22</v>
      </c>
      <c r="B467" s="198" t="str">
        <f>'Faturamento '!L386</f>
        <v/>
      </c>
      <c r="C467" s="197">
        <v>0.05</v>
      </c>
      <c r="D467" s="192">
        <f t="shared" si="91"/>
        <v>0</v>
      </c>
      <c r="E467" s="212">
        <f t="shared" si="92"/>
        <v>64000</v>
      </c>
      <c r="F467" s="212">
        <v>64000.0</v>
      </c>
      <c r="G467" s="199">
        <f>Set!D134</f>
        <v>0</v>
      </c>
      <c r="H467" s="185"/>
      <c r="I467" s="212">
        <f t="shared" si="93"/>
        <v>-64000</v>
      </c>
      <c r="J467" s="255">
        <f t="shared" si="94"/>
        <v>0</v>
      </c>
      <c r="L467" s="215">
        <v>645.75</v>
      </c>
      <c r="M467" s="274">
        <v>646.0</v>
      </c>
      <c r="N467" s="134">
        <f>M467/2</f>
        <v>323</v>
      </c>
    </row>
    <row r="468">
      <c r="A468" s="196" t="s">
        <v>19</v>
      </c>
      <c r="B468" s="198" t="str">
        <f>'Faturamento '!L385</f>
        <v/>
      </c>
      <c r="C468" s="197">
        <v>0.1</v>
      </c>
      <c r="D468" s="192">
        <f t="shared" si="91"/>
        <v>0</v>
      </c>
      <c r="E468" s="212">
        <f t="shared" si="92"/>
        <v>20000</v>
      </c>
      <c r="F468" s="212">
        <v>20000.0</v>
      </c>
      <c r="G468" s="199">
        <f>Set!D133</f>
        <v>0</v>
      </c>
      <c r="H468" s="185"/>
      <c r="I468" s="212">
        <f t="shared" si="93"/>
        <v>-20000</v>
      </c>
      <c r="J468" s="255">
        <f t="shared" si="94"/>
        <v>0</v>
      </c>
      <c r="L468" s="215">
        <v>219.8</v>
      </c>
      <c r="M468" s="215">
        <v>220.0</v>
      </c>
    </row>
    <row r="469">
      <c r="A469" s="196" t="s">
        <v>79</v>
      </c>
      <c r="B469" s="198" t="str">
        <f>'Faturamento '!L386</f>
        <v/>
      </c>
      <c r="C469" s="197">
        <v>0.1</v>
      </c>
      <c r="D469" s="192">
        <f t="shared" si="91"/>
        <v>0</v>
      </c>
      <c r="E469" s="212">
        <f t="shared" si="92"/>
        <v>500</v>
      </c>
      <c r="F469" s="212">
        <v>500.0</v>
      </c>
      <c r="G469" s="199">
        <f>Set!D129</f>
        <v>0</v>
      </c>
      <c r="H469" s="185"/>
      <c r="I469" s="212">
        <f t="shared" si="93"/>
        <v>-500</v>
      </c>
      <c r="J469" s="254">
        <f t="shared" si="94"/>
        <v>0</v>
      </c>
      <c r="M469" s="228">
        <f>SUM(M462:M468)</f>
        <v>2154</v>
      </c>
    </row>
    <row r="470">
      <c r="J470" s="148"/>
    </row>
    <row r="472">
      <c r="A472" s="95" t="s">
        <v>197</v>
      </c>
      <c r="D472" s="95" t="s">
        <v>198</v>
      </c>
      <c r="H472" s="95" t="s">
        <v>198</v>
      </c>
      <c r="K472" s="95" t="s">
        <v>251</v>
      </c>
    </row>
    <row r="473">
      <c r="A473" s="239" t="s">
        <v>174</v>
      </c>
      <c r="B473" s="263">
        <v>600.0</v>
      </c>
      <c r="D473" s="252" t="s">
        <v>174</v>
      </c>
      <c r="E473" s="212">
        <v>20000.0</v>
      </c>
      <c r="F473" s="78"/>
      <c r="H473" s="252" t="s">
        <v>174</v>
      </c>
      <c r="I473" s="212">
        <v>17000.0</v>
      </c>
      <c r="J473" s="212">
        <v>21500.0</v>
      </c>
      <c r="K473" s="203">
        <v>18000.0</v>
      </c>
    </row>
    <row r="474">
      <c r="A474" s="243" t="s">
        <v>176</v>
      </c>
      <c r="B474" s="263">
        <v>1500.0</v>
      </c>
      <c r="D474" s="253" t="s">
        <v>176</v>
      </c>
      <c r="E474" s="212">
        <v>43000.0</v>
      </c>
      <c r="F474" s="78"/>
      <c r="H474" s="253" t="s">
        <v>176</v>
      </c>
      <c r="I474" s="212">
        <v>35000.0</v>
      </c>
      <c r="J474" s="212">
        <v>45000.0</v>
      </c>
      <c r="K474" s="203">
        <v>41000.0</v>
      </c>
    </row>
    <row r="475">
      <c r="A475" s="243" t="s">
        <v>177</v>
      </c>
      <c r="B475" s="263">
        <v>1000.0</v>
      </c>
      <c r="D475" s="253" t="s">
        <v>177</v>
      </c>
      <c r="E475" s="212">
        <v>28000.0</v>
      </c>
      <c r="F475" s="78"/>
      <c r="H475" s="253" t="s">
        <v>177</v>
      </c>
      <c r="I475" s="212">
        <v>25000.0</v>
      </c>
      <c r="J475" s="212">
        <v>35000.0</v>
      </c>
      <c r="K475" s="258">
        <v>35000.0</v>
      </c>
    </row>
    <row r="476">
      <c r="A476" s="243" t="s">
        <v>188</v>
      </c>
      <c r="B476" s="263">
        <v>1000.0</v>
      </c>
      <c r="D476" s="253" t="s">
        <v>188</v>
      </c>
      <c r="E476" s="212">
        <v>18000.0</v>
      </c>
      <c r="F476" s="78"/>
      <c r="H476" s="253" t="s">
        <v>188</v>
      </c>
      <c r="I476" s="212">
        <v>15000.0</v>
      </c>
      <c r="J476" s="212">
        <v>35000.0</v>
      </c>
      <c r="K476" s="258">
        <v>20000.0</v>
      </c>
    </row>
    <row r="477">
      <c r="A477" s="243" t="s">
        <v>71</v>
      </c>
      <c r="B477" s="263">
        <v>600.0</v>
      </c>
      <c r="D477" s="253" t="s">
        <v>71</v>
      </c>
      <c r="E477" s="212">
        <v>22000.0</v>
      </c>
      <c r="F477" s="78"/>
      <c r="H477" s="253" t="s">
        <v>71</v>
      </c>
      <c r="I477" s="212">
        <v>17000.0</v>
      </c>
      <c r="J477" s="212">
        <v>30000.0</v>
      </c>
      <c r="K477" s="203">
        <v>20000.0</v>
      </c>
    </row>
    <row r="478">
      <c r="A478" s="243" t="s">
        <v>22</v>
      </c>
      <c r="B478" s="263">
        <v>3000.0</v>
      </c>
      <c r="D478" s="253" t="s">
        <v>22</v>
      </c>
      <c r="E478" s="212">
        <v>64000.0</v>
      </c>
      <c r="F478" s="78"/>
      <c r="H478" s="253" t="s">
        <v>22</v>
      </c>
      <c r="I478" s="212">
        <v>55000.0</v>
      </c>
      <c r="J478" s="212">
        <v>70000.0</v>
      </c>
      <c r="K478" s="203">
        <v>60000.0</v>
      </c>
    </row>
    <row r="479">
      <c r="A479" s="269" t="s">
        <v>19</v>
      </c>
      <c r="B479" s="263">
        <v>800.0</v>
      </c>
      <c r="D479" s="253" t="s">
        <v>19</v>
      </c>
      <c r="E479" s="212">
        <v>20000.0</v>
      </c>
      <c r="F479" s="78"/>
      <c r="H479" s="253" t="s">
        <v>19</v>
      </c>
      <c r="I479" s="270">
        <v>20000.0</v>
      </c>
      <c r="J479" s="212">
        <v>21000.0</v>
      </c>
      <c r="K479" s="203">
        <v>21000.0</v>
      </c>
    </row>
    <row r="480">
      <c r="A480" s="271" t="s">
        <v>79</v>
      </c>
      <c r="B480" s="105">
        <v>500.0</v>
      </c>
      <c r="D480" s="253" t="s">
        <v>79</v>
      </c>
      <c r="E480" s="212">
        <v>500.0</v>
      </c>
      <c r="H480" s="272" t="s">
        <v>79</v>
      </c>
      <c r="I480" s="273">
        <v>3000.0</v>
      </c>
      <c r="J480" s="212">
        <v>10000.0</v>
      </c>
    </row>
    <row r="481">
      <c r="B481" s="245"/>
    </row>
    <row r="482">
      <c r="A482" s="1" t="s">
        <v>199</v>
      </c>
      <c r="B482" s="114">
        <f>SUM(B473+B474+B475+B476+B477+B478+B479)</f>
        <v>8500</v>
      </c>
      <c r="D482" s="1" t="s">
        <v>200</v>
      </c>
      <c r="E482" s="246">
        <f>SUM(E473+E474+E475+E476+E477+E478+E479+E480)</f>
        <v>215500</v>
      </c>
      <c r="H482" s="1" t="s">
        <v>200</v>
      </c>
      <c r="I482" s="246">
        <f t="shared" ref="I482:J482" si="95">SUM(I473+I474+I475+I476+I477+I478+I479+I480)</f>
        <v>187000</v>
      </c>
      <c r="J482" s="246">
        <f t="shared" si="95"/>
        <v>267500</v>
      </c>
      <c r="K482" s="267">
        <f>SUM(K473:K479)</f>
        <v>215000</v>
      </c>
    </row>
    <row r="484">
      <c r="E484" s="134">
        <f>E482-199000</f>
        <v>16500</v>
      </c>
      <c r="J484" s="153">
        <f>257000-199000</f>
        <v>58000</v>
      </c>
    </row>
    <row r="488">
      <c r="A488" s="179" t="s">
        <v>191</v>
      </c>
    </row>
    <row r="489">
      <c r="A489" s="180"/>
      <c r="B489" s="180"/>
      <c r="C489" s="180"/>
      <c r="D489" s="180"/>
      <c r="E489" s="180"/>
      <c r="F489" s="180"/>
      <c r="G489" s="180"/>
      <c r="H489" s="180"/>
      <c r="I489" s="180"/>
    </row>
    <row r="490">
      <c r="A490" s="189" t="s">
        <v>66</v>
      </c>
      <c r="B490" s="229" t="s">
        <v>168</v>
      </c>
      <c r="C490" s="229" t="s">
        <v>169</v>
      </c>
      <c r="D490" s="230"/>
      <c r="E490" s="217" t="s">
        <v>195</v>
      </c>
      <c r="F490" s="229" t="s">
        <v>170</v>
      </c>
      <c r="G490" s="231" t="s">
        <v>171</v>
      </c>
      <c r="H490" s="185"/>
      <c r="I490" s="217" t="s">
        <v>172</v>
      </c>
      <c r="J490" s="232"/>
    </row>
    <row r="491">
      <c r="A491" s="187"/>
      <c r="B491" s="180"/>
      <c r="C491" s="180"/>
      <c r="D491" s="180"/>
      <c r="E491" s="180"/>
      <c r="F491" s="180"/>
      <c r="G491" s="180"/>
      <c r="H491" s="180"/>
      <c r="I491" s="180"/>
    </row>
    <row r="492">
      <c r="A492" s="189" t="s">
        <v>174</v>
      </c>
      <c r="B492" s="198" t="str">
        <f>'Faturamento '!L409</f>
        <v/>
      </c>
      <c r="C492" s="191">
        <v>0.05</v>
      </c>
      <c r="D492" s="192">
        <f t="shared" ref="D492:D499" si="96">B492*C492</f>
        <v>0</v>
      </c>
      <c r="E492" s="212">
        <f t="shared" ref="E492:E499" si="97">F492-B492</f>
        <v>20000</v>
      </c>
      <c r="F492" s="212">
        <v>20000.0</v>
      </c>
      <c r="G492" s="199">
        <f>'Faturamento '!K40</f>
        <v>0</v>
      </c>
      <c r="H492" s="185"/>
      <c r="I492" s="212">
        <f t="shared" ref="I492:I499" si="98">G492-F492</f>
        <v>-20000</v>
      </c>
      <c r="J492" s="254">
        <f t="shared" ref="J492:J499" si="99">(G492*100)/F492</f>
        <v>0</v>
      </c>
      <c r="K492" s="134">
        <f t="shared" ref="K492:K498" si="100">I492/9</f>
        <v>-2222.222222</v>
      </c>
      <c r="L492" s="215"/>
    </row>
    <row r="493">
      <c r="A493" s="196" t="s">
        <v>176</v>
      </c>
      <c r="B493" s="198" t="str">
        <f>'Faturamento '!L411</f>
        <v/>
      </c>
      <c r="C493" s="197">
        <v>0.02</v>
      </c>
      <c r="D493" s="192">
        <f t="shared" si="96"/>
        <v>0</v>
      </c>
      <c r="E493" s="212">
        <f t="shared" si="97"/>
        <v>43000</v>
      </c>
      <c r="F493" s="212">
        <v>43000.0</v>
      </c>
      <c r="G493" s="199">
        <f>'Faturamento '!K42</f>
        <v>0</v>
      </c>
      <c r="H493" s="185"/>
      <c r="I493" s="212">
        <f t="shared" si="98"/>
        <v>-43000</v>
      </c>
      <c r="J493" s="255">
        <f t="shared" si="99"/>
        <v>0</v>
      </c>
      <c r="K493" s="134">
        <f t="shared" si="100"/>
        <v>-4777.777778</v>
      </c>
      <c r="L493" s="215"/>
    </row>
    <row r="494">
      <c r="A494" s="196" t="s">
        <v>177</v>
      </c>
      <c r="B494" s="198" t="str">
        <f>'Faturamento '!L412</f>
        <v/>
      </c>
      <c r="C494" s="197">
        <v>0.1</v>
      </c>
      <c r="D494" s="192">
        <f t="shared" si="96"/>
        <v>0</v>
      </c>
      <c r="E494" s="212">
        <f t="shared" si="97"/>
        <v>28000</v>
      </c>
      <c r="F494" s="212">
        <v>28000.0</v>
      </c>
      <c r="G494" s="199">
        <f>'Faturamento '!K43</f>
        <v>0</v>
      </c>
      <c r="H494" s="185"/>
      <c r="I494" s="212">
        <f t="shared" si="98"/>
        <v>-28000</v>
      </c>
      <c r="J494" s="254">
        <f t="shared" si="99"/>
        <v>0</v>
      </c>
      <c r="K494" s="134">
        <f t="shared" si="100"/>
        <v>-3111.111111</v>
      </c>
      <c r="L494" s="215"/>
    </row>
    <row r="495">
      <c r="A495" s="196" t="s">
        <v>188</v>
      </c>
      <c r="B495" s="198" t="str">
        <f>'Faturamento '!L413</f>
        <v/>
      </c>
      <c r="C495" s="197">
        <v>0.3</v>
      </c>
      <c r="D495" s="192">
        <f t="shared" si="96"/>
        <v>0</v>
      </c>
      <c r="E495" s="212">
        <f t="shared" si="97"/>
        <v>18000</v>
      </c>
      <c r="F495" s="212">
        <v>18000.0</v>
      </c>
      <c r="G495" s="199">
        <f>'Faturamento '!K44</f>
        <v>0</v>
      </c>
      <c r="H495" s="185"/>
      <c r="I495" s="212">
        <f t="shared" si="98"/>
        <v>-18000</v>
      </c>
      <c r="J495" s="254">
        <f t="shared" si="99"/>
        <v>0</v>
      </c>
      <c r="K495" s="134">
        <f t="shared" si="100"/>
        <v>-2000</v>
      </c>
      <c r="L495" s="215"/>
    </row>
    <row r="496">
      <c r="A496" s="196" t="s">
        <v>71</v>
      </c>
      <c r="B496" s="198" t="str">
        <f>'Faturamento '!L414</f>
        <v/>
      </c>
      <c r="C496" s="197">
        <v>0.05</v>
      </c>
      <c r="D496" s="192">
        <f t="shared" si="96"/>
        <v>0</v>
      </c>
      <c r="E496" s="212">
        <f t="shared" si="97"/>
        <v>22000</v>
      </c>
      <c r="F496" s="212">
        <v>22000.0</v>
      </c>
      <c r="G496" s="199">
        <f>'Faturamento '!K45</f>
        <v>0</v>
      </c>
      <c r="H496" s="185"/>
      <c r="I496" s="212">
        <f t="shared" si="98"/>
        <v>-22000</v>
      </c>
      <c r="J496" s="254">
        <f t="shared" si="99"/>
        <v>0</v>
      </c>
      <c r="K496" s="134">
        <f t="shared" si="100"/>
        <v>-2444.444444</v>
      </c>
      <c r="L496" s="215"/>
    </row>
    <row r="497">
      <c r="A497" s="196" t="s">
        <v>22</v>
      </c>
      <c r="B497" s="198" t="str">
        <f>'Faturamento '!L416</f>
        <v/>
      </c>
      <c r="C497" s="197">
        <v>0.05</v>
      </c>
      <c r="D497" s="192">
        <f t="shared" si="96"/>
        <v>0</v>
      </c>
      <c r="E497" s="212">
        <f t="shared" si="97"/>
        <v>64000</v>
      </c>
      <c r="F497" s="212">
        <v>64000.0</v>
      </c>
      <c r="G497" s="199">
        <f>'Faturamento '!K47</f>
        <v>0</v>
      </c>
      <c r="H497" s="185"/>
      <c r="I497" s="212">
        <f t="shared" si="98"/>
        <v>-64000</v>
      </c>
      <c r="J497" s="254">
        <f t="shared" si="99"/>
        <v>0</v>
      </c>
      <c r="K497" s="134">
        <f t="shared" si="100"/>
        <v>-7111.111111</v>
      </c>
      <c r="L497" s="215">
        <v>6.0</v>
      </c>
      <c r="M497" s="78">
        <v>546.3</v>
      </c>
      <c r="N497" s="78">
        <f>M497/2</f>
        <v>273.15</v>
      </c>
    </row>
    <row r="498">
      <c r="A498" s="196" t="s">
        <v>19</v>
      </c>
      <c r="B498" s="198" t="str">
        <f>'Faturamento '!L415</f>
        <v/>
      </c>
      <c r="C498" s="197">
        <v>0.1</v>
      </c>
      <c r="D498" s="192">
        <f t="shared" si="96"/>
        <v>0</v>
      </c>
      <c r="E498" s="212">
        <f t="shared" si="97"/>
        <v>20000</v>
      </c>
      <c r="F498" s="212">
        <v>20000.0</v>
      </c>
      <c r="G498" s="199">
        <f>'Faturamento '!K46</f>
        <v>0</v>
      </c>
      <c r="H498" s="185"/>
      <c r="I498" s="212">
        <f t="shared" si="98"/>
        <v>-20000</v>
      </c>
      <c r="J498" s="254">
        <f t="shared" si="99"/>
        <v>0</v>
      </c>
      <c r="K498" s="134">
        <f t="shared" si="100"/>
        <v>-2222.222222</v>
      </c>
      <c r="L498" s="215"/>
    </row>
    <row r="499">
      <c r="A499" s="196" t="s">
        <v>79</v>
      </c>
      <c r="B499" s="198" t="str">
        <f>'Faturamento '!L416</f>
        <v/>
      </c>
      <c r="C499" s="197">
        <v>0.1</v>
      </c>
      <c r="D499" s="192">
        <f t="shared" si="96"/>
        <v>0</v>
      </c>
      <c r="E499" s="212">
        <f t="shared" si="97"/>
        <v>500</v>
      </c>
      <c r="F499" s="212">
        <v>500.0</v>
      </c>
      <c r="G499" s="199">
        <f>'Faturamento '!K41</f>
        <v>0</v>
      </c>
      <c r="H499" s="185"/>
      <c r="I499" s="212">
        <f t="shared" si="98"/>
        <v>-500</v>
      </c>
      <c r="J499" s="255">
        <f t="shared" si="99"/>
        <v>0</v>
      </c>
    </row>
    <row r="500">
      <c r="J500" s="148"/>
    </row>
    <row r="502">
      <c r="A502" s="95" t="s">
        <v>197</v>
      </c>
      <c r="D502" s="95" t="s">
        <v>198</v>
      </c>
      <c r="H502" s="95" t="s">
        <v>198</v>
      </c>
      <c r="J502" s="95" t="s">
        <v>252</v>
      </c>
      <c r="K502" s="95"/>
    </row>
    <row r="503">
      <c r="A503" s="239" t="s">
        <v>174</v>
      </c>
      <c r="B503" s="263">
        <v>600.0</v>
      </c>
      <c r="D503" s="252" t="s">
        <v>174</v>
      </c>
      <c r="E503" s="212">
        <v>20000.0</v>
      </c>
      <c r="F503" s="78"/>
      <c r="H503" s="275" t="s">
        <v>174</v>
      </c>
      <c r="I503" s="276">
        <v>21500.0</v>
      </c>
      <c r="J503" s="277">
        <v>20000.0</v>
      </c>
      <c r="K503" s="203"/>
    </row>
    <row r="504">
      <c r="A504" s="243" t="s">
        <v>176</v>
      </c>
      <c r="B504" s="263">
        <v>1500.0</v>
      </c>
      <c r="D504" s="253" t="s">
        <v>176</v>
      </c>
      <c r="E504" s="212">
        <v>43000.0</v>
      </c>
      <c r="F504" s="78"/>
      <c r="H504" s="272" t="s">
        <v>176</v>
      </c>
      <c r="I504" s="276">
        <v>45000.0</v>
      </c>
      <c r="J504" s="277">
        <v>43000.0</v>
      </c>
      <c r="K504" s="203"/>
    </row>
    <row r="505">
      <c r="A505" s="243" t="s">
        <v>177</v>
      </c>
      <c r="B505" s="263">
        <v>1000.0</v>
      </c>
      <c r="D505" s="253" t="s">
        <v>177</v>
      </c>
      <c r="E505" s="212">
        <v>28000.0</v>
      </c>
      <c r="F505" s="78"/>
      <c r="H505" s="272" t="s">
        <v>177</v>
      </c>
      <c r="I505" s="276">
        <v>35000.0</v>
      </c>
      <c r="J505" s="277">
        <v>29000.0</v>
      </c>
      <c r="K505" s="203"/>
    </row>
    <row r="506">
      <c r="A506" s="243" t="s">
        <v>188</v>
      </c>
      <c r="B506" s="263">
        <v>1000.0</v>
      </c>
      <c r="D506" s="253" t="s">
        <v>188</v>
      </c>
      <c r="E506" s="212">
        <v>18000.0</v>
      </c>
      <c r="F506" s="78"/>
      <c r="H506" s="272" t="s">
        <v>188</v>
      </c>
      <c r="I506" s="276">
        <v>35000.0</v>
      </c>
      <c r="J506" s="277">
        <v>40000.0</v>
      </c>
      <c r="K506" s="203"/>
    </row>
    <row r="507">
      <c r="A507" s="243" t="s">
        <v>71</v>
      </c>
      <c r="B507" s="263">
        <v>600.0</v>
      </c>
      <c r="D507" s="253" t="s">
        <v>71</v>
      </c>
      <c r="E507" s="212">
        <v>22000.0</v>
      </c>
      <c r="F507" s="78"/>
      <c r="H507" s="272" t="s">
        <v>71</v>
      </c>
      <c r="I507" s="276">
        <v>30000.0</v>
      </c>
      <c r="J507" s="277">
        <v>22000.0</v>
      </c>
      <c r="K507" s="203"/>
    </row>
    <row r="508">
      <c r="A508" s="243" t="s">
        <v>22</v>
      </c>
      <c r="B508" s="263">
        <v>3000.0</v>
      </c>
      <c r="D508" s="253" t="s">
        <v>22</v>
      </c>
      <c r="E508" s="212">
        <v>64000.0</v>
      </c>
      <c r="F508" s="78"/>
      <c r="H508" s="272" t="s">
        <v>22</v>
      </c>
      <c r="I508" s="276">
        <v>70000.0</v>
      </c>
      <c r="J508" s="277">
        <v>64000.0</v>
      </c>
      <c r="K508" s="203"/>
    </row>
    <row r="509">
      <c r="A509" s="269" t="s">
        <v>19</v>
      </c>
      <c r="B509" s="263">
        <v>800.0</v>
      </c>
      <c r="D509" s="253" t="s">
        <v>19</v>
      </c>
      <c r="E509" s="212">
        <v>20000.0</v>
      </c>
      <c r="F509" s="78"/>
      <c r="H509" s="272" t="s">
        <v>19</v>
      </c>
      <c r="I509" s="276">
        <v>21000.0</v>
      </c>
      <c r="J509" s="277">
        <v>21000.0</v>
      </c>
      <c r="K509" s="203"/>
    </row>
    <row r="510">
      <c r="A510" s="271" t="s">
        <v>79</v>
      </c>
      <c r="B510" s="105">
        <v>500.0</v>
      </c>
      <c r="D510" s="253" t="s">
        <v>79</v>
      </c>
      <c r="E510" s="212">
        <v>500.0</v>
      </c>
      <c r="H510" s="272" t="s">
        <v>79</v>
      </c>
      <c r="I510" s="276">
        <v>10000.0</v>
      </c>
      <c r="J510" s="277">
        <v>1000.0</v>
      </c>
    </row>
    <row r="511">
      <c r="B511" s="245"/>
    </row>
    <row r="512">
      <c r="A512" s="1" t="s">
        <v>199</v>
      </c>
      <c r="B512" s="114">
        <f>SUM(B503+B504+B505+B506+B507+B508+B509)</f>
        <v>8500</v>
      </c>
      <c r="D512" s="1" t="s">
        <v>200</v>
      </c>
      <c r="E512" s="246">
        <f>SUM(E503+E504+E505+E506+E507+E508+E509+E510)</f>
        <v>215500</v>
      </c>
      <c r="H512" s="1" t="s">
        <v>200</v>
      </c>
      <c r="I512" s="278">
        <f t="shared" ref="I512:J512" si="101">SUM(I503+I504+I505+I506+I507+I508+I509+I510)</f>
        <v>267500</v>
      </c>
      <c r="J512" s="267">
        <f t="shared" si="101"/>
        <v>240000</v>
      </c>
      <c r="K512" s="279"/>
    </row>
    <row r="514">
      <c r="E514" s="134">
        <f>E512-199000</f>
        <v>16500</v>
      </c>
    </row>
    <row r="517">
      <c r="A517" s="179" t="s">
        <v>193</v>
      </c>
    </row>
    <row r="518">
      <c r="A518" s="180"/>
      <c r="B518" s="180"/>
      <c r="C518" s="180"/>
      <c r="D518" s="180"/>
      <c r="E518" s="180"/>
      <c r="F518" s="180"/>
      <c r="G518" s="180"/>
      <c r="H518" s="180"/>
      <c r="I518" s="180"/>
    </row>
    <row r="519">
      <c r="A519" s="189" t="s">
        <v>66</v>
      </c>
      <c r="B519" s="229" t="s">
        <v>168</v>
      </c>
      <c r="C519" s="229" t="s">
        <v>169</v>
      </c>
      <c r="D519" s="230"/>
      <c r="E519" s="217" t="s">
        <v>195</v>
      </c>
      <c r="F519" s="229" t="s">
        <v>170</v>
      </c>
      <c r="G519" s="231" t="s">
        <v>171</v>
      </c>
      <c r="H519" s="185"/>
      <c r="I519" s="217" t="s">
        <v>172</v>
      </c>
      <c r="J519" s="232"/>
    </row>
    <row r="520">
      <c r="A520" s="187"/>
      <c r="B520" s="180"/>
      <c r="C520" s="180"/>
      <c r="D520" s="180"/>
      <c r="E520" s="180"/>
      <c r="F520" s="180"/>
      <c r="G520" s="180"/>
      <c r="H520" s="180"/>
      <c r="I520" s="180"/>
    </row>
    <row r="521">
      <c r="A521" s="189" t="s">
        <v>174</v>
      </c>
      <c r="B521" s="198" t="str">
        <f>'Faturamento '!L438</f>
        <v/>
      </c>
      <c r="C521" s="191">
        <v>0.05</v>
      </c>
      <c r="D521" s="192">
        <f t="shared" ref="D521:D528" si="102">B521*C521</f>
        <v>0</v>
      </c>
      <c r="E521" s="212">
        <f t="shared" ref="E521:E528" si="103">F521-B521</f>
        <v>20000</v>
      </c>
      <c r="F521" s="212">
        <v>20000.0</v>
      </c>
      <c r="G521" s="199" t="str">
        <f>'Faturamento '!K69</f>
        <v/>
      </c>
      <c r="H521" s="185"/>
      <c r="I521" s="212">
        <f t="shared" ref="I521:I528" si="104">G521-F521</f>
        <v>-20000</v>
      </c>
      <c r="J521" s="255">
        <f t="shared" ref="J521:J528" si="105">(G521*100)/F521</f>
        <v>0</v>
      </c>
    </row>
    <row r="522">
      <c r="A522" s="196" t="s">
        <v>176</v>
      </c>
      <c r="B522" s="198" t="str">
        <f>'Faturamento '!L440</f>
        <v/>
      </c>
      <c r="C522" s="197">
        <v>0.02</v>
      </c>
      <c r="D522" s="192">
        <f t="shared" si="102"/>
        <v>0</v>
      </c>
      <c r="E522" s="212">
        <f t="shared" si="103"/>
        <v>44000</v>
      </c>
      <c r="F522" s="212">
        <v>44000.0</v>
      </c>
      <c r="G522" s="199" t="str">
        <f>'Faturamento '!K71</f>
        <v/>
      </c>
      <c r="H522" s="185"/>
      <c r="I522" s="212">
        <f t="shared" si="104"/>
        <v>-44000</v>
      </c>
      <c r="J522" s="255">
        <f t="shared" si="105"/>
        <v>0</v>
      </c>
    </row>
    <row r="523">
      <c r="A523" s="196" t="s">
        <v>177</v>
      </c>
      <c r="B523" s="198" t="str">
        <f>'Faturamento '!L441</f>
        <v/>
      </c>
      <c r="C523" s="197">
        <v>0.1</v>
      </c>
      <c r="D523" s="192">
        <f t="shared" si="102"/>
        <v>0</v>
      </c>
      <c r="E523" s="212">
        <f t="shared" si="103"/>
        <v>27000</v>
      </c>
      <c r="F523" s="212">
        <v>27000.0</v>
      </c>
      <c r="G523" s="199" t="str">
        <f>'Faturamento '!K72</f>
        <v/>
      </c>
      <c r="H523" s="185"/>
      <c r="I523" s="212">
        <f t="shared" si="104"/>
        <v>-27000</v>
      </c>
      <c r="J523" s="255">
        <f t="shared" si="105"/>
        <v>0</v>
      </c>
    </row>
    <row r="524">
      <c r="A524" s="196" t="s">
        <v>188</v>
      </c>
      <c r="B524" s="198" t="str">
        <f>'Faturamento '!L442</f>
        <v/>
      </c>
      <c r="C524" s="197">
        <v>0.3</v>
      </c>
      <c r="D524" s="192">
        <f t="shared" si="102"/>
        <v>0</v>
      </c>
      <c r="E524" s="212">
        <f t="shared" si="103"/>
        <v>16000</v>
      </c>
      <c r="F524" s="212">
        <v>16000.0</v>
      </c>
      <c r="G524" s="199" t="str">
        <f>'Faturamento '!K73</f>
        <v/>
      </c>
      <c r="H524" s="185"/>
      <c r="I524" s="212">
        <f t="shared" si="104"/>
        <v>-16000</v>
      </c>
      <c r="J524" s="255">
        <f t="shared" si="105"/>
        <v>0</v>
      </c>
    </row>
    <row r="525">
      <c r="A525" s="196" t="s">
        <v>71</v>
      </c>
      <c r="B525" s="198" t="str">
        <f>'Faturamento '!L443</f>
        <v/>
      </c>
      <c r="C525" s="197">
        <v>0.05</v>
      </c>
      <c r="D525" s="192">
        <f t="shared" si="102"/>
        <v>0</v>
      </c>
      <c r="E525" s="212">
        <f t="shared" si="103"/>
        <v>23000</v>
      </c>
      <c r="F525" s="212">
        <v>23000.0</v>
      </c>
      <c r="G525" s="199" t="str">
        <f>'Faturamento '!K74</f>
        <v/>
      </c>
      <c r="H525" s="185"/>
      <c r="I525" s="212">
        <f t="shared" si="104"/>
        <v>-23000</v>
      </c>
      <c r="J525" s="280">
        <f t="shared" si="105"/>
        <v>0</v>
      </c>
    </row>
    <row r="526">
      <c r="A526" s="196" t="s">
        <v>22</v>
      </c>
      <c r="B526" s="198" t="str">
        <f>'Faturamento '!L445</f>
        <v/>
      </c>
      <c r="C526" s="197">
        <v>0.05</v>
      </c>
      <c r="D526" s="192">
        <f t="shared" si="102"/>
        <v>0</v>
      </c>
      <c r="E526" s="212">
        <f t="shared" si="103"/>
        <v>64000</v>
      </c>
      <c r="F526" s="212">
        <v>64000.0</v>
      </c>
      <c r="G526" s="199"/>
      <c r="H526" s="185"/>
      <c r="I526" s="212">
        <f t="shared" si="104"/>
        <v>-64000</v>
      </c>
      <c r="J526" s="255">
        <f t="shared" si="105"/>
        <v>0</v>
      </c>
    </row>
    <row r="527">
      <c r="A527" s="196" t="s">
        <v>19</v>
      </c>
      <c r="B527" s="198" t="str">
        <f>'Faturamento '!L444</f>
        <v/>
      </c>
      <c r="C527" s="197">
        <v>0.1</v>
      </c>
      <c r="D527" s="192">
        <f t="shared" si="102"/>
        <v>0</v>
      </c>
      <c r="E527" s="212">
        <f t="shared" si="103"/>
        <v>21000</v>
      </c>
      <c r="F527" s="212">
        <v>21000.0</v>
      </c>
      <c r="G527" s="199"/>
      <c r="H527" s="185"/>
      <c r="I527" s="212">
        <f t="shared" si="104"/>
        <v>-21000</v>
      </c>
      <c r="J527" s="255">
        <f t="shared" si="105"/>
        <v>0</v>
      </c>
    </row>
    <row r="528">
      <c r="A528" s="196" t="s">
        <v>79</v>
      </c>
      <c r="B528" s="198" t="str">
        <f>'Faturamento '!L445</f>
        <v/>
      </c>
      <c r="C528" s="197">
        <v>0.1</v>
      </c>
      <c r="D528" s="192">
        <f t="shared" si="102"/>
        <v>0</v>
      </c>
      <c r="E528" s="212">
        <f t="shared" si="103"/>
        <v>1000</v>
      </c>
      <c r="F528" s="212">
        <v>1000.0</v>
      </c>
      <c r="G528" s="199" t="str">
        <f>'Faturamento '!K70</f>
        <v/>
      </c>
      <c r="H528" s="185"/>
      <c r="I528" s="212">
        <f t="shared" si="104"/>
        <v>-1000</v>
      </c>
      <c r="J528" s="254">
        <f t="shared" si="105"/>
        <v>0</v>
      </c>
    </row>
    <row r="529">
      <c r="J529" s="148"/>
    </row>
    <row r="531">
      <c r="A531" s="95" t="s">
        <v>197</v>
      </c>
      <c r="D531" s="95" t="s">
        <v>198</v>
      </c>
      <c r="H531" s="95" t="s">
        <v>198</v>
      </c>
      <c r="J531" s="95" t="s">
        <v>252</v>
      </c>
      <c r="K531" s="54" t="s">
        <v>253</v>
      </c>
      <c r="M531" s="54" t="s">
        <v>254</v>
      </c>
      <c r="O531" s="54" t="s">
        <v>255</v>
      </c>
    </row>
    <row r="532">
      <c r="A532" s="239" t="s">
        <v>174</v>
      </c>
      <c r="B532" s="263">
        <v>600.0</v>
      </c>
      <c r="D532" s="252" t="s">
        <v>174</v>
      </c>
      <c r="E532" s="212">
        <v>20000.0</v>
      </c>
      <c r="F532" s="78"/>
      <c r="H532" s="275" t="s">
        <v>174</v>
      </c>
      <c r="I532" s="276">
        <v>21500.0</v>
      </c>
      <c r="J532" s="277">
        <v>20000.0</v>
      </c>
      <c r="K532" s="203"/>
      <c r="L532" s="134"/>
      <c r="M532" s="203"/>
    </row>
    <row r="533">
      <c r="A533" s="243" t="s">
        <v>176</v>
      </c>
      <c r="B533" s="263">
        <v>1500.0</v>
      </c>
      <c r="D533" s="253" t="s">
        <v>176</v>
      </c>
      <c r="E533" s="212">
        <v>43000.0</v>
      </c>
      <c r="F533" s="78"/>
      <c r="H533" s="272" t="s">
        <v>176</v>
      </c>
      <c r="I533" s="276">
        <v>45000.0</v>
      </c>
      <c r="J533" s="277">
        <v>43000.0</v>
      </c>
      <c r="K533" s="203" t="s">
        <v>176</v>
      </c>
      <c r="L533" s="268">
        <v>43000.0</v>
      </c>
      <c r="M533" s="203">
        <v>20000.0</v>
      </c>
      <c r="O533" s="134">
        <f t="shared" ref="O533:O539" si="106">L533-M533</f>
        <v>23000</v>
      </c>
    </row>
    <row r="534">
      <c r="A534" s="243" t="s">
        <v>177</v>
      </c>
      <c r="B534" s="263">
        <v>1000.0</v>
      </c>
      <c r="D534" s="253" t="s">
        <v>177</v>
      </c>
      <c r="E534" s="212">
        <v>28000.0</v>
      </c>
      <c r="F534" s="78"/>
      <c r="H534" s="272" t="s">
        <v>177</v>
      </c>
      <c r="I534" s="276">
        <v>35000.0</v>
      </c>
      <c r="J534" s="277">
        <v>29000.0</v>
      </c>
      <c r="K534" s="203" t="s">
        <v>177</v>
      </c>
      <c r="L534" s="268">
        <v>26000.0</v>
      </c>
      <c r="M534" s="203">
        <v>11000.0</v>
      </c>
      <c r="O534" s="134">
        <f t="shared" si="106"/>
        <v>15000</v>
      </c>
    </row>
    <row r="535">
      <c r="A535" s="243" t="s">
        <v>188</v>
      </c>
      <c r="B535" s="263">
        <v>1000.0</v>
      </c>
      <c r="D535" s="253" t="s">
        <v>188</v>
      </c>
      <c r="E535" s="212">
        <v>18000.0</v>
      </c>
      <c r="F535" s="78"/>
      <c r="H535" s="272" t="s">
        <v>188</v>
      </c>
      <c r="I535" s="276">
        <v>35000.0</v>
      </c>
      <c r="J535" s="277">
        <v>40000.0</v>
      </c>
      <c r="K535" s="203" t="s">
        <v>71</v>
      </c>
      <c r="L535" s="268">
        <v>22000.0</v>
      </c>
      <c r="M535" s="203">
        <v>11000.0</v>
      </c>
      <c r="O535" s="134">
        <f t="shared" si="106"/>
        <v>11000</v>
      </c>
    </row>
    <row r="536">
      <c r="A536" s="243" t="s">
        <v>71</v>
      </c>
      <c r="B536" s="263">
        <v>600.0</v>
      </c>
      <c r="D536" s="253" t="s">
        <v>71</v>
      </c>
      <c r="E536" s="212">
        <v>22000.0</v>
      </c>
      <c r="F536" s="78"/>
      <c r="H536" s="272" t="s">
        <v>71</v>
      </c>
      <c r="I536" s="276">
        <v>30000.0</v>
      </c>
      <c r="J536" s="277">
        <v>22000.0</v>
      </c>
      <c r="K536" s="203" t="s">
        <v>256</v>
      </c>
      <c r="L536" s="268">
        <v>63000.0</v>
      </c>
      <c r="M536" s="203">
        <v>25000.0</v>
      </c>
      <c r="O536" s="134">
        <f t="shared" si="106"/>
        <v>38000</v>
      </c>
    </row>
    <row r="537">
      <c r="A537" s="243" t="s">
        <v>22</v>
      </c>
      <c r="B537" s="263">
        <v>3000.0</v>
      </c>
      <c r="D537" s="253" t="s">
        <v>22</v>
      </c>
      <c r="E537" s="212">
        <v>64000.0</v>
      </c>
      <c r="F537" s="78"/>
      <c r="H537" s="272" t="s">
        <v>22</v>
      </c>
      <c r="I537" s="276">
        <v>70000.0</v>
      </c>
      <c r="J537" s="277">
        <v>64000.0</v>
      </c>
      <c r="K537" s="203" t="s">
        <v>252</v>
      </c>
      <c r="L537" s="258">
        <v>45000.0</v>
      </c>
      <c r="M537" s="203">
        <v>15000.0</v>
      </c>
      <c r="N537" s="78" t="s">
        <v>257</v>
      </c>
      <c r="O537" s="134">
        <f t="shared" si="106"/>
        <v>30000</v>
      </c>
    </row>
    <row r="538">
      <c r="A538" s="269" t="s">
        <v>19</v>
      </c>
      <c r="B538" s="263">
        <v>800.0</v>
      </c>
      <c r="D538" s="253" t="s">
        <v>19</v>
      </c>
      <c r="E538" s="212">
        <v>20000.0</v>
      </c>
      <c r="F538" s="78"/>
      <c r="H538" s="272" t="s">
        <v>19</v>
      </c>
      <c r="I538" s="276">
        <v>21000.0</v>
      </c>
      <c r="J538" s="277">
        <v>21000.0</v>
      </c>
      <c r="K538" s="203" t="s">
        <v>19</v>
      </c>
      <c r="L538" s="268">
        <v>21000.0</v>
      </c>
      <c r="M538" s="203">
        <v>11500.0</v>
      </c>
      <c r="O538" s="281">
        <f t="shared" si="106"/>
        <v>9500</v>
      </c>
    </row>
    <row r="539">
      <c r="A539" s="271" t="s">
        <v>79</v>
      </c>
      <c r="B539" s="105">
        <v>500.0</v>
      </c>
      <c r="D539" s="253" t="s">
        <v>79</v>
      </c>
      <c r="E539" s="212">
        <v>500.0</v>
      </c>
      <c r="H539" s="272" t="s">
        <v>79</v>
      </c>
      <c r="I539" s="276">
        <v>10000.0</v>
      </c>
      <c r="J539" s="277">
        <v>1000.0</v>
      </c>
      <c r="K539" s="78" t="s">
        <v>258</v>
      </c>
      <c r="L539" s="258">
        <v>10000.0</v>
      </c>
      <c r="M539" s="203">
        <v>42000.0</v>
      </c>
      <c r="N539" s="78" t="s">
        <v>259</v>
      </c>
      <c r="O539" s="282">
        <f t="shared" si="106"/>
        <v>-32000</v>
      </c>
    </row>
    <row r="540">
      <c r="B540" s="245"/>
      <c r="K540" s="78" t="s">
        <v>80</v>
      </c>
      <c r="M540" s="203">
        <v>20000.0</v>
      </c>
    </row>
    <row r="541">
      <c r="A541" s="1" t="s">
        <v>199</v>
      </c>
      <c r="B541" s="114">
        <f>SUM(B532+B533+B534+B535+B536+B537+B538)</f>
        <v>8500</v>
      </c>
      <c r="D541" s="1" t="s">
        <v>200</v>
      </c>
      <c r="E541" s="246">
        <f>SUM(E532+E533+E534+E535+E536+E537+E538+E539)</f>
        <v>215500</v>
      </c>
      <c r="H541" s="1" t="s">
        <v>200</v>
      </c>
      <c r="I541" s="278">
        <f t="shared" ref="I541:J541" si="107">SUM(I532+I533+I534+I535+I536+I537+I538+I539)</f>
        <v>267500</v>
      </c>
      <c r="J541" s="267">
        <f t="shared" si="107"/>
        <v>240000</v>
      </c>
      <c r="K541" s="78" t="s">
        <v>260</v>
      </c>
      <c r="M541" s="203">
        <v>21000.0</v>
      </c>
    </row>
    <row r="542">
      <c r="K542" s="78" t="s">
        <v>261</v>
      </c>
      <c r="M542" s="203">
        <v>13500.0</v>
      </c>
    </row>
    <row r="543">
      <c r="E543" s="134">
        <f>E541-199000</f>
        <v>16500</v>
      </c>
      <c r="L543" s="267">
        <f>SUM(L532:L542)</f>
        <v>230000</v>
      </c>
      <c r="M543" s="267">
        <f>SUM(M533:M542)</f>
        <v>190000</v>
      </c>
      <c r="N543" s="283">
        <f>L543-M543</f>
        <v>40000</v>
      </c>
    </row>
  </sheetData>
  <mergeCells count="191">
    <mergeCell ref="G77:H77"/>
    <mergeCell ref="G79:H79"/>
    <mergeCell ref="G80:H80"/>
    <mergeCell ref="G81:H81"/>
    <mergeCell ref="G82:H82"/>
    <mergeCell ref="G83:H83"/>
    <mergeCell ref="G84:H84"/>
    <mergeCell ref="G91:H91"/>
    <mergeCell ref="G93:H93"/>
    <mergeCell ref="G94:H94"/>
    <mergeCell ref="G95:H95"/>
    <mergeCell ref="G96:H96"/>
    <mergeCell ref="G97:H97"/>
    <mergeCell ref="G98:H98"/>
    <mergeCell ref="G99:H99"/>
    <mergeCell ref="G100:H100"/>
    <mergeCell ref="G106:H106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7:H117"/>
    <mergeCell ref="G123:H123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47:H147"/>
    <mergeCell ref="G148:H148"/>
    <mergeCell ref="G149:H149"/>
    <mergeCell ref="G134:H134"/>
    <mergeCell ref="G140:H140"/>
    <mergeCell ref="G142:H142"/>
    <mergeCell ref="G143:H143"/>
    <mergeCell ref="G144:H144"/>
    <mergeCell ref="G145:H145"/>
    <mergeCell ref="G146:H146"/>
    <mergeCell ref="A2:I2"/>
    <mergeCell ref="F4:G4"/>
    <mergeCell ref="F6:G6"/>
    <mergeCell ref="F7:G7"/>
    <mergeCell ref="F8:G8"/>
    <mergeCell ref="F9:G9"/>
    <mergeCell ref="F10:G10"/>
    <mergeCell ref="F11:G11"/>
    <mergeCell ref="F12:G12"/>
    <mergeCell ref="A16:I16"/>
    <mergeCell ref="F18:G18"/>
    <mergeCell ref="F20:G20"/>
    <mergeCell ref="F21:G21"/>
    <mergeCell ref="F22:G22"/>
    <mergeCell ref="F23:G23"/>
    <mergeCell ref="F24:G24"/>
    <mergeCell ref="F25:G25"/>
    <mergeCell ref="F26:G26"/>
    <mergeCell ref="F30:G30"/>
    <mergeCell ref="F31:G31"/>
    <mergeCell ref="A39:I39"/>
    <mergeCell ref="F41:G41"/>
    <mergeCell ref="F43:G43"/>
    <mergeCell ref="F44:G44"/>
    <mergeCell ref="F45:G45"/>
    <mergeCell ref="F46:G46"/>
    <mergeCell ref="F47:G47"/>
    <mergeCell ref="F48:G48"/>
    <mergeCell ref="F49:G49"/>
    <mergeCell ref="F51:G51"/>
    <mergeCell ref="F52:G52"/>
    <mergeCell ref="A56:I56"/>
    <mergeCell ref="F58:G58"/>
    <mergeCell ref="F60:G60"/>
    <mergeCell ref="F61:G61"/>
    <mergeCell ref="F62:G62"/>
    <mergeCell ref="F63:G63"/>
    <mergeCell ref="F64:G64"/>
    <mergeCell ref="F65:G65"/>
    <mergeCell ref="F66:G66"/>
    <mergeCell ref="F67:G67"/>
    <mergeCell ref="A75:I75"/>
    <mergeCell ref="G85:H85"/>
    <mergeCell ref="G86:H86"/>
    <mergeCell ref="A89:I89"/>
    <mergeCell ref="A104:I104"/>
    <mergeCell ref="A121:I121"/>
    <mergeCell ref="A138:I138"/>
    <mergeCell ref="A187:I187"/>
    <mergeCell ref="G356:H356"/>
    <mergeCell ref="G357:H357"/>
    <mergeCell ref="G358:H358"/>
    <mergeCell ref="G359:H359"/>
    <mergeCell ref="G360:H360"/>
    <mergeCell ref="A385:I385"/>
    <mergeCell ref="G387:H387"/>
    <mergeCell ref="G389:H389"/>
    <mergeCell ref="G390:H390"/>
    <mergeCell ref="G391:H391"/>
    <mergeCell ref="G392:H392"/>
    <mergeCell ref="G393:H393"/>
    <mergeCell ref="G394:H394"/>
    <mergeCell ref="G395:H395"/>
    <mergeCell ref="A420:I420"/>
    <mergeCell ref="G422:H422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A458:I458"/>
    <mergeCell ref="G460:H460"/>
    <mergeCell ref="G462:H462"/>
    <mergeCell ref="G463:H463"/>
    <mergeCell ref="G490:H490"/>
    <mergeCell ref="G492:H492"/>
    <mergeCell ref="G493:H493"/>
    <mergeCell ref="G494:H494"/>
    <mergeCell ref="G495:H495"/>
    <mergeCell ref="G496:H496"/>
    <mergeCell ref="G497:H497"/>
    <mergeCell ref="G524:H524"/>
    <mergeCell ref="G525:H525"/>
    <mergeCell ref="G526:H526"/>
    <mergeCell ref="G527:H527"/>
    <mergeCell ref="G528:H528"/>
    <mergeCell ref="K531:L531"/>
    <mergeCell ref="G498:H498"/>
    <mergeCell ref="G499:H499"/>
    <mergeCell ref="A517:I517"/>
    <mergeCell ref="G519:H519"/>
    <mergeCell ref="G521:H521"/>
    <mergeCell ref="G522:H522"/>
    <mergeCell ref="G523:H523"/>
    <mergeCell ref="G189:H189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A241:I241"/>
    <mergeCell ref="G243:H243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A279:I279"/>
    <mergeCell ref="G281:H281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A314:I314"/>
    <mergeCell ref="G316:H316"/>
    <mergeCell ref="G318:H318"/>
    <mergeCell ref="G319:H319"/>
    <mergeCell ref="G320:H320"/>
    <mergeCell ref="G321:H321"/>
    <mergeCell ref="G322:H322"/>
    <mergeCell ref="G323:H323"/>
    <mergeCell ref="G324:H324"/>
    <mergeCell ref="A350:I350"/>
    <mergeCell ref="G352:H352"/>
    <mergeCell ref="G354:H354"/>
    <mergeCell ref="G355:H355"/>
    <mergeCell ref="G464:H464"/>
    <mergeCell ref="G465:H465"/>
    <mergeCell ref="G466:H466"/>
    <mergeCell ref="G467:H467"/>
    <mergeCell ref="G468:H468"/>
    <mergeCell ref="G469:H469"/>
    <mergeCell ref="A488:I488"/>
  </mergeCells>
  <conditionalFormatting sqref="L93:L100">
    <cfRule type="cellIs" dxfId="4" priority="1" operator="greaterThanOrEqual">
      <formula>100</formula>
    </cfRule>
  </conditionalFormatting>
  <conditionalFormatting sqref="L93:L100">
    <cfRule type="cellIs" dxfId="5" priority="2" operator="greaterThanOrEqual">
      <formula>90</formula>
    </cfRule>
  </conditionalFormatting>
  <conditionalFormatting sqref="I108:I115 I125:I132 I142:I149 I191:I198 I245:I252 I283:I290 I318:I324 I354:I360 I389:I395 I424:I431 I462:I469 I492:I499 I521:I528">
    <cfRule type="notContainsBlanks" dxfId="6" priority="3">
      <formula>LEN(TRIM(I108))&gt;0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2" t="s">
        <v>1</v>
      </c>
      <c r="Y1" s="4" t="s">
        <v>7</v>
      </c>
      <c r="Z1" s="2" t="s">
        <v>3</v>
      </c>
      <c r="AA1" s="2" t="s">
        <v>4</v>
      </c>
      <c r="AB1" s="2" t="s">
        <v>5</v>
      </c>
      <c r="AC1" s="5" t="s">
        <v>6</v>
      </c>
      <c r="AD1" s="2" t="s">
        <v>0</v>
      </c>
      <c r="AE1" s="2" t="s">
        <v>1</v>
      </c>
      <c r="AF1" s="4" t="s">
        <v>7</v>
      </c>
      <c r="AG1" s="2" t="s">
        <v>3</v>
      </c>
      <c r="AH1" s="2" t="s">
        <v>4</v>
      </c>
      <c r="AI1" s="2" t="s">
        <v>5</v>
      </c>
      <c r="AJ1" s="5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>
        <v>45747.0</v>
      </c>
      <c r="C2" s="9" t="s">
        <v>10</v>
      </c>
      <c r="D2" s="10"/>
      <c r="E2" s="10"/>
      <c r="F2" s="10"/>
      <c r="G2" s="10"/>
      <c r="H2" s="11"/>
      <c r="I2" s="12">
        <v>45719.0</v>
      </c>
      <c r="J2" s="9" t="s">
        <v>10</v>
      </c>
      <c r="K2" s="10"/>
      <c r="L2" s="10"/>
      <c r="M2" s="10"/>
      <c r="N2" s="10"/>
      <c r="O2" s="11"/>
      <c r="P2" s="12">
        <v>45726.0</v>
      </c>
      <c r="Q2" s="9" t="s">
        <v>10</v>
      </c>
      <c r="R2" s="10"/>
      <c r="S2" s="10"/>
      <c r="T2" s="10"/>
      <c r="U2" s="10"/>
      <c r="V2" s="11"/>
      <c r="W2" s="8">
        <v>45733.0</v>
      </c>
      <c r="X2" s="9" t="s">
        <v>10</v>
      </c>
      <c r="Y2" s="10"/>
      <c r="Z2" s="10"/>
      <c r="AA2" s="10"/>
      <c r="AB2" s="10"/>
      <c r="AC2" s="11"/>
      <c r="AD2" s="8">
        <v>45740.0</v>
      </c>
      <c r="AE2" s="9" t="s">
        <v>10</v>
      </c>
      <c r="AF2" s="10"/>
      <c r="AG2" s="10"/>
      <c r="AH2" s="10"/>
      <c r="AI2" s="10"/>
      <c r="AJ2" s="11"/>
      <c r="AL2" s="18" t="s">
        <v>11</v>
      </c>
      <c r="AM2" s="9" t="s">
        <v>10</v>
      </c>
      <c r="AN2" s="10">
        <f t="shared" ref="AN2:AP2" si="1">D2+K2+R2+Y2+AF2</f>
        <v>0</v>
      </c>
      <c r="AO2" s="10">
        <f t="shared" si="1"/>
        <v>0</v>
      </c>
      <c r="AP2" s="10">
        <f t="shared" si="1"/>
        <v>0</v>
      </c>
      <c r="AQ2" s="11">
        <f t="shared" ref="AQ2:AQ9" si="3">H2+O2+V2+AC2+AJ2</f>
        <v>0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9" t="s">
        <v>12</v>
      </c>
      <c r="K3" s="10"/>
      <c r="L3" s="10"/>
      <c r="M3" s="10"/>
      <c r="N3" s="10"/>
      <c r="O3" s="11"/>
      <c r="P3" s="19"/>
      <c r="Q3" s="9" t="s">
        <v>12</v>
      </c>
      <c r="R3" s="10"/>
      <c r="S3" s="10"/>
      <c r="T3" s="10"/>
      <c r="U3" s="10"/>
      <c r="V3" s="11"/>
      <c r="W3" s="19"/>
      <c r="X3" s="9" t="s">
        <v>12</v>
      </c>
      <c r="Y3" s="10"/>
      <c r="Z3" s="10"/>
      <c r="AA3" s="10"/>
      <c r="AB3" s="10"/>
      <c r="AC3" s="11"/>
      <c r="AD3" s="19"/>
      <c r="AE3" s="9" t="s">
        <v>12</v>
      </c>
      <c r="AF3" s="10"/>
      <c r="AG3" s="10"/>
      <c r="AH3" s="10"/>
      <c r="AI3" s="10"/>
      <c r="AJ3" s="11"/>
      <c r="AL3" s="19"/>
      <c r="AM3" s="9" t="s">
        <v>12</v>
      </c>
      <c r="AN3" s="10">
        <f t="shared" ref="AN3:AP3" si="2">D3+K3+R3+Y3+AF3</f>
        <v>0</v>
      </c>
      <c r="AO3" s="10">
        <f t="shared" si="2"/>
        <v>0</v>
      </c>
      <c r="AP3" s="10">
        <f t="shared" si="2"/>
        <v>0</v>
      </c>
      <c r="AQ3" s="11">
        <f t="shared" si="3"/>
        <v>0</v>
      </c>
    </row>
    <row r="4">
      <c r="B4" s="19"/>
      <c r="C4" s="9" t="s">
        <v>14</v>
      </c>
      <c r="D4" s="10"/>
      <c r="E4" s="10"/>
      <c r="F4" s="10"/>
      <c r="G4" s="10"/>
      <c r="H4" s="11"/>
      <c r="I4" s="19"/>
      <c r="J4" s="9" t="s">
        <v>14</v>
      </c>
      <c r="K4" s="10"/>
      <c r="L4" s="10"/>
      <c r="M4" s="10"/>
      <c r="N4" s="10"/>
      <c r="O4" s="11"/>
      <c r="P4" s="19"/>
      <c r="Q4" s="9" t="s">
        <v>14</v>
      </c>
      <c r="R4" s="10"/>
      <c r="S4" s="10"/>
      <c r="T4" s="10"/>
      <c r="U4" s="10"/>
      <c r="V4" s="11"/>
      <c r="W4" s="19"/>
      <c r="X4" s="9" t="s">
        <v>14</v>
      </c>
      <c r="Y4" s="10"/>
      <c r="Z4" s="10"/>
      <c r="AA4" s="10"/>
      <c r="AB4" s="10"/>
      <c r="AC4" s="11"/>
      <c r="AD4" s="19"/>
      <c r="AE4" s="9" t="s">
        <v>14</v>
      </c>
      <c r="AF4" s="10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10"/>
      <c r="H5" s="11"/>
      <c r="I5" s="19"/>
      <c r="J5" s="9" t="s">
        <v>16</v>
      </c>
      <c r="K5" s="10"/>
      <c r="L5" s="10"/>
      <c r="M5" s="10"/>
      <c r="N5" s="10"/>
      <c r="O5" s="11"/>
      <c r="P5" s="19"/>
      <c r="Q5" s="9" t="s">
        <v>16</v>
      </c>
      <c r="R5" s="10"/>
      <c r="S5" s="10"/>
      <c r="T5" s="10"/>
      <c r="U5" s="10"/>
      <c r="V5" s="163"/>
      <c r="W5" s="19"/>
      <c r="X5" s="9" t="s">
        <v>16</v>
      </c>
      <c r="Y5" s="10"/>
      <c r="Z5" s="10"/>
      <c r="AA5" s="10"/>
      <c r="AB5" s="10"/>
      <c r="AC5" s="163"/>
      <c r="AD5" s="19"/>
      <c r="AE5" s="9" t="s">
        <v>16</v>
      </c>
      <c r="AF5" s="10"/>
      <c r="AG5" s="10"/>
      <c r="AH5" s="10"/>
      <c r="AI5" s="10"/>
      <c r="AJ5" s="11"/>
      <c r="AL5" s="19"/>
      <c r="AM5" s="9" t="s">
        <v>16</v>
      </c>
      <c r="AN5" s="10">
        <f t="shared" ref="AN5:AP5" si="5">D5+K5+R5+Y5+AF5</f>
        <v>0</v>
      </c>
      <c r="AO5" s="10">
        <f t="shared" si="5"/>
        <v>0</v>
      </c>
      <c r="AP5" s="10">
        <f t="shared" si="5"/>
        <v>0</v>
      </c>
      <c r="AQ5" s="11">
        <f t="shared" si="3"/>
        <v>0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10"/>
      <c r="L6" s="10"/>
      <c r="M6" s="10"/>
      <c r="N6" s="10"/>
      <c r="O6" s="11"/>
      <c r="P6" s="19"/>
      <c r="Q6" s="9" t="s">
        <v>17</v>
      </c>
      <c r="R6" s="10"/>
      <c r="S6" s="10"/>
      <c r="T6" s="10"/>
      <c r="U6" s="10"/>
      <c r="V6" s="11"/>
      <c r="W6" s="19"/>
      <c r="X6" s="9" t="s">
        <v>17</v>
      </c>
      <c r="Y6" s="10"/>
      <c r="Z6" s="10"/>
      <c r="AA6" s="10"/>
      <c r="AB6" s="10"/>
      <c r="AC6" s="11"/>
      <c r="AD6" s="19"/>
      <c r="AE6" s="9" t="s">
        <v>17</v>
      </c>
      <c r="AF6" s="10"/>
      <c r="AG6" s="10"/>
      <c r="AH6" s="10"/>
      <c r="AI6" s="10"/>
      <c r="AJ6" s="11"/>
      <c r="AL6" s="19"/>
      <c r="AM6" s="9" t="s">
        <v>17</v>
      </c>
      <c r="AN6" s="10">
        <f t="shared" ref="AN6:AP6" si="6">D6+K6+R6+Y6+AF6</f>
        <v>0</v>
      </c>
      <c r="AO6" s="10">
        <f t="shared" si="6"/>
        <v>0</v>
      </c>
      <c r="AP6" s="10">
        <f t="shared" si="6"/>
        <v>0</v>
      </c>
      <c r="AQ6" s="11">
        <f t="shared" si="3"/>
        <v>0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9" t="s">
        <v>18</v>
      </c>
      <c r="K7" s="10"/>
      <c r="L7" s="10"/>
      <c r="M7" s="10"/>
      <c r="N7" s="10"/>
      <c r="O7" s="11"/>
      <c r="P7" s="19"/>
      <c r="Q7" s="9" t="s">
        <v>18</v>
      </c>
      <c r="R7" s="10"/>
      <c r="S7" s="10"/>
      <c r="T7" s="10"/>
      <c r="U7" s="10"/>
      <c r="V7" s="11"/>
      <c r="W7" s="19"/>
      <c r="X7" s="9" t="s">
        <v>18</v>
      </c>
      <c r="Y7" s="10"/>
      <c r="Z7" s="10"/>
      <c r="AA7" s="10"/>
      <c r="AB7" s="10"/>
      <c r="AC7" s="11"/>
      <c r="AD7" s="19"/>
      <c r="AE7" s="9" t="s">
        <v>18</v>
      </c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0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9" t="s">
        <v>20</v>
      </c>
      <c r="K8" s="10"/>
      <c r="L8" s="10"/>
      <c r="M8" s="10"/>
      <c r="N8" s="10"/>
      <c r="O8" s="11"/>
      <c r="P8" s="19"/>
      <c r="Q8" s="9" t="s">
        <v>19</v>
      </c>
      <c r="R8" s="10"/>
      <c r="S8" s="10"/>
      <c r="T8" s="10"/>
      <c r="U8" s="10"/>
      <c r="V8" s="11"/>
      <c r="W8" s="19"/>
      <c r="X8" s="9" t="s">
        <v>19</v>
      </c>
      <c r="Y8" s="10"/>
      <c r="Z8" s="10"/>
      <c r="AA8" s="10"/>
      <c r="AB8" s="10"/>
      <c r="AC8" s="11"/>
      <c r="AD8" s="19"/>
      <c r="AE8" s="9" t="s">
        <v>19</v>
      </c>
      <c r="AF8" s="10"/>
      <c r="AG8" s="10"/>
      <c r="AH8" s="10"/>
      <c r="AI8" s="10"/>
      <c r="AJ8" s="11"/>
      <c r="AL8" s="19"/>
      <c r="AM8" s="9" t="s">
        <v>19</v>
      </c>
      <c r="AN8" s="10">
        <f t="shared" ref="AN8:AP8" si="8">D8+K8+R8+Y8+AF8</f>
        <v>0</v>
      </c>
      <c r="AO8" s="10">
        <f t="shared" si="8"/>
        <v>0</v>
      </c>
      <c r="AP8" s="10">
        <f t="shared" si="8"/>
        <v>0</v>
      </c>
      <c r="AQ8" s="11">
        <f t="shared" si="3"/>
        <v>0</v>
      </c>
    </row>
    <row r="9">
      <c r="B9" s="19"/>
      <c r="C9" s="26" t="s">
        <v>21</v>
      </c>
      <c r="D9" s="10"/>
      <c r="E9" s="10"/>
      <c r="F9" s="10"/>
      <c r="G9" s="10"/>
      <c r="H9" s="11"/>
      <c r="I9" s="19"/>
      <c r="J9" s="26" t="s">
        <v>22</v>
      </c>
      <c r="K9" s="10"/>
      <c r="L9" s="10"/>
      <c r="M9" s="10"/>
      <c r="N9" s="10"/>
      <c r="O9" s="11"/>
      <c r="P9" s="19"/>
      <c r="Q9" s="26" t="s">
        <v>21</v>
      </c>
      <c r="R9" s="10"/>
      <c r="S9" s="10"/>
      <c r="T9" s="10"/>
      <c r="U9" s="10"/>
      <c r="V9" s="11"/>
      <c r="W9" s="19"/>
      <c r="X9" s="26" t="s">
        <v>22</v>
      </c>
      <c r="Y9" s="10"/>
      <c r="Z9" s="10"/>
      <c r="AA9" s="10"/>
      <c r="AB9" s="10"/>
      <c r="AC9" s="11"/>
      <c r="AD9" s="19"/>
      <c r="AE9" s="26" t="s">
        <v>21</v>
      </c>
      <c r="AF9" s="10"/>
      <c r="AG9" s="10"/>
      <c r="AH9" s="10"/>
      <c r="AI9" s="10"/>
      <c r="AJ9" s="11"/>
      <c r="AL9" s="19"/>
      <c r="AM9" s="26" t="s">
        <v>21</v>
      </c>
      <c r="AN9" s="10">
        <f t="shared" ref="AN9:AP9" si="9">D9+K9+R9+Y9+AF9</f>
        <v>0</v>
      </c>
      <c r="AO9" s="10">
        <f t="shared" si="9"/>
        <v>0</v>
      </c>
      <c r="AP9" s="10">
        <f t="shared" si="9"/>
        <v>0</v>
      </c>
      <c r="AQ9" s="11">
        <f t="shared" si="3"/>
        <v>0</v>
      </c>
    </row>
    <row r="10">
      <c r="B10" s="19"/>
      <c r="C10" s="28" t="s">
        <v>23</v>
      </c>
      <c r="D10" s="29">
        <f t="shared" ref="D10:H10" si="10">D2+D3+D4+D5+D6+D7+D8+D9</f>
        <v>0</v>
      </c>
      <c r="E10" s="30">
        <f t="shared" si="10"/>
        <v>0</v>
      </c>
      <c r="F10" s="31">
        <f t="shared" si="10"/>
        <v>0</v>
      </c>
      <c r="G10" s="37">
        <f t="shared" si="10"/>
        <v>0</v>
      </c>
      <c r="H10" s="33">
        <f t="shared" si="10"/>
        <v>0</v>
      </c>
      <c r="I10" s="19"/>
      <c r="J10" s="28" t="s">
        <v>23</v>
      </c>
      <c r="K10" s="29">
        <f t="shared" ref="K10:O10" si="11">K2+K3+K4+K5+K6+K7+K8+K9</f>
        <v>0</v>
      </c>
      <c r="L10" s="30">
        <f t="shared" si="11"/>
        <v>0</v>
      </c>
      <c r="M10" s="31">
        <f t="shared" si="11"/>
        <v>0</v>
      </c>
      <c r="N10" s="37">
        <f t="shared" si="11"/>
        <v>0</v>
      </c>
      <c r="O10" s="38">
        <f t="shared" si="11"/>
        <v>0</v>
      </c>
      <c r="P10" s="19"/>
      <c r="Q10" s="28" t="s">
        <v>23</v>
      </c>
      <c r="R10" s="29">
        <f t="shared" ref="R10:V10" si="12">R2+R3+R4+R5+R6+R7+R8+R9</f>
        <v>0</v>
      </c>
      <c r="S10" s="30">
        <f t="shared" si="12"/>
        <v>0</v>
      </c>
      <c r="T10" s="31">
        <f t="shared" si="12"/>
        <v>0</v>
      </c>
      <c r="U10" s="37">
        <f t="shared" si="12"/>
        <v>0</v>
      </c>
      <c r="V10" s="33">
        <f t="shared" si="12"/>
        <v>0</v>
      </c>
      <c r="W10" s="19"/>
      <c r="X10" s="66" t="s">
        <v>23</v>
      </c>
      <c r="Y10" s="284">
        <f t="shared" ref="Y10:AC10" si="13">Y2+Y3+Y4+Y5+Y6+Y7+Y8+Y9</f>
        <v>0</v>
      </c>
      <c r="Z10" s="284">
        <f t="shared" si="13"/>
        <v>0</v>
      </c>
      <c r="AA10" s="284">
        <f t="shared" si="13"/>
        <v>0</v>
      </c>
      <c r="AB10" s="284">
        <f t="shared" si="13"/>
        <v>0</v>
      </c>
      <c r="AC10" s="285">
        <f t="shared" si="13"/>
        <v>0</v>
      </c>
      <c r="AD10" s="19"/>
      <c r="AE10" s="28" t="s">
        <v>23</v>
      </c>
      <c r="AF10" s="61">
        <f t="shared" ref="AF10:AJ10" si="14">AF2+AF3+AF4+AF5+AF6+AF7+AF8+AF9</f>
        <v>0</v>
      </c>
      <c r="AG10" s="35">
        <f t="shared" si="14"/>
        <v>0</v>
      </c>
      <c r="AH10" s="31">
        <f t="shared" si="14"/>
        <v>0</v>
      </c>
      <c r="AI10" s="37">
        <f t="shared" si="14"/>
        <v>0</v>
      </c>
      <c r="AJ10" s="33">
        <f t="shared" si="14"/>
        <v>0</v>
      </c>
      <c r="AL10" s="19"/>
      <c r="AM10" s="28" t="s">
        <v>23</v>
      </c>
      <c r="AN10" s="41">
        <f t="shared" ref="AN10:AQ10" si="15">AN2+AN3+AN4+AN5+AN6+AN7+AN8+AN9</f>
        <v>0</v>
      </c>
      <c r="AO10" s="42">
        <f t="shared" si="15"/>
        <v>0</v>
      </c>
      <c r="AP10" s="43">
        <f t="shared" si="15"/>
        <v>0</v>
      </c>
      <c r="AQ10" s="44">
        <f t="shared" si="15"/>
        <v>0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0</v>
      </c>
      <c r="L11" s="47"/>
      <c r="M11" s="48"/>
      <c r="N11" s="51"/>
      <c r="O11" s="52"/>
      <c r="P11" s="19"/>
      <c r="Q11" s="45" t="s">
        <v>24</v>
      </c>
      <c r="R11" s="50">
        <f>R10-S10</f>
        <v>0</v>
      </c>
      <c r="S11" s="47"/>
      <c r="T11" s="48"/>
      <c r="U11" s="51"/>
      <c r="V11" s="52"/>
      <c r="W11" s="19"/>
      <c r="X11" s="45" t="s">
        <v>24</v>
      </c>
      <c r="Y11" s="50">
        <f>Y10-Z10</f>
        <v>0</v>
      </c>
      <c r="Z11" s="47"/>
      <c r="AA11" s="48"/>
      <c r="AB11" s="51"/>
      <c r="AC11" s="52"/>
      <c r="AD11" s="19"/>
      <c r="AE11" s="45" t="s">
        <v>24</v>
      </c>
      <c r="AF11" s="50">
        <f>AF10-AG10</f>
        <v>0</v>
      </c>
      <c r="AG11" s="47"/>
      <c r="AH11" s="48"/>
      <c r="AI11" s="51"/>
      <c r="AJ11" s="52"/>
      <c r="AL11" s="53"/>
      <c r="AM11" s="45" t="s">
        <v>25</v>
      </c>
      <c r="AN11" s="50">
        <f>AN10-AO10</f>
        <v>0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0</v>
      </c>
      <c r="L12" s="47"/>
      <c r="M12" s="48"/>
      <c r="N12" s="51"/>
      <c r="O12" s="52"/>
      <c r="P12" s="53"/>
      <c r="Q12" s="56" t="s">
        <v>26</v>
      </c>
      <c r="R12" s="57">
        <f>T10-S10</f>
        <v>0</v>
      </c>
      <c r="S12" s="47"/>
      <c r="T12" s="48"/>
      <c r="U12" s="51"/>
      <c r="V12" s="52"/>
      <c r="W12" s="53"/>
      <c r="X12" s="56" t="s">
        <v>26</v>
      </c>
      <c r="Y12" s="57">
        <f>AA10-Z10</f>
        <v>0</v>
      </c>
      <c r="Z12" s="47"/>
      <c r="AA12" s="48"/>
      <c r="AB12" s="51"/>
      <c r="AC12" s="52"/>
      <c r="AD12" s="53"/>
      <c r="AE12" s="56" t="s">
        <v>26</v>
      </c>
      <c r="AF12" s="57">
        <f>AH10-AG10</f>
        <v>0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2" t="s">
        <v>1</v>
      </c>
      <c r="Y13" s="4" t="s">
        <v>7</v>
      </c>
      <c r="Z13" s="2" t="s">
        <v>3</v>
      </c>
      <c r="AA13" s="2" t="s">
        <v>4</v>
      </c>
      <c r="AB13" s="2" t="s">
        <v>5</v>
      </c>
      <c r="AC13" s="5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/>
      <c r="C14" s="9" t="s">
        <v>10</v>
      </c>
      <c r="D14" s="10"/>
      <c r="E14" s="10"/>
      <c r="F14" s="10"/>
      <c r="G14" s="10"/>
      <c r="H14" s="11"/>
      <c r="I14" s="62" t="s">
        <v>262</v>
      </c>
      <c r="J14" s="9" t="s">
        <v>10</v>
      </c>
      <c r="K14" s="10"/>
      <c r="L14" s="10"/>
      <c r="M14" s="10"/>
      <c r="N14" s="10"/>
      <c r="O14" s="11"/>
      <c r="P14" s="8">
        <v>45727.0</v>
      </c>
      <c r="Q14" s="9" t="s">
        <v>10</v>
      </c>
      <c r="R14" s="10"/>
      <c r="S14" s="10"/>
      <c r="T14" s="10"/>
      <c r="U14" s="10"/>
      <c r="V14" s="11"/>
      <c r="W14" s="8">
        <v>45734.0</v>
      </c>
      <c r="X14" s="9" t="s">
        <v>10</v>
      </c>
      <c r="Y14" s="10"/>
      <c r="Z14" s="10"/>
      <c r="AA14" s="10"/>
      <c r="AB14" s="10"/>
      <c r="AC14" s="11"/>
      <c r="AD14" s="8">
        <v>45741.0</v>
      </c>
      <c r="AE14" s="9" t="s">
        <v>10</v>
      </c>
      <c r="AF14" s="10"/>
      <c r="AG14" s="10"/>
      <c r="AH14" s="10"/>
      <c r="AI14" s="10"/>
      <c r="AJ14" s="11"/>
      <c r="AL14" s="18" t="s">
        <v>28</v>
      </c>
      <c r="AM14" s="9" t="s">
        <v>10</v>
      </c>
      <c r="AN14" s="10">
        <f t="shared" ref="AN14:AP14" si="16">D14+K14+R14+Y14+AF14</f>
        <v>0</v>
      </c>
      <c r="AO14" s="10">
        <f t="shared" si="16"/>
        <v>0</v>
      </c>
      <c r="AP14" s="10">
        <f t="shared" si="16"/>
        <v>0</v>
      </c>
      <c r="AQ14" s="11">
        <f t="shared" ref="AQ14:AQ21" si="18">H14+O14+V14+AC14+AJ14</f>
        <v>0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9" t="s">
        <v>12</v>
      </c>
      <c r="K15" s="10"/>
      <c r="L15" s="10"/>
      <c r="M15" s="10"/>
      <c r="N15" s="10"/>
      <c r="O15" s="11"/>
      <c r="P15" s="19"/>
      <c r="Q15" s="9" t="s">
        <v>12</v>
      </c>
      <c r="R15" s="10"/>
      <c r="S15" s="10"/>
      <c r="T15" s="10"/>
      <c r="U15" s="10"/>
      <c r="V15" s="11"/>
      <c r="W15" s="19"/>
      <c r="X15" s="9" t="s">
        <v>12</v>
      </c>
      <c r="Y15" s="10"/>
      <c r="Z15" s="10"/>
      <c r="AA15" s="10"/>
      <c r="AB15" s="10"/>
      <c r="AC15" s="11"/>
      <c r="AD15" s="19"/>
      <c r="AE15" s="9" t="s">
        <v>12</v>
      </c>
      <c r="AF15" s="10"/>
      <c r="AG15" s="10"/>
      <c r="AH15" s="10"/>
      <c r="AI15" s="10"/>
      <c r="AJ15" s="11"/>
      <c r="AL15" s="19"/>
      <c r="AM15" s="9" t="s">
        <v>12</v>
      </c>
      <c r="AN15" s="10">
        <f t="shared" ref="AN15:AP15" si="17">D15+K15+R15+Y15+AF15</f>
        <v>0</v>
      </c>
      <c r="AO15" s="10">
        <f t="shared" si="17"/>
        <v>0</v>
      </c>
      <c r="AP15" s="10">
        <f t="shared" si="17"/>
        <v>0</v>
      </c>
      <c r="AQ15" s="11">
        <f t="shared" si="18"/>
        <v>0</v>
      </c>
    </row>
    <row r="16">
      <c r="A16" s="19"/>
      <c r="B16" s="19"/>
      <c r="C16" s="9" t="s">
        <v>14</v>
      </c>
      <c r="D16" s="10"/>
      <c r="E16" s="10"/>
      <c r="F16" s="10"/>
      <c r="G16" s="10"/>
      <c r="H16" s="11"/>
      <c r="I16" s="19"/>
      <c r="J16" s="9" t="s">
        <v>14</v>
      </c>
      <c r="K16" s="10"/>
      <c r="L16" s="10"/>
      <c r="M16" s="10"/>
      <c r="N16" s="10"/>
      <c r="O16" s="11"/>
      <c r="P16" s="19"/>
      <c r="Q16" s="9" t="s">
        <v>14</v>
      </c>
      <c r="R16" s="10"/>
      <c r="S16" s="10"/>
      <c r="T16" s="10"/>
      <c r="U16" s="10"/>
      <c r="V16" s="11"/>
      <c r="W16" s="19"/>
      <c r="X16" s="9" t="s">
        <v>14</v>
      </c>
      <c r="Y16" s="10"/>
      <c r="Z16" s="10"/>
      <c r="AA16" s="10"/>
      <c r="AB16" s="10"/>
      <c r="AC16" s="11"/>
      <c r="AD16" s="19"/>
      <c r="AE16" s="9" t="s">
        <v>14</v>
      </c>
      <c r="AF16" s="10"/>
      <c r="AG16" s="10"/>
      <c r="AH16" s="10"/>
      <c r="AI16" s="10"/>
      <c r="AJ16" s="11"/>
      <c r="AL16" s="19"/>
      <c r="AM16" s="9" t="s">
        <v>14</v>
      </c>
      <c r="AN16" s="10">
        <f t="shared" ref="AN16:AP16" si="19">D16+K16+R16+Y16+AF16</f>
        <v>0</v>
      </c>
      <c r="AO16" s="10">
        <f t="shared" si="19"/>
        <v>0</v>
      </c>
      <c r="AP16" s="10">
        <f t="shared" si="19"/>
        <v>0</v>
      </c>
      <c r="AQ16" s="11">
        <f t="shared" si="18"/>
        <v>0</v>
      </c>
    </row>
    <row r="17">
      <c r="A17" s="19"/>
      <c r="B17" s="19"/>
      <c r="C17" s="9" t="s">
        <v>16</v>
      </c>
      <c r="D17" s="10"/>
      <c r="E17" s="10"/>
      <c r="F17" s="10"/>
      <c r="G17" s="10"/>
      <c r="H17" s="11"/>
      <c r="I17" s="19"/>
      <c r="J17" s="9" t="s">
        <v>16</v>
      </c>
      <c r="K17" s="10"/>
      <c r="L17" s="10"/>
      <c r="M17" s="10"/>
      <c r="N17" s="10"/>
      <c r="O17" s="11"/>
      <c r="P17" s="19"/>
      <c r="Q17" s="9" t="s">
        <v>15</v>
      </c>
      <c r="R17" s="10"/>
      <c r="S17" s="10"/>
      <c r="T17" s="10"/>
      <c r="U17" s="10"/>
      <c r="V17" s="11"/>
      <c r="W17" s="19"/>
      <c r="X17" s="9" t="s">
        <v>16</v>
      </c>
      <c r="Y17" s="10"/>
      <c r="Z17" s="10"/>
      <c r="AA17" s="10"/>
      <c r="AB17" s="10"/>
      <c r="AC17" s="11"/>
      <c r="AD17" s="19"/>
      <c r="AE17" s="9" t="s">
        <v>16</v>
      </c>
      <c r="AF17" s="10"/>
      <c r="AG17" s="10"/>
      <c r="AH17" s="10"/>
      <c r="AI17" s="10"/>
      <c r="AJ17" s="11"/>
      <c r="AL17" s="19"/>
      <c r="AM17" s="9" t="s">
        <v>16</v>
      </c>
      <c r="AN17" s="10">
        <f t="shared" ref="AN17:AP17" si="20">D17+K17+R17+Y17+AF17</f>
        <v>0</v>
      </c>
      <c r="AO17" s="10">
        <f t="shared" si="20"/>
        <v>0</v>
      </c>
      <c r="AP17" s="10">
        <f t="shared" si="20"/>
        <v>0</v>
      </c>
      <c r="AQ17" s="11">
        <f t="shared" si="18"/>
        <v>0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9" t="s">
        <v>17</v>
      </c>
      <c r="K18" s="10"/>
      <c r="L18" s="10"/>
      <c r="M18" s="10"/>
      <c r="N18" s="10"/>
      <c r="O18" s="11"/>
      <c r="P18" s="19"/>
      <c r="Q18" s="9" t="s">
        <v>17</v>
      </c>
      <c r="R18" s="10"/>
      <c r="S18" s="10"/>
      <c r="T18" s="10"/>
      <c r="U18" s="10"/>
      <c r="V18" s="11"/>
      <c r="W18" s="19"/>
      <c r="X18" s="9" t="s">
        <v>17</v>
      </c>
      <c r="Y18" s="10"/>
      <c r="Z18" s="10"/>
      <c r="AA18" s="10"/>
      <c r="AB18" s="10"/>
      <c r="AC18" s="11"/>
      <c r="AD18" s="19"/>
      <c r="AE18" s="9" t="s">
        <v>17</v>
      </c>
      <c r="AF18" s="10"/>
      <c r="AG18" s="10"/>
      <c r="AH18" s="10"/>
      <c r="AI18" s="10"/>
      <c r="AJ18" s="11"/>
      <c r="AL18" s="19"/>
      <c r="AM18" s="9" t="s">
        <v>17</v>
      </c>
      <c r="AN18" s="10">
        <f t="shared" ref="AN18:AP18" si="21">D18+K18+R18+Y18+AF18</f>
        <v>0</v>
      </c>
      <c r="AO18" s="10">
        <f t="shared" si="21"/>
        <v>0</v>
      </c>
      <c r="AP18" s="10">
        <f t="shared" si="21"/>
        <v>0</v>
      </c>
      <c r="AQ18" s="11">
        <f t="shared" si="18"/>
        <v>0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9" t="s">
        <v>18</v>
      </c>
      <c r="K19" s="10"/>
      <c r="L19" s="10"/>
      <c r="M19" s="10"/>
      <c r="N19" s="10"/>
      <c r="O19" s="11"/>
      <c r="P19" s="19"/>
      <c r="Q19" s="9" t="s">
        <v>18</v>
      </c>
      <c r="R19" s="10"/>
      <c r="S19" s="10"/>
      <c r="T19" s="10"/>
      <c r="U19" s="10"/>
      <c r="V19" s="11"/>
      <c r="W19" s="19"/>
      <c r="X19" s="9" t="s">
        <v>18</v>
      </c>
      <c r="Y19" s="10"/>
      <c r="Z19" s="10"/>
      <c r="AA19" s="10"/>
      <c r="AB19" s="10"/>
      <c r="AC19" s="11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2">D19+K19+R19+Y19+AF19</f>
        <v>0</v>
      </c>
      <c r="AO19" s="10">
        <f t="shared" si="22"/>
        <v>0</v>
      </c>
      <c r="AP19" s="10">
        <f t="shared" si="22"/>
        <v>0</v>
      </c>
      <c r="AQ19" s="11">
        <f t="shared" si="18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0"/>
      <c r="L20" s="10"/>
      <c r="M20" s="10"/>
      <c r="N20" s="10"/>
      <c r="O20" s="11"/>
      <c r="P20" s="19"/>
      <c r="Q20" s="9" t="s">
        <v>19</v>
      </c>
      <c r="R20" s="10"/>
      <c r="S20" s="10"/>
      <c r="T20" s="10"/>
      <c r="U20" s="10"/>
      <c r="V20" s="11"/>
      <c r="W20" s="19"/>
      <c r="X20" s="9" t="s">
        <v>19</v>
      </c>
      <c r="Y20" s="10"/>
      <c r="Z20" s="10"/>
      <c r="AA20" s="10"/>
      <c r="AB20" s="10"/>
      <c r="AC20" s="11"/>
      <c r="AD20" s="19"/>
      <c r="AE20" s="9" t="s">
        <v>19</v>
      </c>
      <c r="AF20" s="10"/>
      <c r="AG20" s="10"/>
      <c r="AH20" s="10"/>
      <c r="AI20" s="10"/>
      <c r="AJ20" s="11"/>
      <c r="AL20" s="19"/>
      <c r="AM20" s="9" t="s">
        <v>19</v>
      </c>
      <c r="AN20" s="10">
        <f t="shared" ref="AN20:AP20" si="23">D20+K20+R20+Y20+AF20</f>
        <v>0</v>
      </c>
      <c r="AO20" s="10">
        <f t="shared" si="23"/>
        <v>0</v>
      </c>
      <c r="AP20" s="10">
        <f t="shared" si="23"/>
        <v>0</v>
      </c>
      <c r="AQ20" s="11">
        <f t="shared" si="18"/>
        <v>0</v>
      </c>
    </row>
    <row r="21">
      <c r="A21" s="19"/>
      <c r="B21" s="19"/>
      <c r="C21" s="26" t="s">
        <v>21</v>
      </c>
      <c r="D21" s="10"/>
      <c r="E21" s="10"/>
      <c r="F21" s="10"/>
      <c r="G21" s="10"/>
      <c r="H21" s="11"/>
      <c r="I21" s="19"/>
      <c r="J21" s="26" t="s">
        <v>22</v>
      </c>
      <c r="K21" s="10"/>
      <c r="L21" s="10"/>
      <c r="M21" s="10"/>
      <c r="N21" s="10"/>
      <c r="O21" s="11"/>
      <c r="P21" s="19"/>
      <c r="Q21" s="26" t="s">
        <v>21</v>
      </c>
      <c r="R21" s="10"/>
      <c r="S21" s="10"/>
      <c r="T21" s="10"/>
      <c r="U21" s="10"/>
      <c r="V21" s="11"/>
      <c r="W21" s="19"/>
      <c r="X21" s="26" t="s">
        <v>21</v>
      </c>
      <c r="Y21" s="10"/>
      <c r="Z21" s="10"/>
      <c r="AA21" s="10"/>
      <c r="AB21" s="10"/>
      <c r="AC21" s="11"/>
      <c r="AD21" s="19"/>
      <c r="AE21" s="26" t="s">
        <v>21</v>
      </c>
      <c r="AF21" s="10"/>
      <c r="AG21" s="10"/>
      <c r="AH21" s="10"/>
      <c r="AI21" s="10"/>
      <c r="AJ21" s="11"/>
      <c r="AL21" s="19"/>
      <c r="AM21" s="26" t="s">
        <v>21</v>
      </c>
      <c r="AN21" s="10">
        <f t="shared" ref="AN21:AP21" si="24">D21+K21+R21+Y21+AF21</f>
        <v>0</v>
      </c>
      <c r="AO21" s="10">
        <f t="shared" si="24"/>
        <v>0</v>
      </c>
      <c r="AP21" s="10">
        <f t="shared" si="24"/>
        <v>0</v>
      </c>
      <c r="AQ21" s="11">
        <f t="shared" si="18"/>
        <v>0</v>
      </c>
    </row>
    <row r="22">
      <c r="A22" s="19"/>
      <c r="B22" s="19"/>
      <c r="C22" s="28" t="s">
        <v>23</v>
      </c>
      <c r="D22" s="29">
        <f t="shared" ref="D22:H22" si="25">D14+D15+D16+D17+D18+D19+D20+D21</f>
        <v>0</v>
      </c>
      <c r="E22" s="30">
        <f t="shared" si="25"/>
        <v>0</v>
      </c>
      <c r="F22" s="31">
        <f t="shared" si="25"/>
        <v>0</v>
      </c>
      <c r="G22" s="32">
        <f t="shared" si="25"/>
        <v>0</v>
      </c>
      <c r="H22" s="33">
        <f t="shared" si="25"/>
        <v>0</v>
      </c>
      <c r="I22" s="19"/>
      <c r="J22" s="28" t="s">
        <v>23</v>
      </c>
      <c r="K22" s="29">
        <f t="shared" ref="K22:O22" si="26">K14+K15+K16+K17+K18+K19+K20+K21</f>
        <v>0</v>
      </c>
      <c r="L22" s="30">
        <f t="shared" si="26"/>
        <v>0</v>
      </c>
      <c r="M22" s="31">
        <f t="shared" si="26"/>
        <v>0</v>
      </c>
      <c r="N22" s="37">
        <f t="shared" si="26"/>
        <v>0</v>
      </c>
      <c r="O22" s="33">
        <f t="shared" si="26"/>
        <v>0</v>
      </c>
      <c r="P22" s="19"/>
      <c r="Q22" s="28" t="s">
        <v>23</v>
      </c>
      <c r="R22" s="29">
        <f t="shared" ref="R22:V22" si="27">R14+R15+R16+R17+R18+R19+R20+R21</f>
        <v>0</v>
      </c>
      <c r="S22" s="30">
        <f t="shared" si="27"/>
        <v>0</v>
      </c>
      <c r="T22" s="31">
        <f t="shared" si="27"/>
        <v>0</v>
      </c>
      <c r="U22" s="37">
        <f t="shared" si="27"/>
        <v>0</v>
      </c>
      <c r="V22" s="33">
        <f t="shared" si="27"/>
        <v>0</v>
      </c>
      <c r="W22" s="19"/>
      <c r="X22" s="28" t="s">
        <v>23</v>
      </c>
      <c r="Y22" s="29">
        <f t="shared" ref="Y22:AC22" si="28">Y14+Y15+Y16+Y17+Y18+Y19+Y20+Y21</f>
        <v>0</v>
      </c>
      <c r="Z22" s="30">
        <f t="shared" si="28"/>
        <v>0</v>
      </c>
      <c r="AA22" s="31">
        <f t="shared" si="28"/>
        <v>0</v>
      </c>
      <c r="AB22" s="37">
        <f t="shared" si="28"/>
        <v>0</v>
      </c>
      <c r="AC22" s="33">
        <f t="shared" si="28"/>
        <v>0</v>
      </c>
      <c r="AD22" s="19"/>
      <c r="AE22" s="28" t="s">
        <v>23</v>
      </c>
      <c r="AF22" s="61">
        <f t="shared" ref="AF22:AJ22" si="29">AF14+AF15+AF16+AF17+AF18+AF19+AF20+AF21</f>
        <v>0</v>
      </c>
      <c r="AG22" s="35">
        <f t="shared" si="29"/>
        <v>0</v>
      </c>
      <c r="AH22" s="31">
        <f t="shared" si="29"/>
        <v>0</v>
      </c>
      <c r="AI22" s="37">
        <f t="shared" si="29"/>
        <v>0</v>
      </c>
      <c r="AJ22" s="33">
        <f t="shared" si="29"/>
        <v>0</v>
      </c>
      <c r="AL22" s="19"/>
      <c r="AM22" s="28" t="s">
        <v>23</v>
      </c>
      <c r="AN22" s="41">
        <f t="shared" ref="AN22:AQ22" si="30">AN14+AN15+AN16+AN17+AN18+AN19+AN20+AN21</f>
        <v>0</v>
      </c>
      <c r="AO22" s="42">
        <f t="shared" si="30"/>
        <v>0</v>
      </c>
      <c r="AP22" s="43">
        <f t="shared" si="30"/>
        <v>0</v>
      </c>
      <c r="AQ22" s="44">
        <f t="shared" si="30"/>
        <v>0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0</v>
      </c>
      <c r="L23" s="47"/>
      <c r="M23" s="48"/>
      <c r="N23" s="51"/>
      <c r="O23" s="51"/>
      <c r="P23" s="19"/>
      <c r="Q23" s="45" t="s">
        <v>24</v>
      </c>
      <c r="R23" s="50">
        <f>R22-S22</f>
        <v>0</v>
      </c>
      <c r="S23" s="47"/>
      <c r="T23" s="48"/>
      <c r="U23" s="51"/>
      <c r="V23" s="51"/>
      <c r="W23" s="19"/>
      <c r="X23" s="45" t="s">
        <v>24</v>
      </c>
      <c r="Y23" s="50">
        <f>Y22-Z22</f>
        <v>0</v>
      </c>
      <c r="Z23" s="47"/>
      <c r="AA23" s="48"/>
      <c r="AB23" s="51"/>
      <c r="AC23" s="51"/>
      <c r="AD23" s="19"/>
      <c r="AE23" s="45" t="s">
        <v>24</v>
      </c>
      <c r="AF23" s="50">
        <f>AF22-AG22</f>
        <v>0</v>
      </c>
      <c r="AG23" s="47"/>
      <c r="AH23" s="48"/>
      <c r="AI23" s="51"/>
      <c r="AJ23" s="51"/>
      <c r="AL23" s="53"/>
      <c r="AM23" s="45" t="s">
        <v>25</v>
      </c>
      <c r="AN23" s="50">
        <f>AN22-AO22</f>
        <v>0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0</v>
      </c>
      <c r="L24" s="47"/>
      <c r="M24" s="48"/>
      <c r="N24" s="51"/>
      <c r="O24" s="51"/>
      <c r="P24" s="53"/>
      <c r="Q24" s="56" t="s">
        <v>26</v>
      </c>
      <c r="R24" s="57">
        <f>T22-S22</f>
        <v>0</v>
      </c>
      <c r="S24" s="47"/>
      <c r="T24" s="48"/>
      <c r="U24" s="51"/>
      <c r="V24" s="51"/>
      <c r="W24" s="53"/>
      <c r="X24" s="56" t="s">
        <v>26</v>
      </c>
      <c r="Y24" s="57">
        <f>AA22-Z22</f>
        <v>0</v>
      </c>
      <c r="Z24" s="47"/>
      <c r="AA24" s="48"/>
      <c r="AB24" s="51"/>
      <c r="AC24" s="51"/>
      <c r="AD24" s="53"/>
      <c r="AE24" s="56" t="s">
        <v>26</v>
      </c>
      <c r="AF24" s="57">
        <f>AH22-AG22</f>
        <v>0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2" t="s">
        <v>1</v>
      </c>
      <c r="K25" s="4" t="s">
        <v>7</v>
      </c>
      <c r="L25" s="2" t="s">
        <v>3</v>
      </c>
      <c r="M25" s="2" t="s">
        <v>4</v>
      </c>
      <c r="N25" s="2" t="s">
        <v>5</v>
      </c>
      <c r="O25" s="5" t="s">
        <v>6</v>
      </c>
      <c r="P25" s="2" t="s">
        <v>0</v>
      </c>
      <c r="Q25" s="2" t="s">
        <v>1</v>
      </c>
      <c r="R25" s="4" t="s">
        <v>7</v>
      </c>
      <c r="S25" s="2" t="s">
        <v>3</v>
      </c>
      <c r="T25" s="2" t="s">
        <v>4</v>
      </c>
      <c r="U25" s="2" t="s">
        <v>5</v>
      </c>
      <c r="V25" s="5" t="s">
        <v>6</v>
      </c>
      <c r="W25" s="2" t="s">
        <v>0</v>
      </c>
      <c r="X25" s="2" t="s">
        <v>1</v>
      </c>
      <c r="Y25" s="4" t="s">
        <v>7</v>
      </c>
      <c r="Z25" s="2" t="s">
        <v>3</v>
      </c>
      <c r="AA25" s="2" t="s">
        <v>4</v>
      </c>
      <c r="AB25" s="2" t="s">
        <v>5</v>
      </c>
      <c r="AC25" s="5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286"/>
      <c r="C26" s="9" t="s">
        <v>10</v>
      </c>
      <c r="D26" s="10"/>
      <c r="E26" s="10"/>
      <c r="F26" s="10"/>
      <c r="G26" s="10"/>
      <c r="H26" s="11"/>
      <c r="I26" s="12">
        <v>45721.0</v>
      </c>
      <c r="J26" s="9" t="s">
        <v>10</v>
      </c>
      <c r="K26" s="10"/>
      <c r="L26" s="10"/>
      <c r="M26" s="10"/>
      <c r="N26" s="10"/>
      <c r="O26" s="11"/>
      <c r="P26" s="8">
        <v>45728.0</v>
      </c>
      <c r="Q26" s="9" t="s">
        <v>10</v>
      </c>
      <c r="R26" s="10"/>
      <c r="S26" s="10"/>
      <c r="T26" s="10"/>
      <c r="U26" s="10"/>
      <c r="V26" s="11"/>
      <c r="W26" s="8">
        <v>45735.0</v>
      </c>
      <c r="X26" s="9" t="s">
        <v>10</v>
      </c>
      <c r="Y26" s="10"/>
      <c r="Z26" s="10"/>
      <c r="AA26" s="10"/>
      <c r="AB26" s="10"/>
      <c r="AC26" s="11"/>
      <c r="AD26" s="8">
        <v>45742.0</v>
      </c>
      <c r="AE26" s="9" t="s">
        <v>10</v>
      </c>
      <c r="AF26" s="10"/>
      <c r="AG26" s="10"/>
      <c r="AH26" s="10"/>
      <c r="AI26" s="10"/>
      <c r="AJ26" s="11"/>
      <c r="AL26" s="18" t="s">
        <v>31</v>
      </c>
      <c r="AM26" s="9" t="s">
        <v>10</v>
      </c>
      <c r="AN26" s="10">
        <f t="shared" ref="AN26:AP26" si="31">D26+K26+R26+Y26+AF26</f>
        <v>0</v>
      </c>
      <c r="AO26" s="10">
        <f t="shared" si="31"/>
        <v>0</v>
      </c>
      <c r="AP26" s="10">
        <f t="shared" si="31"/>
        <v>0</v>
      </c>
      <c r="AQ26" s="11">
        <f t="shared" ref="AQ26:AQ33" si="33">H26+O26+V26+AC26+AJ26</f>
        <v>0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0"/>
      <c r="L27" s="10"/>
      <c r="M27" s="10"/>
      <c r="N27" s="10"/>
      <c r="O27" s="11"/>
      <c r="P27" s="19"/>
      <c r="Q27" s="9" t="s">
        <v>12</v>
      </c>
      <c r="R27" s="10"/>
      <c r="S27" s="10"/>
      <c r="T27" s="10"/>
      <c r="U27" s="10"/>
      <c r="V27" s="11"/>
      <c r="W27" s="19"/>
      <c r="X27" s="9" t="s">
        <v>12</v>
      </c>
      <c r="Y27" s="10"/>
      <c r="Z27" s="10"/>
      <c r="AA27" s="10"/>
      <c r="AB27" s="10"/>
      <c r="AC27" s="11"/>
      <c r="AD27" s="19"/>
      <c r="AE27" s="9" t="s">
        <v>12</v>
      </c>
      <c r="AF27" s="10"/>
      <c r="AG27" s="10"/>
      <c r="AH27" s="10"/>
      <c r="AI27" s="10"/>
      <c r="AJ27" s="11"/>
      <c r="AL27" s="19"/>
      <c r="AM27" s="9" t="s">
        <v>12</v>
      </c>
      <c r="AN27" s="10">
        <f t="shared" ref="AN27:AP27" si="32">D27+K27+R27+Y27+AF27</f>
        <v>0</v>
      </c>
      <c r="AO27" s="10">
        <f t="shared" si="32"/>
        <v>0</v>
      </c>
      <c r="AP27" s="10">
        <f t="shared" si="32"/>
        <v>0</v>
      </c>
      <c r="AQ27" s="11">
        <f t="shared" si="33"/>
        <v>0</v>
      </c>
    </row>
    <row r="28">
      <c r="A28" s="19"/>
      <c r="B28" s="19"/>
      <c r="C28" s="9" t="s">
        <v>14</v>
      </c>
      <c r="D28" s="10"/>
      <c r="E28" s="10"/>
      <c r="F28" s="10"/>
      <c r="G28" s="10"/>
      <c r="H28" s="11"/>
      <c r="I28" s="19"/>
      <c r="J28" s="9" t="s">
        <v>14</v>
      </c>
      <c r="K28" s="10"/>
      <c r="L28" s="10"/>
      <c r="M28" s="10"/>
      <c r="N28" s="10"/>
      <c r="O28" s="11"/>
      <c r="P28" s="19"/>
      <c r="Q28" s="9" t="s">
        <v>33</v>
      </c>
      <c r="R28" s="10"/>
      <c r="S28" s="10"/>
      <c r="T28" s="10"/>
      <c r="U28" s="10"/>
      <c r="V28" s="11"/>
      <c r="W28" s="19"/>
      <c r="X28" s="9" t="s">
        <v>14</v>
      </c>
      <c r="Y28" s="10"/>
      <c r="Z28" s="10"/>
      <c r="AA28" s="10"/>
      <c r="AB28" s="10"/>
      <c r="AC28" s="11"/>
      <c r="AD28" s="19"/>
      <c r="AE28" s="9" t="s">
        <v>14</v>
      </c>
      <c r="AF28" s="10"/>
      <c r="AG28" s="10"/>
      <c r="AH28" s="10"/>
      <c r="AI28" s="10"/>
      <c r="AJ28" s="11"/>
      <c r="AL28" s="19"/>
      <c r="AM28" s="9" t="s">
        <v>14</v>
      </c>
      <c r="AN28" s="10">
        <f t="shared" ref="AN28:AP28" si="34">D28+K28+R28+Y28+AF28</f>
        <v>0</v>
      </c>
      <c r="AO28" s="10">
        <f t="shared" si="34"/>
        <v>0</v>
      </c>
      <c r="AP28" s="10">
        <f t="shared" si="34"/>
        <v>0</v>
      </c>
      <c r="AQ28" s="11">
        <f t="shared" si="33"/>
        <v>0</v>
      </c>
    </row>
    <row r="29">
      <c r="A29" s="19"/>
      <c r="B29" s="19"/>
      <c r="C29" s="9" t="s">
        <v>15</v>
      </c>
      <c r="D29" s="10"/>
      <c r="E29" s="10"/>
      <c r="F29" s="10"/>
      <c r="G29" s="10"/>
      <c r="H29" s="11"/>
      <c r="I29" s="19"/>
      <c r="J29" s="9" t="s">
        <v>15</v>
      </c>
      <c r="K29" s="10"/>
      <c r="L29" s="10"/>
      <c r="M29" s="10"/>
      <c r="N29" s="10"/>
      <c r="O29" s="11"/>
      <c r="P29" s="19"/>
      <c r="Q29" s="9" t="s">
        <v>15</v>
      </c>
      <c r="R29" s="10"/>
      <c r="S29" s="10"/>
      <c r="T29" s="10"/>
      <c r="U29" s="10"/>
      <c r="V29" s="11"/>
      <c r="W29" s="19"/>
      <c r="X29" s="9" t="s">
        <v>16</v>
      </c>
      <c r="Y29" s="10"/>
      <c r="Z29" s="10"/>
      <c r="AA29" s="10"/>
      <c r="AB29" s="10"/>
      <c r="AC29" s="11"/>
      <c r="AD29" s="19"/>
      <c r="AE29" s="9" t="s">
        <v>16</v>
      </c>
      <c r="AF29" s="10"/>
      <c r="AG29" s="10"/>
      <c r="AH29" s="10"/>
      <c r="AI29" s="10"/>
      <c r="AJ29" s="11"/>
      <c r="AL29" s="19"/>
      <c r="AM29" s="9" t="s">
        <v>16</v>
      </c>
      <c r="AN29" s="10">
        <f t="shared" ref="AN29:AP29" si="35">D29+K29+R29+Y29+AF29</f>
        <v>0</v>
      </c>
      <c r="AO29" s="10">
        <f t="shared" si="35"/>
        <v>0</v>
      </c>
      <c r="AP29" s="10">
        <f t="shared" si="35"/>
        <v>0</v>
      </c>
      <c r="AQ29" s="11">
        <f t="shared" si="33"/>
        <v>0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9" t="s">
        <v>17</v>
      </c>
      <c r="K30" s="10"/>
      <c r="L30" s="10"/>
      <c r="M30" s="10"/>
      <c r="N30" s="10"/>
      <c r="O30" s="11"/>
      <c r="P30" s="19"/>
      <c r="Q30" s="9" t="s">
        <v>17</v>
      </c>
      <c r="R30" s="10"/>
      <c r="S30" s="10"/>
      <c r="T30" s="10"/>
      <c r="U30" s="10"/>
      <c r="V30" s="11"/>
      <c r="W30" s="19"/>
      <c r="X30" s="9" t="s">
        <v>17</v>
      </c>
      <c r="Y30" s="10"/>
      <c r="Z30" s="10"/>
      <c r="AA30" s="10"/>
      <c r="AB30" s="10"/>
      <c r="AC30" s="11"/>
      <c r="AD30" s="19"/>
      <c r="AE30" s="9" t="s">
        <v>17</v>
      </c>
      <c r="AF30" s="10"/>
      <c r="AG30" s="10"/>
      <c r="AH30" s="10"/>
      <c r="AI30" s="10"/>
      <c r="AJ30" s="11"/>
      <c r="AL30" s="19"/>
      <c r="AM30" s="9" t="s">
        <v>17</v>
      </c>
      <c r="AN30" s="10">
        <f t="shared" ref="AN30:AP30" si="36">D30+K30+R30+Y30+AF30</f>
        <v>0</v>
      </c>
      <c r="AO30" s="10">
        <f t="shared" si="36"/>
        <v>0</v>
      </c>
      <c r="AP30" s="10">
        <f t="shared" si="36"/>
        <v>0</v>
      </c>
      <c r="AQ30" s="11">
        <f t="shared" si="33"/>
        <v>0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9" t="s">
        <v>29</v>
      </c>
      <c r="K31" s="10"/>
      <c r="L31" s="10"/>
      <c r="M31" s="10"/>
      <c r="N31" s="10"/>
      <c r="O31" s="11"/>
      <c r="P31" s="19"/>
      <c r="Q31" s="9" t="s">
        <v>18</v>
      </c>
      <c r="R31" s="10"/>
      <c r="S31" s="10"/>
      <c r="T31" s="10"/>
      <c r="U31" s="10"/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7">D31+K31+R31+Y31+AF31</f>
        <v>0</v>
      </c>
      <c r="AO31" s="10">
        <f t="shared" si="37"/>
        <v>0</v>
      </c>
      <c r="AP31" s="10">
        <f t="shared" si="37"/>
        <v>0</v>
      </c>
      <c r="AQ31" s="11">
        <f t="shared" si="33"/>
        <v>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9" t="s">
        <v>19</v>
      </c>
      <c r="K32" s="10"/>
      <c r="L32" s="10"/>
      <c r="M32" s="10"/>
      <c r="N32" s="10"/>
      <c r="O32" s="11"/>
      <c r="P32" s="19"/>
      <c r="Q32" s="9" t="s">
        <v>19</v>
      </c>
      <c r="R32" s="10"/>
      <c r="S32" s="10"/>
      <c r="T32" s="10"/>
      <c r="U32" s="10"/>
      <c r="V32" s="11"/>
      <c r="W32" s="19"/>
      <c r="X32" s="9" t="s">
        <v>19</v>
      </c>
      <c r="Y32" s="10"/>
      <c r="Z32" s="10"/>
      <c r="AA32" s="10"/>
      <c r="AB32" s="10"/>
      <c r="AC32" s="11"/>
      <c r="AD32" s="19"/>
      <c r="AE32" s="9" t="s">
        <v>19</v>
      </c>
      <c r="AF32" s="10"/>
      <c r="AG32" s="10"/>
      <c r="AH32" s="10"/>
      <c r="AI32" s="10"/>
      <c r="AJ32" s="11"/>
      <c r="AL32" s="19"/>
      <c r="AM32" s="9" t="s">
        <v>19</v>
      </c>
      <c r="AN32" s="10">
        <f t="shared" ref="AN32:AP32" si="38">D32+K32+R32+Y32+AF32</f>
        <v>0</v>
      </c>
      <c r="AO32" s="10">
        <f t="shared" si="38"/>
        <v>0</v>
      </c>
      <c r="AP32" s="10">
        <f t="shared" si="38"/>
        <v>0</v>
      </c>
      <c r="AQ32" s="11">
        <f t="shared" si="33"/>
        <v>0</v>
      </c>
    </row>
    <row r="33">
      <c r="A33" s="19"/>
      <c r="B33" s="19"/>
      <c r="C33" s="26" t="s">
        <v>21</v>
      </c>
      <c r="D33" s="10"/>
      <c r="E33" s="10"/>
      <c r="F33" s="10"/>
      <c r="G33" s="10"/>
      <c r="H33" s="11"/>
      <c r="I33" s="19"/>
      <c r="J33" s="26" t="s">
        <v>21</v>
      </c>
      <c r="K33" s="10"/>
      <c r="L33" s="10"/>
      <c r="M33" s="10"/>
      <c r="N33" s="10"/>
      <c r="O33" s="11"/>
      <c r="P33" s="19"/>
      <c r="Q33" s="26" t="s">
        <v>22</v>
      </c>
      <c r="R33" s="10"/>
      <c r="S33" s="10"/>
      <c r="T33" s="10"/>
      <c r="U33" s="10"/>
      <c r="V33" s="11"/>
      <c r="W33" s="19"/>
      <c r="X33" s="26" t="s">
        <v>21</v>
      </c>
      <c r="Y33" s="10"/>
      <c r="Z33" s="10"/>
      <c r="AA33" s="10"/>
      <c r="AB33" s="10"/>
      <c r="AC33" s="11"/>
      <c r="AD33" s="19"/>
      <c r="AE33" s="26" t="s">
        <v>21</v>
      </c>
      <c r="AF33" s="10"/>
      <c r="AG33" s="10"/>
      <c r="AH33" s="10"/>
      <c r="AI33" s="10"/>
      <c r="AJ33" s="11"/>
      <c r="AL33" s="19"/>
      <c r="AM33" s="26" t="s">
        <v>21</v>
      </c>
      <c r="AN33" s="10">
        <f t="shared" ref="AN33:AP33" si="39">D33+K33+R33+Y33+AF33</f>
        <v>0</v>
      </c>
      <c r="AO33" s="10">
        <f t="shared" si="39"/>
        <v>0</v>
      </c>
      <c r="AP33" s="10">
        <f t="shared" si="39"/>
        <v>0</v>
      </c>
      <c r="AQ33" s="11">
        <f t="shared" si="33"/>
        <v>0</v>
      </c>
    </row>
    <row r="34">
      <c r="A34" s="19"/>
      <c r="B34" s="19"/>
      <c r="C34" s="28" t="s">
        <v>23</v>
      </c>
      <c r="D34" s="29">
        <f t="shared" ref="D34:H34" si="40">D26+D27+D28+D29+D30+D31+D32+D33</f>
        <v>0</v>
      </c>
      <c r="E34" s="30">
        <f t="shared" si="40"/>
        <v>0</v>
      </c>
      <c r="F34" s="31">
        <f t="shared" si="40"/>
        <v>0</v>
      </c>
      <c r="G34" s="32">
        <f t="shared" si="40"/>
        <v>0</v>
      </c>
      <c r="H34" s="33">
        <f t="shared" si="40"/>
        <v>0</v>
      </c>
      <c r="I34" s="19"/>
      <c r="J34" s="28" t="s">
        <v>23</v>
      </c>
      <c r="K34" s="34"/>
      <c r="L34" s="35"/>
      <c r="M34" s="36"/>
      <c r="N34" s="37"/>
      <c r="O34" s="38"/>
      <c r="P34" s="19"/>
      <c r="Q34" s="28" t="s">
        <v>23</v>
      </c>
      <c r="R34" s="29">
        <f t="shared" ref="R34:V34" si="41">R26+R27+R28+R29+R30+R31+R32+R33</f>
        <v>0</v>
      </c>
      <c r="S34" s="30">
        <f t="shared" si="41"/>
        <v>0</v>
      </c>
      <c r="T34" s="31">
        <f t="shared" si="41"/>
        <v>0</v>
      </c>
      <c r="U34" s="37">
        <f t="shared" si="41"/>
        <v>0</v>
      </c>
      <c r="V34" s="33">
        <f t="shared" si="41"/>
        <v>0</v>
      </c>
      <c r="W34" s="19"/>
      <c r="X34" s="28" t="s">
        <v>23</v>
      </c>
      <c r="Y34" s="29">
        <f t="shared" ref="Y34:AC34" si="42">Y26+Y27+Y28+Y29+Y30+Y31+Y32+Y33</f>
        <v>0</v>
      </c>
      <c r="Z34" s="30">
        <f t="shared" si="42"/>
        <v>0</v>
      </c>
      <c r="AA34" s="31">
        <f t="shared" si="42"/>
        <v>0</v>
      </c>
      <c r="AB34" s="37">
        <f t="shared" si="42"/>
        <v>0</v>
      </c>
      <c r="AC34" s="33">
        <f t="shared" si="42"/>
        <v>0</v>
      </c>
      <c r="AD34" s="19"/>
      <c r="AE34" s="28" t="s">
        <v>23</v>
      </c>
      <c r="AF34" s="29">
        <f t="shared" ref="AF34:AJ34" si="43">AF26+AF27+AF28+AF29+AF30+AF31+AF32+AF33</f>
        <v>0</v>
      </c>
      <c r="AG34" s="30">
        <f t="shared" si="43"/>
        <v>0</v>
      </c>
      <c r="AH34" s="31">
        <f t="shared" si="43"/>
        <v>0</v>
      </c>
      <c r="AI34" s="37">
        <f t="shared" si="43"/>
        <v>0</v>
      </c>
      <c r="AJ34" s="33">
        <f t="shared" si="43"/>
        <v>0</v>
      </c>
      <c r="AL34" s="19"/>
      <c r="AM34" s="28" t="s">
        <v>23</v>
      </c>
      <c r="AN34" s="41">
        <f t="shared" ref="AN34:AQ34" si="44">AN26+AN27+AN28+AN29+AN30+AN31+AN32+AN33</f>
        <v>0</v>
      </c>
      <c r="AO34" s="42">
        <f t="shared" si="44"/>
        <v>0</v>
      </c>
      <c r="AP34" s="43">
        <f t="shared" si="44"/>
        <v>0</v>
      </c>
      <c r="AQ34" s="44">
        <f t="shared" si="44"/>
        <v>0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0</v>
      </c>
      <c r="L35" s="47"/>
      <c r="M35" s="48"/>
      <c r="N35" s="51"/>
      <c r="O35" s="51"/>
      <c r="P35" s="19"/>
      <c r="Q35" s="45" t="s">
        <v>24</v>
      </c>
      <c r="R35" s="50">
        <f>R34-S34</f>
        <v>0</v>
      </c>
      <c r="S35" s="47"/>
      <c r="T35" s="48"/>
      <c r="U35" s="51"/>
      <c r="V35" s="51"/>
      <c r="W35" s="19"/>
      <c r="X35" s="45" t="s">
        <v>24</v>
      </c>
      <c r="Y35" s="50">
        <f>Y34-Z34</f>
        <v>0</v>
      </c>
      <c r="Z35" s="47"/>
      <c r="AA35" s="48"/>
      <c r="AB35" s="51"/>
      <c r="AC35" s="51"/>
      <c r="AD35" s="19"/>
      <c r="AE35" s="45" t="s">
        <v>24</v>
      </c>
      <c r="AF35" s="50">
        <f>AF34-AG34</f>
        <v>0</v>
      </c>
      <c r="AG35" s="47"/>
      <c r="AH35" s="48"/>
      <c r="AI35" s="51"/>
      <c r="AJ35" s="51"/>
      <c r="AL35" s="53"/>
      <c r="AM35" s="45" t="s">
        <v>25</v>
      </c>
      <c r="AN35" s="50">
        <f>AN34-AO34</f>
        <v>0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0</v>
      </c>
      <c r="L36" s="47"/>
      <c r="M36" s="48"/>
      <c r="N36" s="51"/>
      <c r="O36" s="51"/>
      <c r="P36" s="53"/>
      <c r="Q36" s="56" t="s">
        <v>26</v>
      </c>
      <c r="R36" s="57">
        <f>T34-S34</f>
        <v>0</v>
      </c>
      <c r="S36" s="47"/>
      <c r="T36" s="48"/>
      <c r="U36" s="51"/>
      <c r="V36" s="51"/>
      <c r="W36" s="53"/>
      <c r="X36" s="56" t="s">
        <v>26</v>
      </c>
      <c r="Y36" s="57">
        <f>AA34-Z34</f>
        <v>0</v>
      </c>
      <c r="Z36" s="47"/>
      <c r="AA36" s="48"/>
      <c r="AB36" s="51"/>
      <c r="AC36" s="51"/>
      <c r="AD36" s="53"/>
      <c r="AE36" s="56" t="s">
        <v>26</v>
      </c>
      <c r="AF36" s="57">
        <f>AH34-AG34</f>
        <v>0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2" t="s">
        <v>1</v>
      </c>
      <c r="K37" s="4" t="s">
        <v>7</v>
      </c>
      <c r="L37" s="2" t="s">
        <v>3</v>
      </c>
      <c r="M37" s="2" t="s">
        <v>4</v>
      </c>
      <c r="N37" s="2" t="s">
        <v>5</v>
      </c>
      <c r="O37" s="5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2" t="s">
        <v>1</v>
      </c>
      <c r="Y37" s="4" t="s">
        <v>7</v>
      </c>
      <c r="Z37" s="2" t="s">
        <v>3</v>
      </c>
      <c r="AA37" s="2" t="s">
        <v>4</v>
      </c>
      <c r="AB37" s="2" t="s">
        <v>5</v>
      </c>
      <c r="AC37" s="5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12"/>
      <c r="C38" s="9" t="s">
        <v>10</v>
      </c>
      <c r="D38" s="10"/>
      <c r="E38" s="10"/>
      <c r="F38" s="10"/>
      <c r="G38" s="10"/>
      <c r="H38" s="11"/>
      <c r="I38" s="12">
        <v>45722.0</v>
      </c>
      <c r="J38" s="9" t="s">
        <v>10</v>
      </c>
      <c r="K38" s="10"/>
      <c r="L38" s="10"/>
      <c r="M38" s="10"/>
      <c r="N38" s="10"/>
      <c r="O38" s="11"/>
      <c r="P38" s="8">
        <v>45729.0</v>
      </c>
      <c r="Q38" s="9" t="s">
        <v>10</v>
      </c>
      <c r="R38" s="10"/>
      <c r="S38" s="10"/>
      <c r="T38" s="10"/>
      <c r="U38" s="10"/>
      <c r="V38" s="11"/>
      <c r="W38" s="8">
        <v>45736.0</v>
      </c>
      <c r="X38" s="9" t="s">
        <v>10</v>
      </c>
      <c r="Y38" s="10"/>
      <c r="Z38" s="10"/>
      <c r="AA38" s="10"/>
      <c r="AB38" s="10"/>
      <c r="AC38" s="11"/>
      <c r="AD38" s="8">
        <v>45743.0</v>
      </c>
      <c r="AE38" s="9" t="s">
        <v>10</v>
      </c>
      <c r="AF38" s="10"/>
      <c r="AG38" s="10"/>
      <c r="AH38" s="10"/>
      <c r="AI38" s="10"/>
      <c r="AJ38" s="11"/>
      <c r="AL38" s="18" t="s">
        <v>36</v>
      </c>
      <c r="AM38" s="9" t="s">
        <v>10</v>
      </c>
      <c r="AN38" s="10">
        <f t="shared" ref="AN38:AP38" si="45">D38+K38+R38+Y38+AF38</f>
        <v>0</v>
      </c>
      <c r="AO38" s="10">
        <f t="shared" si="45"/>
        <v>0</v>
      </c>
      <c r="AP38" s="10">
        <f t="shared" si="45"/>
        <v>0</v>
      </c>
      <c r="AQ38" s="11">
        <f t="shared" ref="AQ38:AQ45" si="47">H38+O38+V38+AC38+AJ38</f>
        <v>0</v>
      </c>
    </row>
    <row r="39">
      <c r="A39" s="19"/>
      <c r="B39" s="19"/>
      <c r="C39" s="9" t="s">
        <v>12</v>
      </c>
      <c r="D39" s="10"/>
      <c r="E39" s="10"/>
      <c r="F39" s="10"/>
      <c r="G39" s="10"/>
      <c r="H39" s="11"/>
      <c r="I39" s="19"/>
      <c r="J39" s="9" t="s">
        <v>12</v>
      </c>
      <c r="K39" s="10"/>
      <c r="L39" s="10"/>
      <c r="M39" s="10"/>
      <c r="N39" s="10"/>
      <c r="O39" s="11"/>
      <c r="P39" s="19"/>
      <c r="Q39" s="9" t="s">
        <v>12</v>
      </c>
      <c r="R39" s="10"/>
      <c r="S39" s="10"/>
      <c r="T39" s="10"/>
      <c r="U39" s="10"/>
      <c r="V39" s="11"/>
      <c r="W39" s="19"/>
      <c r="X39" s="9" t="s">
        <v>12</v>
      </c>
      <c r="Y39" s="10"/>
      <c r="Z39" s="10"/>
      <c r="AA39" s="10"/>
      <c r="AB39" s="10"/>
      <c r="AC39" s="11"/>
      <c r="AD39" s="19"/>
      <c r="AE39" s="9" t="s">
        <v>12</v>
      </c>
      <c r="AF39" s="10"/>
      <c r="AG39" s="10"/>
      <c r="AH39" s="10"/>
      <c r="AI39" s="10"/>
      <c r="AJ39" s="11"/>
      <c r="AL39" s="19"/>
      <c r="AM39" s="9" t="s">
        <v>12</v>
      </c>
      <c r="AN39" s="10">
        <f t="shared" ref="AN39:AP39" si="46">D39+K39+R39+Y39+AF39</f>
        <v>0</v>
      </c>
      <c r="AO39" s="10">
        <f t="shared" si="46"/>
        <v>0</v>
      </c>
      <c r="AP39" s="10">
        <f t="shared" si="46"/>
        <v>0</v>
      </c>
      <c r="AQ39" s="11">
        <f t="shared" si="47"/>
        <v>0</v>
      </c>
    </row>
    <row r="40">
      <c r="A40" s="19"/>
      <c r="B40" s="19"/>
      <c r="C40" s="9" t="s">
        <v>14</v>
      </c>
      <c r="D40" s="10"/>
      <c r="E40" s="10"/>
      <c r="F40" s="10"/>
      <c r="G40" s="10"/>
      <c r="H40" s="11"/>
      <c r="I40" s="19"/>
      <c r="J40" s="9" t="s">
        <v>14</v>
      </c>
      <c r="K40" s="10"/>
      <c r="L40" s="10"/>
      <c r="M40" s="10"/>
      <c r="N40" s="10"/>
      <c r="O40" s="11"/>
      <c r="P40" s="19"/>
      <c r="Q40" s="9" t="s">
        <v>14</v>
      </c>
      <c r="R40" s="10"/>
      <c r="S40" s="10"/>
      <c r="T40" s="10"/>
      <c r="U40" s="10"/>
      <c r="V40" s="11"/>
      <c r="W40" s="19"/>
      <c r="X40" s="9" t="s">
        <v>14</v>
      </c>
      <c r="Y40" s="10"/>
      <c r="Z40" s="10"/>
      <c r="AA40" s="10"/>
      <c r="AB40" s="10"/>
      <c r="AC40" s="11"/>
      <c r="AD40" s="19"/>
      <c r="AE40" s="9" t="s">
        <v>14</v>
      </c>
      <c r="AF40" s="10"/>
      <c r="AG40" s="10"/>
      <c r="AH40" s="10"/>
      <c r="AI40" s="10"/>
      <c r="AJ40" s="11"/>
      <c r="AL40" s="19"/>
      <c r="AM40" s="9" t="s">
        <v>14</v>
      </c>
      <c r="AN40" s="10">
        <f t="shared" ref="AN40:AP40" si="48">D40+K40+R40+Y40+AF40</f>
        <v>0</v>
      </c>
      <c r="AO40" s="10">
        <f t="shared" si="48"/>
        <v>0</v>
      </c>
      <c r="AP40" s="10">
        <f t="shared" si="48"/>
        <v>0</v>
      </c>
      <c r="AQ40" s="11">
        <f t="shared" si="47"/>
        <v>0</v>
      </c>
    </row>
    <row r="41">
      <c r="A41" s="19"/>
      <c r="B41" s="19"/>
      <c r="C41" s="9" t="s">
        <v>16</v>
      </c>
      <c r="D41" s="10"/>
      <c r="E41" s="10"/>
      <c r="F41" s="10"/>
      <c r="G41" s="10"/>
      <c r="H41" s="11"/>
      <c r="I41" s="19"/>
      <c r="J41" s="9" t="s">
        <v>16</v>
      </c>
      <c r="K41" s="10"/>
      <c r="L41" s="10"/>
      <c r="M41" s="10"/>
      <c r="N41" s="10"/>
      <c r="O41" s="11"/>
      <c r="P41" s="19"/>
      <c r="Q41" s="9" t="s">
        <v>16</v>
      </c>
      <c r="R41" s="10"/>
      <c r="S41" s="10"/>
      <c r="T41" s="10"/>
      <c r="U41" s="10"/>
      <c r="V41" s="11"/>
      <c r="W41" s="19"/>
      <c r="X41" s="9" t="s">
        <v>16</v>
      </c>
      <c r="Y41" s="10"/>
      <c r="Z41" s="10"/>
      <c r="AA41" s="10"/>
      <c r="AB41" s="10"/>
      <c r="AC41" s="11"/>
      <c r="AD41" s="19"/>
      <c r="AE41" s="9" t="s">
        <v>16</v>
      </c>
      <c r="AF41" s="10"/>
      <c r="AG41" s="10"/>
      <c r="AH41" s="10"/>
      <c r="AI41" s="10"/>
      <c r="AJ41" s="11"/>
      <c r="AL41" s="19"/>
      <c r="AM41" s="9" t="s">
        <v>16</v>
      </c>
      <c r="AN41" s="10">
        <f t="shared" ref="AN41:AP41" si="49">D41+K41+R41+Y41+AF41</f>
        <v>0</v>
      </c>
      <c r="AO41" s="10">
        <f t="shared" si="49"/>
        <v>0</v>
      </c>
      <c r="AP41" s="10">
        <f t="shared" si="49"/>
        <v>0</v>
      </c>
      <c r="AQ41" s="11">
        <f t="shared" si="47"/>
        <v>0</v>
      </c>
    </row>
    <row r="42">
      <c r="A42" s="19"/>
      <c r="B42" s="19"/>
      <c r="C42" s="9" t="s">
        <v>17</v>
      </c>
      <c r="D42" s="10"/>
      <c r="E42" s="10"/>
      <c r="F42" s="10"/>
      <c r="G42" s="10"/>
      <c r="H42" s="11"/>
      <c r="I42" s="19"/>
      <c r="J42" s="9" t="s">
        <v>17</v>
      </c>
      <c r="K42" s="10"/>
      <c r="L42" s="10"/>
      <c r="M42" s="10"/>
      <c r="N42" s="10"/>
      <c r="O42" s="11"/>
      <c r="P42" s="19"/>
      <c r="Q42" s="9" t="s">
        <v>17</v>
      </c>
      <c r="R42" s="10"/>
      <c r="S42" s="10"/>
      <c r="T42" s="10"/>
      <c r="U42" s="10"/>
      <c r="V42" s="11"/>
      <c r="W42" s="19"/>
      <c r="X42" s="9" t="s">
        <v>17</v>
      </c>
      <c r="Y42" s="10"/>
      <c r="Z42" s="10"/>
      <c r="AA42" s="10"/>
      <c r="AB42" s="10"/>
      <c r="AC42" s="11"/>
      <c r="AD42" s="19"/>
      <c r="AE42" s="9" t="s">
        <v>17</v>
      </c>
      <c r="AF42" s="10"/>
      <c r="AG42" s="10"/>
      <c r="AH42" s="10"/>
      <c r="AI42" s="10"/>
      <c r="AJ42" s="11"/>
      <c r="AL42" s="19"/>
      <c r="AM42" s="9" t="s">
        <v>17</v>
      </c>
      <c r="AN42" s="10">
        <f t="shared" ref="AN42:AP42" si="50">D42+K42+R42+Y42+AF42</f>
        <v>0</v>
      </c>
      <c r="AO42" s="10">
        <f t="shared" si="50"/>
        <v>0</v>
      </c>
      <c r="AP42" s="10">
        <f t="shared" si="50"/>
        <v>0</v>
      </c>
      <c r="AQ42" s="11">
        <f t="shared" si="47"/>
        <v>0</v>
      </c>
    </row>
    <row r="43">
      <c r="A43" s="19"/>
      <c r="B43" s="19"/>
      <c r="C43" s="9" t="s">
        <v>18</v>
      </c>
      <c r="D43" s="10"/>
      <c r="E43" s="10"/>
      <c r="F43" s="10"/>
      <c r="G43" s="10"/>
      <c r="H43" s="11"/>
      <c r="I43" s="19"/>
      <c r="J43" s="9" t="s">
        <v>18</v>
      </c>
      <c r="K43" s="10"/>
      <c r="L43" s="10"/>
      <c r="M43" s="10"/>
      <c r="N43" s="10"/>
      <c r="O43" s="11"/>
      <c r="P43" s="19"/>
      <c r="Q43" s="9" t="s">
        <v>18</v>
      </c>
      <c r="R43" s="10"/>
      <c r="S43" s="10"/>
      <c r="T43" s="10"/>
      <c r="U43" s="10"/>
      <c r="V43" s="11"/>
      <c r="W43" s="19"/>
      <c r="X43" s="9" t="s">
        <v>18</v>
      </c>
      <c r="Y43" s="10"/>
      <c r="Z43" s="10"/>
      <c r="AA43" s="10"/>
      <c r="AB43" s="10"/>
      <c r="AC43" s="11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1">D43+K43+R43+Y43+AF43</f>
        <v>0</v>
      </c>
      <c r="AO43" s="10">
        <f t="shared" si="51"/>
        <v>0</v>
      </c>
      <c r="AP43" s="10">
        <f t="shared" si="51"/>
        <v>0</v>
      </c>
      <c r="AQ43" s="11">
        <f t="shared" si="47"/>
        <v>0</v>
      </c>
    </row>
    <row r="44">
      <c r="A44" s="19"/>
      <c r="B44" s="19"/>
      <c r="C44" s="9" t="s">
        <v>20</v>
      </c>
      <c r="D44" s="10"/>
      <c r="E44" s="10"/>
      <c r="F44" s="10"/>
      <c r="G44" s="10"/>
      <c r="H44" s="11"/>
      <c r="I44" s="19"/>
      <c r="J44" s="9" t="s">
        <v>19</v>
      </c>
      <c r="K44" s="10"/>
      <c r="L44" s="10"/>
      <c r="M44" s="10"/>
      <c r="N44" s="10"/>
      <c r="O44" s="11"/>
      <c r="P44" s="19"/>
      <c r="Q44" s="9" t="s">
        <v>19</v>
      </c>
      <c r="R44" s="10"/>
      <c r="S44" s="10"/>
      <c r="T44" s="10"/>
      <c r="U44" s="10"/>
      <c r="V44" s="11"/>
      <c r="W44" s="19"/>
      <c r="X44" s="9" t="s">
        <v>19</v>
      </c>
      <c r="Y44" s="10"/>
      <c r="Z44" s="10"/>
      <c r="AA44" s="10"/>
      <c r="AB44" s="10"/>
      <c r="AC44" s="11"/>
      <c r="AD44" s="19"/>
      <c r="AE44" s="9" t="s">
        <v>19</v>
      </c>
      <c r="AF44" s="10"/>
      <c r="AG44" s="10"/>
      <c r="AH44" s="10"/>
      <c r="AI44" s="10"/>
      <c r="AJ44" s="11"/>
      <c r="AL44" s="19"/>
      <c r="AM44" s="9" t="s">
        <v>19</v>
      </c>
      <c r="AN44" s="10">
        <f t="shared" ref="AN44:AP44" si="52">D44+K44+R44+Y44+AF44</f>
        <v>0</v>
      </c>
      <c r="AO44" s="10">
        <f t="shared" si="52"/>
        <v>0</v>
      </c>
      <c r="AP44" s="10">
        <f t="shared" si="52"/>
        <v>0</v>
      </c>
      <c r="AQ44" s="11">
        <f t="shared" si="47"/>
        <v>0</v>
      </c>
    </row>
    <row r="45">
      <c r="A45" s="19"/>
      <c r="B45" s="19"/>
      <c r="C45" s="26" t="s">
        <v>21</v>
      </c>
      <c r="D45" s="10"/>
      <c r="E45" s="10"/>
      <c r="F45" s="10"/>
      <c r="G45" s="10"/>
      <c r="H45" s="11"/>
      <c r="I45" s="19"/>
      <c r="J45" s="26" t="s">
        <v>21</v>
      </c>
      <c r="K45" s="10"/>
      <c r="L45" s="10"/>
      <c r="M45" s="10"/>
      <c r="N45" s="10"/>
      <c r="O45" s="11"/>
      <c r="P45" s="19"/>
      <c r="Q45" s="26" t="s">
        <v>21</v>
      </c>
      <c r="R45" s="10"/>
      <c r="S45" s="10"/>
      <c r="T45" s="10"/>
      <c r="U45" s="10"/>
      <c r="V45" s="11"/>
      <c r="W45" s="19"/>
      <c r="X45" s="26" t="s">
        <v>22</v>
      </c>
      <c r="Y45" s="10"/>
      <c r="Z45" s="10"/>
      <c r="AA45" s="10"/>
      <c r="AB45" s="10"/>
      <c r="AC45" s="11"/>
      <c r="AD45" s="19"/>
      <c r="AE45" s="26" t="s">
        <v>21</v>
      </c>
      <c r="AF45" s="10"/>
      <c r="AG45" s="10"/>
      <c r="AH45" s="10"/>
      <c r="AI45" s="10"/>
      <c r="AJ45" s="11"/>
      <c r="AL45" s="19"/>
      <c r="AM45" s="26" t="s">
        <v>21</v>
      </c>
      <c r="AN45" s="10">
        <f t="shared" ref="AN45:AP45" si="53">D45+K45+R45+Y45+AF45</f>
        <v>0</v>
      </c>
      <c r="AO45" s="10">
        <f t="shared" si="53"/>
        <v>0</v>
      </c>
      <c r="AP45" s="10">
        <f t="shared" si="53"/>
        <v>0</v>
      </c>
      <c r="AQ45" s="11">
        <f t="shared" si="47"/>
        <v>0</v>
      </c>
    </row>
    <row r="46">
      <c r="A46" s="19"/>
      <c r="B46" s="19"/>
      <c r="C46" s="28" t="s">
        <v>23</v>
      </c>
      <c r="D46" s="29">
        <f t="shared" ref="D46:H46" si="54">D38+D39+D40+D41+D42+D43+D44+D45</f>
        <v>0</v>
      </c>
      <c r="E46" s="30">
        <f t="shared" si="54"/>
        <v>0</v>
      </c>
      <c r="F46" s="31">
        <f t="shared" si="54"/>
        <v>0</v>
      </c>
      <c r="G46" s="32">
        <f t="shared" si="54"/>
        <v>0</v>
      </c>
      <c r="H46" s="33">
        <f t="shared" si="54"/>
        <v>0</v>
      </c>
      <c r="I46" s="19"/>
      <c r="J46" s="28" t="s">
        <v>23</v>
      </c>
      <c r="K46" s="34">
        <f t="shared" ref="K46:O46" si="55">K38+K39+K40+K41+K42+K43+K44+K45</f>
        <v>0</v>
      </c>
      <c r="L46" s="35">
        <f t="shared" si="55"/>
        <v>0</v>
      </c>
      <c r="M46" s="31">
        <f t="shared" si="55"/>
        <v>0</v>
      </c>
      <c r="N46" s="37">
        <f t="shared" si="55"/>
        <v>0</v>
      </c>
      <c r="O46" s="38">
        <f t="shared" si="55"/>
        <v>0</v>
      </c>
      <c r="P46" s="19"/>
      <c r="Q46" s="28" t="s">
        <v>23</v>
      </c>
      <c r="R46" s="29">
        <f t="shared" ref="R46:V46" si="56">R38+R39+R40+R41+R42+R43+R44+R45</f>
        <v>0</v>
      </c>
      <c r="S46" s="30">
        <f t="shared" si="56"/>
        <v>0</v>
      </c>
      <c r="T46" s="31">
        <f t="shared" si="56"/>
        <v>0</v>
      </c>
      <c r="U46" s="37">
        <f t="shared" si="56"/>
        <v>0</v>
      </c>
      <c r="V46" s="33">
        <f t="shared" si="56"/>
        <v>0</v>
      </c>
      <c r="W46" s="19"/>
      <c r="X46" s="66" t="s">
        <v>23</v>
      </c>
      <c r="Y46" s="61">
        <f t="shared" ref="Y46:AC46" si="57">Y38+Y39+Y40+Y41+Y42+Y43+Y44+Y45</f>
        <v>0</v>
      </c>
      <c r="Z46" s="40">
        <f t="shared" si="57"/>
        <v>0</v>
      </c>
      <c r="AA46" s="36">
        <f t="shared" si="57"/>
        <v>0</v>
      </c>
      <c r="AB46" s="37">
        <f t="shared" si="57"/>
        <v>0</v>
      </c>
      <c r="AC46" s="33">
        <f t="shared" si="57"/>
        <v>0</v>
      </c>
      <c r="AD46" s="19"/>
      <c r="AE46" s="28" t="s">
        <v>23</v>
      </c>
      <c r="AF46" s="29">
        <f t="shared" ref="AF46:AJ46" si="58">AF38+AF39+AF40+AF41+AF42+AF43+AF44+AF45</f>
        <v>0</v>
      </c>
      <c r="AG46" s="30">
        <f t="shared" si="58"/>
        <v>0</v>
      </c>
      <c r="AH46" s="31">
        <f t="shared" si="58"/>
        <v>0</v>
      </c>
      <c r="AI46" s="37">
        <f t="shared" si="58"/>
        <v>0</v>
      </c>
      <c r="AJ46" s="33">
        <f t="shared" si="58"/>
        <v>0</v>
      </c>
      <c r="AL46" s="19"/>
      <c r="AM46" s="28" t="s">
        <v>23</v>
      </c>
      <c r="AN46" s="41">
        <f t="shared" ref="AN46:AQ46" si="59">AN38+AN39+AN40+AN41+AN42+AN43+AN44+AN45</f>
        <v>0</v>
      </c>
      <c r="AO46" s="42">
        <f t="shared" si="59"/>
        <v>0</v>
      </c>
      <c r="AP46" s="43">
        <f t="shared" si="59"/>
        <v>0</v>
      </c>
      <c r="AQ46" s="44">
        <f t="shared" si="59"/>
        <v>0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0</v>
      </c>
      <c r="L47" s="47"/>
      <c r="M47" s="48"/>
      <c r="N47" s="51"/>
      <c r="O47" s="51"/>
      <c r="P47" s="19"/>
      <c r="Q47" s="45" t="s">
        <v>24</v>
      </c>
      <c r="R47" s="50">
        <f>R46-S46</f>
        <v>0</v>
      </c>
      <c r="S47" s="47"/>
      <c r="T47" s="48"/>
      <c r="U47" s="51"/>
      <c r="V47" s="51"/>
      <c r="W47" s="19"/>
      <c r="X47" s="45" t="s">
        <v>24</v>
      </c>
      <c r="Y47" s="50">
        <f>Y46-Z46</f>
        <v>0</v>
      </c>
      <c r="Z47" s="47"/>
      <c r="AA47" s="48"/>
      <c r="AB47" s="51"/>
      <c r="AC47" s="51"/>
      <c r="AD47" s="19"/>
      <c r="AE47" s="45" t="s">
        <v>24</v>
      </c>
      <c r="AF47" s="50">
        <f>AF46-AG46</f>
        <v>0</v>
      </c>
      <c r="AG47" s="47"/>
      <c r="AH47" s="48"/>
      <c r="AI47" s="51"/>
      <c r="AJ47" s="51"/>
      <c r="AL47" s="53"/>
      <c r="AM47" s="45" t="s">
        <v>25</v>
      </c>
      <c r="AN47" s="50">
        <f>AN46-AO46</f>
        <v>0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0</v>
      </c>
      <c r="L48" s="47"/>
      <c r="M48" s="48"/>
      <c r="N48" s="51"/>
      <c r="O48" s="51"/>
      <c r="P48" s="53"/>
      <c r="Q48" s="56" t="s">
        <v>26</v>
      </c>
      <c r="R48" s="57">
        <f>T46-S46</f>
        <v>0</v>
      </c>
      <c r="S48" s="47"/>
      <c r="T48" s="48"/>
      <c r="U48" s="51"/>
      <c r="V48" s="51"/>
      <c r="W48" s="53"/>
      <c r="X48" s="56" t="s">
        <v>26</v>
      </c>
      <c r="Y48" s="57">
        <f>AA46-Z46</f>
        <v>0</v>
      </c>
      <c r="Z48" s="47"/>
      <c r="AA48" s="48"/>
      <c r="AB48" s="51"/>
      <c r="AC48" s="51"/>
      <c r="AD48" s="53"/>
      <c r="AE48" s="56" t="s">
        <v>26</v>
      </c>
      <c r="AF48" s="57">
        <f>AH46-AG46</f>
        <v>0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2" t="s">
        <v>1</v>
      </c>
      <c r="D49" s="3" t="s">
        <v>2</v>
      </c>
      <c r="E49" s="2" t="s">
        <v>3</v>
      </c>
      <c r="F49" s="2" t="s">
        <v>4</v>
      </c>
      <c r="G49" s="2" t="s">
        <v>5</v>
      </c>
      <c r="H49" s="5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2" t="s">
        <v>1</v>
      </c>
      <c r="R49" s="4" t="s">
        <v>7</v>
      </c>
      <c r="S49" s="2" t="s">
        <v>3</v>
      </c>
      <c r="T49" s="2" t="s">
        <v>4</v>
      </c>
      <c r="U49" s="2" t="s">
        <v>5</v>
      </c>
      <c r="V49" s="5" t="s">
        <v>6</v>
      </c>
      <c r="W49" s="68" t="s">
        <v>0</v>
      </c>
      <c r="X49" s="2" t="s">
        <v>1</v>
      </c>
      <c r="Y49" s="4" t="s">
        <v>7</v>
      </c>
      <c r="Z49" s="2" t="s">
        <v>3</v>
      </c>
      <c r="AA49" s="2" t="s">
        <v>4</v>
      </c>
      <c r="AB49" s="2" t="s">
        <v>5</v>
      </c>
      <c r="AC49" s="5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/>
      <c r="C50" s="9" t="s">
        <v>10</v>
      </c>
      <c r="D50" s="10"/>
      <c r="E50" s="10"/>
      <c r="F50" s="10"/>
      <c r="G50" s="10"/>
      <c r="H50" s="11"/>
      <c r="I50" s="12">
        <v>45723.0</v>
      </c>
      <c r="J50" s="9" t="s">
        <v>10</v>
      </c>
      <c r="K50" s="10"/>
      <c r="L50" s="10"/>
      <c r="M50" s="10"/>
      <c r="N50" s="10"/>
      <c r="O50" s="11"/>
      <c r="P50" s="8">
        <v>45730.0</v>
      </c>
      <c r="Q50" s="9" t="s">
        <v>10</v>
      </c>
      <c r="R50" s="10"/>
      <c r="S50" s="10"/>
      <c r="T50" s="10"/>
      <c r="U50" s="10"/>
      <c r="V50" s="11"/>
      <c r="W50" s="8">
        <v>45737.0</v>
      </c>
      <c r="X50" s="9" t="s">
        <v>10</v>
      </c>
      <c r="Y50" s="10"/>
      <c r="Z50" s="10"/>
      <c r="AA50" s="10"/>
      <c r="AB50" s="10"/>
      <c r="AC50" s="11"/>
      <c r="AD50" s="8">
        <v>45744.0</v>
      </c>
      <c r="AE50" s="9" t="s">
        <v>10</v>
      </c>
      <c r="AF50" s="10"/>
      <c r="AG50" s="10"/>
      <c r="AH50" s="10"/>
      <c r="AI50" s="10"/>
      <c r="AJ50" s="11"/>
      <c r="AL50" s="18" t="s">
        <v>38</v>
      </c>
      <c r="AM50" s="9" t="s">
        <v>10</v>
      </c>
      <c r="AN50" s="10">
        <f t="shared" ref="AN50:AP50" si="60">D50+K50+R50+Y50+AF50</f>
        <v>0</v>
      </c>
      <c r="AO50" s="10">
        <f t="shared" si="60"/>
        <v>0</v>
      </c>
      <c r="AP50" s="10">
        <f t="shared" si="60"/>
        <v>0</v>
      </c>
      <c r="AQ50" s="11">
        <f t="shared" ref="AQ50:AQ57" si="62">H50+O50+V50+AC50+AJ50</f>
        <v>0</v>
      </c>
    </row>
    <row r="51">
      <c r="A51" s="19"/>
      <c r="B51" s="19"/>
      <c r="C51" s="9" t="s">
        <v>12</v>
      </c>
      <c r="D51" s="10"/>
      <c r="E51" s="10"/>
      <c r="F51" s="10"/>
      <c r="G51" s="10"/>
      <c r="H51" s="11"/>
      <c r="I51" s="19"/>
      <c r="J51" s="9" t="s">
        <v>12</v>
      </c>
      <c r="K51" s="10"/>
      <c r="L51" s="10"/>
      <c r="M51" s="10"/>
      <c r="N51" s="10"/>
      <c r="O51" s="11"/>
      <c r="P51" s="19"/>
      <c r="Q51" s="9" t="s">
        <v>32</v>
      </c>
      <c r="R51" s="10"/>
      <c r="S51" s="10"/>
      <c r="T51" s="10"/>
      <c r="U51" s="10"/>
      <c r="V51" s="11"/>
      <c r="W51" s="19"/>
      <c r="X51" s="9" t="s">
        <v>12</v>
      </c>
      <c r="Y51" s="10"/>
      <c r="Z51" s="10"/>
      <c r="AA51" s="10"/>
      <c r="AB51" s="10"/>
      <c r="AC51" s="11"/>
      <c r="AD51" s="19"/>
      <c r="AE51" s="9" t="s">
        <v>12</v>
      </c>
      <c r="AF51" s="10"/>
      <c r="AG51" s="10"/>
      <c r="AH51" s="10"/>
      <c r="AI51" s="10"/>
      <c r="AJ51" s="11"/>
      <c r="AL51" s="19"/>
      <c r="AM51" s="9" t="s">
        <v>12</v>
      </c>
      <c r="AN51" s="10">
        <f t="shared" ref="AN51:AP51" si="61">D51+K51+R51+Y51+AF51</f>
        <v>0</v>
      </c>
      <c r="AO51" s="10">
        <f t="shared" si="61"/>
        <v>0</v>
      </c>
      <c r="AP51" s="10">
        <f t="shared" si="61"/>
        <v>0</v>
      </c>
      <c r="AQ51" s="11">
        <f t="shared" si="62"/>
        <v>0</v>
      </c>
    </row>
    <row r="52">
      <c r="A52" s="19"/>
      <c r="B52" s="19"/>
      <c r="C52" s="9" t="s">
        <v>14</v>
      </c>
      <c r="D52" s="10"/>
      <c r="E52" s="10"/>
      <c r="F52" s="10"/>
      <c r="G52" s="10"/>
      <c r="H52" s="11"/>
      <c r="I52" s="19"/>
      <c r="J52" s="9" t="s">
        <v>14</v>
      </c>
      <c r="K52" s="10"/>
      <c r="L52" s="10"/>
      <c r="M52" s="10"/>
      <c r="N52" s="10"/>
      <c r="O52" s="11"/>
      <c r="P52" s="19"/>
      <c r="Q52" s="9" t="s">
        <v>14</v>
      </c>
      <c r="R52" s="10"/>
      <c r="S52" s="10"/>
      <c r="T52" s="10"/>
      <c r="U52" s="10"/>
      <c r="V52" s="11"/>
      <c r="W52" s="19"/>
      <c r="X52" s="9" t="s">
        <v>14</v>
      </c>
      <c r="Y52" s="10"/>
      <c r="Z52" s="10"/>
      <c r="AA52" s="10"/>
      <c r="AB52" s="10"/>
      <c r="AC52" s="11"/>
      <c r="AD52" s="19"/>
      <c r="AE52" s="9" t="s">
        <v>14</v>
      </c>
      <c r="AF52" s="10"/>
      <c r="AG52" s="10"/>
      <c r="AH52" s="10"/>
      <c r="AI52" s="10"/>
      <c r="AJ52" s="11"/>
      <c r="AL52" s="19"/>
      <c r="AM52" s="9" t="s">
        <v>14</v>
      </c>
      <c r="AN52" s="10">
        <f t="shared" ref="AN52:AP52" si="63">D52+K52+R52+Y52+AF52</f>
        <v>0</v>
      </c>
      <c r="AO52" s="10">
        <f t="shared" si="63"/>
        <v>0</v>
      </c>
      <c r="AP52" s="10">
        <f t="shared" si="63"/>
        <v>0</v>
      </c>
      <c r="AQ52" s="11">
        <f t="shared" si="62"/>
        <v>0</v>
      </c>
    </row>
    <row r="53">
      <c r="A53" s="19"/>
      <c r="B53" s="19"/>
      <c r="C53" s="9" t="s">
        <v>16</v>
      </c>
      <c r="D53" s="10"/>
      <c r="E53" s="10"/>
      <c r="F53" s="10"/>
      <c r="G53" s="10"/>
      <c r="H53" s="11"/>
      <c r="I53" s="19"/>
      <c r="J53" s="9" t="s">
        <v>15</v>
      </c>
      <c r="K53" s="10"/>
      <c r="L53" s="10"/>
      <c r="M53" s="10"/>
      <c r="N53" s="10"/>
      <c r="O53" s="11"/>
      <c r="P53" s="19"/>
      <c r="Q53" s="9" t="s">
        <v>16</v>
      </c>
      <c r="R53" s="10"/>
      <c r="S53" s="10"/>
      <c r="T53" s="10"/>
      <c r="U53" s="10"/>
      <c r="V53" s="11"/>
      <c r="W53" s="19"/>
      <c r="X53" s="9" t="s">
        <v>16</v>
      </c>
      <c r="Y53" s="10"/>
      <c r="Z53" s="10"/>
      <c r="AA53" s="10"/>
      <c r="AB53" s="10"/>
      <c r="AC53" s="11"/>
      <c r="AD53" s="19"/>
      <c r="AE53" s="9" t="s">
        <v>16</v>
      </c>
      <c r="AF53" s="10"/>
      <c r="AG53" s="10"/>
      <c r="AH53" s="10"/>
      <c r="AI53" s="10"/>
      <c r="AJ53" s="11"/>
      <c r="AL53" s="19"/>
      <c r="AM53" s="9" t="s">
        <v>16</v>
      </c>
      <c r="AN53" s="10">
        <f t="shared" ref="AN53:AP53" si="64">D53+K53+R53+Y53+AF53</f>
        <v>0</v>
      </c>
      <c r="AO53" s="10">
        <f t="shared" si="64"/>
        <v>0</v>
      </c>
      <c r="AP53" s="10">
        <f t="shared" si="64"/>
        <v>0</v>
      </c>
      <c r="AQ53" s="11">
        <f t="shared" si="62"/>
        <v>0</v>
      </c>
    </row>
    <row r="54">
      <c r="A54" s="19"/>
      <c r="B54" s="19"/>
      <c r="C54" s="9" t="s">
        <v>17</v>
      </c>
      <c r="D54" s="10"/>
      <c r="E54" s="10"/>
      <c r="F54" s="10"/>
      <c r="G54" s="10"/>
      <c r="H54" s="11"/>
      <c r="I54" s="19"/>
      <c r="J54" s="9" t="s">
        <v>17</v>
      </c>
      <c r="K54" s="10"/>
      <c r="L54" s="10"/>
      <c r="M54" s="10"/>
      <c r="N54" s="10"/>
      <c r="O54" s="11"/>
      <c r="P54" s="19"/>
      <c r="Q54" s="9" t="s">
        <v>17</v>
      </c>
      <c r="R54" s="10"/>
      <c r="S54" s="10"/>
      <c r="T54" s="10"/>
      <c r="U54" s="10"/>
      <c r="V54" s="11"/>
      <c r="W54" s="19"/>
      <c r="X54" s="9" t="s">
        <v>17</v>
      </c>
      <c r="Y54" s="10"/>
      <c r="Z54" s="10"/>
      <c r="AA54" s="10"/>
      <c r="AB54" s="10"/>
      <c r="AC54" s="11"/>
      <c r="AD54" s="19"/>
      <c r="AE54" s="9" t="s">
        <v>17</v>
      </c>
      <c r="AF54" s="10"/>
      <c r="AG54" s="10"/>
      <c r="AH54" s="10"/>
      <c r="AI54" s="10"/>
      <c r="AJ54" s="11"/>
      <c r="AL54" s="19"/>
      <c r="AM54" s="9" t="s">
        <v>17</v>
      </c>
      <c r="AN54" s="10">
        <f t="shared" ref="AN54:AP54" si="65">D54+K54+R54+Y54+AF54</f>
        <v>0</v>
      </c>
      <c r="AO54" s="10">
        <f t="shared" si="65"/>
        <v>0</v>
      </c>
      <c r="AP54" s="10">
        <f t="shared" si="65"/>
        <v>0</v>
      </c>
      <c r="AQ54" s="11">
        <f t="shared" si="62"/>
        <v>0</v>
      </c>
    </row>
    <row r="55">
      <c r="A55" s="19"/>
      <c r="B55" s="19"/>
      <c r="C55" s="9" t="s">
        <v>18</v>
      </c>
      <c r="D55" s="10"/>
      <c r="E55" s="10"/>
      <c r="F55" s="10"/>
      <c r="G55" s="10"/>
      <c r="H55" s="11"/>
      <c r="I55" s="19"/>
      <c r="J55" s="9" t="s">
        <v>18</v>
      </c>
      <c r="K55" s="10"/>
      <c r="L55" s="10"/>
      <c r="M55" s="10"/>
      <c r="N55" s="10"/>
      <c r="O55" s="11"/>
      <c r="P55" s="19"/>
      <c r="Q55" s="9" t="s">
        <v>29</v>
      </c>
      <c r="R55" s="10"/>
      <c r="S55" s="10"/>
      <c r="T55" s="10"/>
      <c r="U55" s="10"/>
      <c r="V55" s="11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6">D55+K55+R55+Y55+AF55</f>
        <v>0</v>
      </c>
      <c r="AO55" s="10">
        <f t="shared" si="66"/>
        <v>0</v>
      </c>
      <c r="AP55" s="10">
        <f t="shared" si="66"/>
        <v>0</v>
      </c>
      <c r="AQ55" s="11">
        <f t="shared" si="62"/>
        <v>0</v>
      </c>
    </row>
    <row r="56">
      <c r="A56" s="19"/>
      <c r="B56" s="19"/>
      <c r="C56" s="9" t="s">
        <v>20</v>
      </c>
      <c r="D56" s="10"/>
      <c r="E56" s="10"/>
      <c r="F56" s="10"/>
      <c r="G56" s="10"/>
      <c r="H56" s="11"/>
      <c r="I56" s="19"/>
      <c r="J56" s="9" t="s">
        <v>19</v>
      </c>
      <c r="K56" s="10"/>
      <c r="L56" s="10"/>
      <c r="M56" s="10"/>
      <c r="N56" s="10"/>
      <c r="O56" s="11"/>
      <c r="P56" s="19"/>
      <c r="Q56" s="9" t="s">
        <v>19</v>
      </c>
      <c r="R56" s="10"/>
      <c r="S56" s="10"/>
      <c r="T56" s="10"/>
      <c r="U56" s="10"/>
      <c r="V56" s="11"/>
      <c r="W56" s="19"/>
      <c r="X56" s="9" t="s">
        <v>19</v>
      </c>
      <c r="Y56" s="10"/>
      <c r="Z56" s="10"/>
      <c r="AA56" s="10"/>
      <c r="AB56" s="10"/>
      <c r="AC56" s="11"/>
      <c r="AD56" s="19"/>
      <c r="AE56" s="9" t="s">
        <v>19</v>
      </c>
      <c r="AF56" s="10"/>
      <c r="AG56" s="10"/>
      <c r="AH56" s="10"/>
      <c r="AI56" s="10"/>
      <c r="AJ56" s="11"/>
      <c r="AL56" s="19"/>
      <c r="AM56" s="9" t="s">
        <v>19</v>
      </c>
      <c r="AN56" s="10">
        <f t="shared" ref="AN56:AP56" si="67">D56+K56+R56+Y56+AF56</f>
        <v>0</v>
      </c>
      <c r="AO56" s="10">
        <f t="shared" si="67"/>
        <v>0</v>
      </c>
      <c r="AP56" s="10">
        <f t="shared" si="67"/>
        <v>0</v>
      </c>
      <c r="AQ56" s="11">
        <f t="shared" si="62"/>
        <v>0</v>
      </c>
    </row>
    <row r="57">
      <c r="A57" s="19"/>
      <c r="B57" s="19"/>
      <c r="C57" s="26" t="s">
        <v>21</v>
      </c>
      <c r="D57" s="10"/>
      <c r="E57" s="10"/>
      <c r="F57" s="10"/>
      <c r="G57" s="10"/>
      <c r="H57" s="11"/>
      <c r="I57" s="19"/>
      <c r="J57" s="26" t="s">
        <v>21</v>
      </c>
      <c r="K57" s="10"/>
      <c r="L57" s="10"/>
      <c r="M57" s="10"/>
      <c r="N57" s="10"/>
      <c r="O57" s="11"/>
      <c r="P57" s="19"/>
      <c r="Q57" s="26" t="s">
        <v>21</v>
      </c>
      <c r="R57" s="10"/>
      <c r="S57" s="10"/>
      <c r="T57" s="10"/>
      <c r="U57" s="10"/>
      <c r="V57" s="11"/>
      <c r="W57" s="19"/>
      <c r="X57" s="26" t="s">
        <v>21</v>
      </c>
      <c r="Y57" s="10"/>
      <c r="Z57" s="10"/>
      <c r="AA57" s="10"/>
      <c r="AB57" s="10"/>
      <c r="AC57" s="11"/>
      <c r="AD57" s="19"/>
      <c r="AE57" s="26" t="s">
        <v>21</v>
      </c>
      <c r="AF57" s="10"/>
      <c r="AG57" s="10"/>
      <c r="AH57" s="10"/>
      <c r="AI57" s="10"/>
      <c r="AJ57" s="11"/>
      <c r="AL57" s="19"/>
      <c r="AM57" s="26" t="s">
        <v>21</v>
      </c>
      <c r="AN57" s="10">
        <f t="shared" ref="AN57:AP57" si="68">D57+K57+R57+Y57+AF57</f>
        <v>0</v>
      </c>
      <c r="AO57" s="10">
        <f t="shared" si="68"/>
        <v>0</v>
      </c>
      <c r="AP57" s="10">
        <f t="shared" si="68"/>
        <v>0</v>
      </c>
      <c r="AQ57" s="11">
        <f t="shared" si="62"/>
        <v>0</v>
      </c>
    </row>
    <row r="58">
      <c r="A58" s="19"/>
      <c r="B58" s="19"/>
      <c r="C58" s="28" t="s">
        <v>23</v>
      </c>
      <c r="D58" s="29">
        <f t="shared" ref="D58:H58" si="69">D50+D51+D52+D53+D54+D55+D56+D57</f>
        <v>0</v>
      </c>
      <c r="E58" s="30">
        <f t="shared" si="69"/>
        <v>0</v>
      </c>
      <c r="F58" s="31">
        <f t="shared" si="69"/>
        <v>0</v>
      </c>
      <c r="G58" s="32">
        <f t="shared" si="69"/>
        <v>0</v>
      </c>
      <c r="H58" s="33">
        <f t="shared" si="69"/>
        <v>0</v>
      </c>
      <c r="I58" s="19"/>
      <c r="J58" s="28" t="s">
        <v>23</v>
      </c>
      <c r="K58" s="29">
        <f t="shared" ref="K58:O58" si="70">K50+K51+K52+K53+K54+K55+K56+K57</f>
        <v>0</v>
      </c>
      <c r="L58" s="30">
        <f t="shared" si="70"/>
        <v>0</v>
      </c>
      <c r="M58" s="31">
        <f t="shared" si="70"/>
        <v>0</v>
      </c>
      <c r="N58" s="37">
        <f t="shared" si="70"/>
        <v>0</v>
      </c>
      <c r="O58" s="33">
        <f t="shared" si="70"/>
        <v>0</v>
      </c>
      <c r="P58" s="19"/>
      <c r="Q58" s="28" t="s">
        <v>23</v>
      </c>
      <c r="R58" s="61">
        <f t="shared" ref="R58:V58" si="71">R50+R51+R52+R53+R54+R55+R56+R57</f>
        <v>0</v>
      </c>
      <c r="S58" s="35">
        <f t="shared" si="71"/>
        <v>0</v>
      </c>
      <c r="T58" s="39">
        <f t="shared" si="71"/>
        <v>0</v>
      </c>
      <c r="U58" s="37">
        <f t="shared" si="71"/>
        <v>0</v>
      </c>
      <c r="V58" s="33">
        <f t="shared" si="71"/>
        <v>0</v>
      </c>
      <c r="W58" s="19"/>
      <c r="X58" s="28" t="s">
        <v>23</v>
      </c>
      <c r="Y58" s="61">
        <f t="shared" ref="Y58:AC58" si="72">Y50+Y51+Y52+Y53+Y54+Y55+Y56+Y57</f>
        <v>0</v>
      </c>
      <c r="Z58" s="40">
        <f t="shared" si="72"/>
        <v>0</v>
      </c>
      <c r="AA58" s="36">
        <f t="shared" si="72"/>
        <v>0</v>
      </c>
      <c r="AB58" s="37">
        <f t="shared" si="72"/>
        <v>0</v>
      </c>
      <c r="AC58" s="33">
        <f t="shared" si="72"/>
        <v>0</v>
      </c>
      <c r="AD58" s="19"/>
      <c r="AE58" s="28" t="s">
        <v>23</v>
      </c>
      <c r="AF58" s="61">
        <f t="shared" ref="AF58:AJ58" si="73">AF50+AF51+AF52+AF53+AF54+AF55+AF56+AF57</f>
        <v>0</v>
      </c>
      <c r="AG58" s="35">
        <f t="shared" si="73"/>
        <v>0</v>
      </c>
      <c r="AH58" s="31">
        <f t="shared" si="73"/>
        <v>0</v>
      </c>
      <c r="AI58" s="37">
        <f t="shared" si="73"/>
        <v>0</v>
      </c>
      <c r="AJ58" s="33">
        <f t="shared" si="73"/>
        <v>0</v>
      </c>
      <c r="AL58" s="19"/>
      <c r="AM58" s="28" t="s">
        <v>23</v>
      </c>
      <c r="AN58" s="41">
        <f t="shared" ref="AN58:AQ58" si="74">AN50+AN51+AN52+AN53+AN54+AN55+AN56+AN57</f>
        <v>0</v>
      </c>
      <c r="AO58" s="42">
        <f t="shared" si="74"/>
        <v>0</v>
      </c>
      <c r="AP58" s="43">
        <f t="shared" si="74"/>
        <v>0</v>
      </c>
      <c r="AQ58" s="44">
        <f t="shared" si="74"/>
        <v>0</v>
      </c>
    </row>
    <row r="59" hidden="1">
      <c r="A59" s="19"/>
      <c r="B59" s="19"/>
      <c r="C59" s="45" t="s">
        <v>24</v>
      </c>
      <c r="D59" s="50">
        <f>D58-E58</f>
        <v>0</v>
      </c>
      <c r="E59" s="47"/>
      <c r="F59" s="48"/>
      <c r="G59" s="51"/>
      <c r="H59" s="51"/>
      <c r="I59" s="19"/>
      <c r="J59" s="45" t="s">
        <v>24</v>
      </c>
      <c r="K59" s="50">
        <f>K58-L58</f>
        <v>0</v>
      </c>
      <c r="L59" s="47"/>
      <c r="M59" s="48"/>
      <c r="N59" s="51"/>
      <c r="O59" s="51"/>
      <c r="P59" s="19"/>
      <c r="Q59" s="45" t="s">
        <v>24</v>
      </c>
      <c r="R59" s="50">
        <f>R58-S58</f>
        <v>0</v>
      </c>
      <c r="S59" s="47"/>
      <c r="T59" s="48"/>
      <c r="U59" s="51"/>
      <c r="V59" s="51"/>
      <c r="W59" s="19"/>
      <c r="X59" s="45" t="s">
        <v>24</v>
      </c>
      <c r="Y59" s="50">
        <f>Y58-Z58</f>
        <v>0</v>
      </c>
      <c r="Z59" s="47"/>
      <c r="AA59" s="48"/>
      <c r="AB59" s="51"/>
      <c r="AC59" s="51"/>
      <c r="AD59" s="19"/>
      <c r="AE59" s="45" t="s">
        <v>24</v>
      </c>
      <c r="AF59" s="50">
        <f>AF58-AG58</f>
        <v>0</v>
      </c>
      <c r="AG59" s="47"/>
      <c r="AH59" s="48"/>
      <c r="AI59" s="51"/>
      <c r="AJ59" s="51"/>
      <c r="AL59" s="53"/>
      <c r="AM59" s="45" t="s">
        <v>25</v>
      </c>
      <c r="AN59" s="50">
        <f>AN58-AO58</f>
        <v>0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0</v>
      </c>
      <c r="E60" s="47"/>
      <c r="F60" s="48"/>
      <c r="G60" s="67"/>
      <c r="H60" s="51"/>
      <c r="I60" s="53"/>
      <c r="J60" s="56" t="s">
        <v>26</v>
      </c>
      <c r="K60" s="57">
        <f>M58-L58</f>
        <v>0</v>
      </c>
      <c r="L60" s="47"/>
      <c r="M60" s="48"/>
      <c r="N60" s="51"/>
      <c r="O60" s="51"/>
      <c r="P60" s="53"/>
      <c r="Q60" s="56" t="s">
        <v>26</v>
      </c>
      <c r="R60" s="57">
        <f>T58-S58</f>
        <v>0</v>
      </c>
      <c r="S60" s="47"/>
      <c r="T60" s="48"/>
      <c r="U60" s="51"/>
      <c r="V60" s="51"/>
      <c r="W60" s="53"/>
      <c r="X60" s="56" t="s">
        <v>26</v>
      </c>
      <c r="Y60" s="57">
        <f>AA58-Z58</f>
        <v>0</v>
      </c>
      <c r="Z60" s="47"/>
      <c r="AA60" s="48"/>
      <c r="AB60" s="51"/>
      <c r="AC60" s="51"/>
      <c r="AD60" s="53"/>
      <c r="AE60" s="56" t="s">
        <v>26</v>
      </c>
      <c r="AF60" s="57">
        <f>AH58-AG58</f>
        <v>0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2" t="s">
        <v>1</v>
      </c>
      <c r="K61" s="4" t="s">
        <v>7</v>
      </c>
      <c r="L61" s="2" t="s">
        <v>3</v>
      </c>
      <c r="M61" s="2" t="s">
        <v>4</v>
      </c>
      <c r="N61" s="2" t="s">
        <v>5</v>
      </c>
      <c r="O61" s="5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2" t="s">
        <v>1</v>
      </c>
      <c r="Y61" s="4" t="s">
        <v>7</v>
      </c>
      <c r="Z61" s="2" t="s">
        <v>3</v>
      </c>
      <c r="AA61" s="2" t="s">
        <v>4</v>
      </c>
      <c r="AB61" s="2" t="s">
        <v>5</v>
      </c>
      <c r="AC61" s="5" t="s">
        <v>6</v>
      </c>
      <c r="AD61" s="2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>
        <v>45717.0</v>
      </c>
      <c r="C62" s="9" t="s">
        <v>10</v>
      </c>
      <c r="D62" s="10"/>
      <c r="E62" s="10"/>
      <c r="F62" s="10"/>
      <c r="G62" s="10"/>
      <c r="H62" s="11"/>
      <c r="I62" s="12">
        <v>45724.0</v>
      </c>
      <c r="J62" s="9" t="s">
        <v>10</v>
      </c>
      <c r="K62" s="10"/>
      <c r="L62" s="10"/>
      <c r="M62" s="10"/>
      <c r="N62" s="10"/>
      <c r="O62" s="11"/>
      <c r="P62" s="8">
        <v>45731.0</v>
      </c>
      <c r="Q62" s="9" t="s">
        <v>10</v>
      </c>
      <c r="R62" s="10"/>
      <c r="S62" s="10"/>
      <c r="T62" s="10"/>
      <c r="U62" s="10"/>
      <c r="V62" s="11"/>
      <c r="W62" s="8">
        <v>45738.0</v>
      </c>
      <c r="X62" s="9" t="s">
        <v>10</v>
      </c>
      <c r="Y62" s="10"/>
      <c r="Z62" s="10"/>
      <c r="AA62" s="10"/>
      <c r="AB62" s="10"/>
      <c r="AC62" s="11"/>
      <c r="AD62" s="12">
        <v>45745.0</v>
      </c>
      <c r="AE62" s="9" t="s">
        <v>10</v>
      </c>
      <c r="AF62" s="10"/>
      <c r="AG62" s="10"/>
      <c r="AH62" s="10"/>
      <c r="AI62" s="10"/>
      <c r="AJ62" s="11"/>
      <c r="AL62" s="18" t="s">
        <v>40</v>
      </c>
      <c r="AM62" s="9" t="s">
        <v>10</v>
      </c>
      <c r="AN62" s="10">
        <f t="shared" ref="AN62:AP62" si="75">D62+K62+R62+Y62+AF62</f>
        <v>0</v>
      </c>
      <c r="AO62" s="10">
        <f t="shared" si="75"/>
        <v>0</v>
      </c>
      <c r="AP62" s="10">
        <f t="shared" si="75"/>
        <v>0</v>
      </c>
      <c r="AQ62" s="11">
        <f t="shared" ref="AQ62:AQ69" si="77">H62+O62+V62+AC62+AJ62</f>
        <v>0</v>
      </c>
    </row>
    <row r="63">
      <c r="A63" s="19"/>
      <c r="B63" s="19"/>
      <c r="C63" s="9" t="s">
        <v>12</v>
      </c>
      <c r="D63" s="10"/>
      <c r="E63" s="10"/>
      <c r="F63" s="10"/>
      <c r="G63" s="10"/>
      <c r="H63" s="11"/>
      <c r="I63" s="19"/>
      <c r="J63" s="9" t="s">
        <v>12</v>
      </c>
      <c r="K63" s="10"/>
      <c r="L63" s="10"/>
      <c r="M63" s="10"/>
      <c r="N63" s="10"/>
      <c r="O63" s="11"/>
      <c r="P63" s="19"/>
      <c r="Q63" s="9" t="s">
        <v>12</v>
      </c>
      <c r="R63" s="72"/>
      <c r="S63" s="10"/>
      <c r="T63" s="72"/>
      <c r="U63" s="10"/>
      <c r="V63" s="11"/>
      <c r="W63" s="19"/>
      <c r="X63" s="9" t="s">
        <v>12</v>
      </c>
      <c r="Y63" s="10"/>
      <c r="Z63" s="10"/>
      <c r="AA63" s="10"/>
      <c r="AB63" s="10"/>
      <c r="AC63" s="11"/>
      <c r="AD63" s="19"/>
      <c r="AE63" s="9" t="s">
        <v>12</v>
      </c>
      <c r="AF63" s="10"/>
      <c r="AG63" s="10"/>
      <c r="AH63" s="10"/>
      <c r="AI63" s="10"/>
      <c r="AJ63" s="11"/>
      <c r="AL63" s="19"/>
      <c r="AM63" s="9" t="s">
        <v>12</v>
      </c>
      <c r="AN63" s="10">
        <f t="shared" ref="AN63:AP63" si="76">D63+K63+R63+Y63+AF63</f>
        <v>0</v>
      </c>
      <c r="AO63" s="10">
        <f t="shared" si="76"/>
        <v>0</v>
      </c>
      <c r="AP63" s="10">
        <f t="shared" si="76"/>
        <v>0</v>
      </c>
      <c r="AQ63" s="11">
        <f t="shared" si="77"/>
        <v>0</v>
      </c>
    </row>
    <row r="64">
      <c r="A64" s="19"/>
      <c r="B64" s="19"/>
      <c r="C64" s="9" t="s">
        <v>14</v>
      </c>
      <c r="D64" s="10"/>
      <c r="E64" s="10"/>
      <c r="F64" s="10"/>
      <c r="G64" s="10"/>
      <c r="H64" s="11"/>
      <c r="I64" s="19"/>
      <c r="J64" s="9" t="s">
        <v>14</v>
      </c>
      <c r="K64" s="10"/>
      <c r="L64" s="10"/>
      <c r="M64" s="10"/>
      <c r="N64" s="10"/>
      <c r="O64" s="11"/>
      <c r="P64" s="19"/>
      <c r="Q64" s="9" t="s">
        <v>14</v>
      </c>
      <c r="R64" s="10"/>
      <c r="S64" s="10"/>
      <c r="T64" s="10"/>
      <c r="U64" s="10"/>
      <c r="V64" s="11"/>
      <c r="W64" s="19"/>
      <c r="X64" s="9" t="s">
        <v>14</v>
      </c>
      <c r="Y64" s="10"/>
      <c r="Z64" s="10"/>
      <c r="AA64" s="10"/>
      <c r="AB64" s="10"/>
      <c r="AC64" s="11"/>
      <c r="AD64" s="19"/>
      <c r="AE64" s="9" t="s">
        <v>14</v>
      </c>
      <c r="AF64" s="10"/>
      <c r="AG64" s="10"/>
      <c r="AH64" s="10"/>
      <c r="AI64" s="10"/>
      <c r="AJ64" s="11"/>
      <c r="AL64" s="19"/>
      <c r="AM64" s="9" t="s">
        <v>14</v>
      </c>
      <c r="AN64" s="10">
        <f t="shared" ref="AN64:AP64" si="78">D64+K64+R64+Y64+AF64</f>
        <v>0</v>
      </c>
      <c r="AO64" s="10">
        <f t="shared" si="78"/>
        <v>0</v>
      </c>
      <c r="AP64" s="10">
        <f t="shared" si="78"/>
        <v>0</v>
      </c>
      <c r="AQ64" s="11">
        <f t="shared" si="77"/>
        <v>0</v>
      </c>
    </row>
    <row r="65">
      <c r="A65" s="19"/>
      <c r="B65" s="19"/>
      <c r="C65" s="9" t="s">
        <v>16</v>
      </c>
      <c r="D65" s="10"/>
      <c r="E65" s="10"/>
      <c r="F65" s="10"/>
      <c r="G65" s="10"/>
      <c r="H65" s="11"/>
      <c r="I65" s="19"/>
      <c r="J65" s="9" t="s">
        <v>16</v>
      </c>
      <c r="K65" s="10"/>
      <c r="L65" s="10"/>
      <c r="M65" s="10"/>
      <c r="N65" s="10"/>
      <c r="O65" s="11"/>
      <c r="P65" s="19"/>
      <c r="Q65" s="9" t="s">
        <v>16</v>
      </c>
      <c r="R65" s="10"/>
      <c r="S65" s="10"/>
      <c r="T65" s="10"/>
      <c r="U65" s="10"/>
      <c r="V65" s="11"/>
      <c r="W65" s="19"/>
      <c r="X65" s="9" t="s">
        <v>16</v>
      </c>
      <c r="Y65" s="10"/>
      <c r="Z65" s="10"/>
      <c r="AA65" s="10"/>
      <c r="AB65" s="10"/>
      <c r="AC65" s="11"/>
      <c r="AD65" s="19"/>
      <c r="AE65" s="9" t="s">
        <v>16</v>
      </c>
      <c r="AF65" s="10"/>
      <c r="AG65" s="10"/>
      <c r="AH65" s="10"/>
      <c r="AI65" s="10"/>
      <c r="AJ65" s="11"/>
      <c r="AL65" s="19"/>
      <c r="AM65" s="9" t="s">
        <v>16</v>
      </c>
      <c r="AN65" s="10">
        <f t="shared" ref="AN65:AP65" si="79">D65+K65+R65+Y65+AF65</f>
        <v>0</v>
      </c>
      <c r="AO65" s="10">
        <f t="shared" si="79"/>
        <v>0</v>
      </c>
      <c r="AP65" s="10">
        <f t="shared" si="79"/>
        <v>0</v>
      </c>
      <c r="AQ65" s="11">
        <f t="shared" si="77"/>
        <v>0</v>
      </c>
    </row>
    <row r="66">
      <c r="A66" s="19"/>
      <c r="B66" s="19"/>
      <c r="C66" s="9" t="s">
        <v>17</v>
      </c>
      <c r="D66" s="10"/>
      <c r="E66" s="10"/>
      <c r="F66" s="10"/>
      <c r="G66" s="10"/>
      <c r="H66" s="11"/>
      <c r="I66" s="19"/>
      <c r="J66" s="9" t="s">
        <v>17</v>
      </c>
      <c r="K66" s="10"/>
      <c r="L66" s="10"/>
      <c r="M66" s="10"/>
      <c r="N66" s="10"/>
      <c r="O66" s="11"/>
      <c r="P66" s="19"/>
      <c r="Q66" s="9" t="s">
        <v>17</v>
      </c>
      <c r="R66" s="10"/>
      <c r="S66" s="10"/>
      <c r="T66" s="10"/>
      <c r="U66" s="10"/>
      <c r="V66" s="11"/>
      <c r="W66" s="19"/>
      <c r="X66" s="9" t="s">
        <v>17</v>
      </c>
      <c r="Y66" s="10"/>
      <c r="Z66" s="10"/>
      <c r="AA66" s="10"/>
      <c r="AB66" s="10"/>
      <c r="AC66" s="11"/>
      <c r="AD66" s="19"/>
      <c r="AE66" s="9" t="s">
        <v>17</v>
      </c>
      <c r="AF66" s="10"/>
      <c r="AG66" s="10"/>
      <c r="AH66" s="10"/>
      <c r="AI66" s="10"/>
      <c r="AJ66" s="11"/>
      <c r="AL66" s="19"/>
      <c r="AM66" s="9" t="s">
        <v>17</v>
      </c>
      <c r="AN66" s="10">
        <f t="shared" ref="AN66:AP66" si="80">D66+K66+R66+Y66+AF66</f>
        <v>0</v>
      </c>
      <c r="AO66" s="10">
        <f t="shared" si="80"/>
        <v>0</v>
      </c>
      <c r="AP66" s="10">
        <f t="shared" si="80"/>
        <v>0</v>
      </c>
      <c r="AQ66" s="11">
        <f t="shared" si="77"/>
        <v>0</v>
      </c>
    </row>
    <row r="67">
      <c r="A67" s="19"/>
      <c r="B67" s="19"/>
      <c r="C67" s="9" t="s">
        <v>18</v>
      </c>
      <c r="D67" s="10"/>
      <c r="E67" s="10"/>
      <c r="F67" s="10"/>
      <c r="G67" s="10"/>
      <c r="H67" s="11"/>
      <c r="I67" s="19"/>
      <c r="J67" s="9" t="s">
        <v>18</v>
      </c>
      <c r="K67" s="10"/>
      <c r="L67" s="10"/>
      <c r="M67" s="10"/>
      <c r="N67" s="10"/>
      <c r="O67" s="11"/>
      <c r="P67" s="19"/>
      <c r="Q67" s="9" t="s">
        <v>18</v>
      </c>
      <c r="R67" s="10"/>
      <c r="S67" s="10"/>
      <c r="T67" s="10"/>
      <c r="U67" s="10"/>
      <c r="V67" s="11"/>
      <c r="W67" s="19"/>
      <c r="X67" s="9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1">D67+K67+R67+Y67+AF67</f>
        <v>0</v>
      </c>
      <c r="AO67" s="10">
        <f t="shared" si="81"/>
        <v>0</v>
      </c>
      <c r="AP67" s="10">
        <f t="shared" si="81"/>
        <v>0</v>
      </c>
      <c r="AQ67" s="11">
        <f t="shared" si="77"/>
        <v>0</v>
      </c>
    </row>
    <row r="68">
      <c r="A68" s="19"/>
      <c r="B68" s="19"/>
      <c r="C68" s="9" t="s">
        <v>20</v>
      </c>
      <c r="D68" s="10"/>
      <c r="E68" s="10"/>
      <c r="F68" s="10"/>
      <c r="G68" s="10"/>
      <c r="H68" s="11"/>
      <c r="I68" s="19"/>
      <c r="J68" s="9" t="s">
        <v>20</v>
      </c>
      <c r="K68" s="10"/>
      <c r="L68" s="10"/>
      <c r="M68" s="10"/>
      <c r="N68" s="10"/>
      <c r="O68" s="11"/>
      <c r="P68" s="19"/>
      <c r="Q68" s="9" t="s">
        <v>19</v>
      </c>
      <c r="R68" s="10"/>
      <c r="S68" s="10"/>
      <c r="T68" s="10"/>
      <c r="U68" s="10"/>
      <c r="V68" s="11"/>
      <c r="W68" s="19"/>
      <c r="X68" s="9" t="s">
        <v>19</v>
      </c>
      <c r="Y68" s="10"/>
      <c r="Z68" s="10"/>
      <c r="AA68" s="10"/>
      <c r="AB68" s="10"/>
      <c r="AC68" s="11"/>
      <c r="AD68" s="19"/>
      <c r="AE68" s="9" t="s">
        <v>19</v>
      </c>
      <c r="AF68" s="10"/>
      <c r="AG68" s="10"/>
      <c r="AH68" s="10"/>
      <c r="AI68" s="10"/>
      <c r="AJ68" s="11"/>
      <c r="AL68" s="19"/>
      <c r="AM68" s="9" t="s">
        <v>19</v>
      </c>
      <c r="AN68" s="10">
        <f t="shared" ref="AN68:AP68" si="82">D68+K68+R68+Y68+AF68</f>
        <v>0</v>
      </c>
      <c r="AO68" s="10">
        <f t="shared" si="82"/>
        <v>0</v>
      </c>
      <c r="AP68" s="10">
        <f t="shared" si="82"/>
        <v>0</v>
      </c>
      <c r="AQ68" s="11">
        <f t="shared" si="77"/>
        <v>0</v>
      </c>
    </row>
    <row r="69">
      <c r="A69" s="19"/>
      <c r="B69" s="19"/>
      <c r="C69" s="26" t="s">
        <v>21</v>
      </c>
      <c r="D69" s="10"/>
      <c r="E69" s="10"/>
      <c r="F69" s="10"/>
      <c r="G69" s="10"/>
      <c r="H69" s="11"/>
      <c r="I69" s="19"/>
      <c r="J69" s="26" t="s">
        <v>21</v>
      </c>
      <c r="K69" s="10"/>
      <c r="L69" s="10"/>
      <c r="M69" s="10"/>
      <c r="N69" s="10"/>
      <c r="O69" s="11"/>
      <c r="P69" s="19"/>
      <c r="Q69" s="26" t="s">
        <v>21</v>
      </c>
      <c r="R69" s="10"/>
      <c r="S69" s="10"/>
      <c r="T69" s="10"/>
      <c r="U69" s="10"/>
      <c r="V69" s="11"/>
      <c r="W69" s="19"/>
      <c r="X69" s="26" t="s">
        <v>21</v>
      </c>
      <c r="Y69" s="10"/>
      <c r="Z69" s="10"/>
      <c r="AA69" s="10"/>
      <c r="AB69" s="10"/>
      <c r="AC69" s="11"/>
      <c r="AD69" s="19"/>
      <c r="AE69" s="26" t="s">
        <v>21</v>
      </c>
      <c r="AF69" s="10"/>
      <c r="AG69" s="10"/>
      <c r="AH69" s="10"/>
      <c r="AI69" s="10"/>
      <c r="AJ69" s="11"/>
      <c r="AL69" s="19"/>
      <c r="AM69" s="26" t="s">
        <v>21</v>
      </c>
      <c r="AN69" s="10">
        <f t="shared" ref="AN69:AP69" si="83">D69+K69+R69+Y69+AF69</f>
        <v>0</v>
      </c>
      <c r="AO69" s="10">
        <f t="shared" si="83"/>
        <v>0</v>
      </c>
      <c r="AP69" s="10">
        <f t="shared" si="83"/>
        <v>0</v>
      </c>
      <c r="AQ69" s="11">
        <f t="shared" si="77"/>
        <v>0</v>
      </c>
    </row>
    <row r="70">
      <c r="A70" s="19"/>
      <c r="B70" s="19"/>
      <c r="C70" s="28" t="s">
        <v>23</v>
      </c>
      <c r="D70" s="29">
        <f t="shared" ref="D70:H70" si="84">D62+D63+D64+D65+D66+D67+D68+D69</f>
        <v>0</v>
      </c>
      <c r="E70" s="30">
        <f t="shared" si="84"/>
        <v>0</v>
      </c>
      <c r="F70" s="31">
        <f t="shared" si="84"/>
        <v>0</v>
      </c>
      <c r="G70" s="37">
        <f t="shared" si="84"/>
        <v>0</v>
      </c>
      <c r="H70" s="33">
        <f t="shared" si="84"/>
        <v>0</v>
      </c>
      <c r="I70" s="19"/>
      <c r="J70" s="28" t="s">
        <v>23</v>
      </c>
      <c r="K70" s="61">
        <f t="shared" ref="K70:O70" si="85">K62+K63+K64+K65+K66+K67+K68+K69</f>
        <v>0</v>
      </c>
      <c r="L70" s="30">
        <f t="shared" si="85"/>
        <v>0</v>
      </c>
      <c r="M70" s="36">
        <f t="shared" si="85"/>
        <v>0</v>
      </c>
      <c r="N70" s="37">
        <f t="shared" si="85"/>
        <v>0</v>
      </c>
      <c r="O70" s="33">
        <f t="shared" si="85"/>
        <v>0</v>
      </c>
      <c r="P70" s="19"/>
      <c r="Q70" s="28" t="s">
        <v>23</v>
      </c>
      <c r="R70" s="29">
        <f t="shared" ref="R70:V70" si="86">R62+R63+R64+R65+R66+R67+R68+R69</f>
        <v>0</v>
      </c>
      <c r="S70" s="30">
        <f t="shared" si="86"/>
        <v>0</v>
      </c>
      <c r="T70" s="31">
        <f t="shared" si="86"/>
        <v>0</v>
      </c>
      <c r="U70" s="37">
        <f t="shared" si="86"/>
        <v>0</v>
      </c>
      <c r="V70" s="33">
        <f t="shared" si="86"/>
        <v>0</v>
      </c>
      <c r="W70" s="19"/>
      <c r="X70" s="28" t="s">
        <v>23</v>
      </c>
      <c r="Y70" s="61">
        <f t="shared" ref="Y70:AC70" si="87">Y62+Y63+Y64+Y65+Y66+Y67+Y68+Y69</f>
        <v>0</v>
      </c>
      <c r="Z70" s="30">
        <f t="shared" si="87"/>
        <v>0</v>
      </c>
      <c r="AA70" s="36">
        <f t="shared" si="87"/>
        <v>0</v>
      </c>
      <c r="AB70" s="37">
        <f t="shared" si="87"/>
        <v>0</v>
      </c>
      <c r="AC70" s="33">
        <f t="shared" si="87"/>
        <v>0</v>
      </c>
      <c r="AD70" s="19"/>
      <c r="AE70" s="28" t="s">
        <v>23</v>
      </c>
      <c r="AF70" s="61">
        <f t="shared" ref="AF70:AJ70" si="88">AF62+AF63+AF64+AF65+AF66+AF67+AF68+AF69</f>
        <v>0</v>
      </c>
      <c r="AG70" s="30">
        <f t="shared" si="88"/>
        <v>0</v>
      </c>
      <c r="AH70" s="31">
        <f t="shared" si="88"/>
        <v>0</v>
      </c>
      <c r="AI70" s="37">
        <f t="shared" si="88"/>
        <v>0</v>
      </c>
      <c r="AJ70" s="33">
        <f t="shared" si="88"/>
        <v>0</v>
      </c>
      <c r="AL70" s="19"/>
      <c r="AM70" s="28" t="s">
        <v>23</v>
      </c>
      <c r="AN70" s="41">
        <f t="shared" ref="AN70:AQ70" si="89">AN62+AN63+AN64+AN65+AN66+AN67+AN68+AN69</f>
        <v>0</v>
      </c>
      <c r="AO70" s="42">
        <f t="shared" si="89"/>
        <v>0</v>
      </c>
      <c r="AP70" s="43">
        <f t="shared" si="89"/>
        <v>0</v>
      </c>
      <c r="AQ70" s="44">
        <f t="shared" si="89"/>
        <v>0</v>
      </c>
    </row>
    <row r="71" hidden="1">
      <c r="A71" s="19"/>
      <c r="B71" s="19"/>
      <c r="C71" s="45" t="s">
        <v>24</v>
      </c>
      <c r="D71" s="50">
        <f>D70-E70</f>
        <v>0</v>
      </c>
      <c r="E71" s="47"/>
      <c r="F71" s="48"/>
      <c r="G71" s="51"/>
      <c r="H71" s="51"/>
      <c r="I71" s="19"/>
      <c r="J71" s="45" t="s">
        <v>24</v>
      </c>
      <c r="K71" s="50">
        <f>K70-L70</f>
        <v>0</v>
      </c>
      <c r="L71" s="47"/>
      <c r="M71" s="48"/>
      <c r="N71" s="51"/>
      <c r="O71" s="51"/>
      <c r="P71" s="19"/>
      <c r="Q71" s="45" t="s">
        <v>24</v>
      </c>
      <c r="R71" s="50">
        <f>R70-S70</f>
        <v>0</v>
      </c>
      <c r="S71" s="47"/>
      <c r="T71" s="48"/>
      <c r="U71" s="51"/>
      <c r="V71" s="51"/>
      <c r="W71" s="19"/>
      <c r="X71" s="45" t="s">
        <v>24</v>
      </c>
      <c r="Y71" s="50">
        <f>Y70-Z70</f>
        <v>0</v>
      </c>
      <c r="Z71" s="47"/>
      <c r="AA71" s="48"/>
      <c r="AB71" s="51"/>
      <c r="AC71" s="51"/>
      <c r="AD71" s="19"/>
      <c r="AE71" s="45" t="s">
        <v>24</v>
      </c>
      <c r="AF71" s="50">
        <f>AF70-AG70</f>
        <v>0</v>
      </c>
      <c r="AG71" s="47"/>
      <c r="AH71" s="48"/>
      <c r="AI71" s="51"/>
      <c r="AJ71" s="51"/>
      <c r="AL71" s="53"/>
      <c r="AM71" s="45" t="s">
        <v>25</v>
      </c>
      <c r="AN71" s="50">
        <f>AN70-AO70</f>
        <v>0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0</v>
      </c>
      <c r="E72" s="47"/>
      <c r="F72" s="48"/>
      <c r="G72" s="59"/>
      <c r="H72" s="51"/>
      <c r="I72" s="53"/>
      <c r="J72" s="56" t="s">
        <v>26</v>
      </c>
      <c r="K72" s="57">
        <f>M70-L70</f>
        <v>0</v>
      </c>
      <c r="L72" s="47"/>
      <c r="M72" s="48"/>
      <c r="N72" s="51"/>
      <c r="O72" s="51"/>
      <c r="P72" s="53"/>
      <c r="Q72" s="56" t="s">
        <v>26</v>
      </c>
      <c r="R72" s="57">
        <f>T70-S70</f>
        <v>0</v>
      </c>
      <c r="S72" s="47"/>
      <c r="T72" s="48"/>
      <c r="U72" s="51"/>
      <c r="V72" s="51"/>
      <c r="W72" s="53"/>
      <c r="X72" s="56" t="s">
        <v>26</v>
      </c>
      <c r="Y72" s="57">
        <f>AA70-Z70</f>
        <v>0</v>
      </c>
      <c r="Z72" s="47"/>
      <c r="AA72" s="48"/>
      <c r="AB72" s="59"/>
      <c r="AC72" s="51"/>
      <c r="AD72" s="53"/>
      <c r="AE72" s="56" t="s">
        <v>26</v>
      </c>
      <c r="AF72" s="57">
        <f>AH70-AG70</f>
        <v>0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45718.0</v>
      </c>
      <c r="C74" s="9" t="s">
        <v>10</v>
      </c>
      <c r="D74" s="10"/>
      <c r="E74" s="10"/>
      <c r="F74" s="10"/>
      <c r="G74" s="10"/>
      <c r="H74" s="11"/>
      <c r="I74" s="12">
        <v>45725.0</v>
      </c>
      <c r="J74" s="9"/>
      <c r="K74" s="10"/>
      <c r="L74" s="10"/>
      <c r="M74" s="10"/>
      <c r="N74" s="10"/>
      <c r="O74" s="11"/>
      <c r="P74" s="8">
        <v>45732.0</v>
      </c>
      <c r="Q74" s="9"/>
      <c r="R74" s="10"/>
      <c r="S74" s="10"/>
      <c r="T74" s="10"/>
      <c r="U74" s="10"/>
      <c r="V74" s="11"/>
      <c r="W74" s="8">
        <v>45739.0</v>
      </c>
      <c r="X74" s="9"/>
      <c r="Y74" s="10"/>
      <c r="Z74" s="10"/>
      <c r="AA74" s="10"/>
      <c r="AB74" s="10"/>
      <c r="AC74" s="11"/>
      <c r="AD74" s="12">
        <v>45746.0</v>
      </c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/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9" t="s">
        <v>14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/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/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/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/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/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43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0">D81+K81+R81+Y81+AF81</f>
        <v>0</v>
      </c>
      <c r="AO81" s="10">
        <f t="shared" si="90"/>
        <v>0</v>
      </c>
      <c r="AP81" s="10">
        <f t="shared" si="90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1">D74+D75+D76+D77+D78+D79+D80+D81</f>
        <v>0</v>
      </c>
      <c r="E82" s="30">
        <f t="shared" si="91"/>
        <v>0</v>
      </c>
      <c r="F82" s="31">
        <f t="shared" si="91"/>
        <v>0</v>
      </c>
      <c r="G82" s="32">
        <f t="shared" si="91"/>
        <v>0</v>
      </c>
      <c r="H82" s="33">
        <f t="shared" si="91"/>
        <v>0</v>
      </c>
      <c r="I82" s="19"/>
      <c r="J82" s="28" t="s">
        <v>23</v>
      </c>
      <c r="K82" s="29">
        <f t="shared" ref="K82:O82" si="92">K74+K75+K76+K77+K78+K79+K80+K81</f>
        <v>0</v>
      </c>
      <c r="L82" s="30">
        <f t="shared" si="92"/>
        <v>0</v>
      </c>
      <c r="M82" s="31">
        <f t="shared" si="92"/>
        <v>0</v>
      </c>
      <c r="N82" s="32">
        <f t="shared" si="92"/>
        <v>0</v>
      </c>
      <c r="O82" s="33">
        <f t="shared" si="92"/>
        <v>0</v>
      </c>
      <c r="P82" s="19"/>
      <c r="Q82" s="28" t="s">
        <v>23</v>
      </c>
      <c r="R82" s="29">
        <f t="shared" ref="R82:V82" si="93">R74+R75+R76+R77+R78+R79+R80+R81</f>
        <v>0</v>
      </c>
      <c r="S82" s="30">
        <f t="shared" si="93"/>
        <v>0</v>
      </c>
      <c r="T82" s="31">
        <f t="shared" si="93"/>
        <v>0</v>
      </c>
      <c r="U82" s="32">
        <f t="shared" si="93"/>
        <v>0</v>
      </c>
      <c r="V82" s="33">
        <f t="shared" si="93"/>
        <v>0</v>
      </c>
      <c r="W82" s="19"/>
      <c r="X82" s="28" t="s">
        <v>23</v>
      </c>
      <c r="Y82" s="29">
        <f t="shared" ref="Y82:AC82" si="94">Y74+Y75+Y76+Y77+Y78+Y79+Y80+Y81</f>
        <v>0</v>
      </c>
      <c r="Z82" s="30">
        <f t="shared" si="94"/>
        <v>0</v>
      </c>
      <c r="AA82" s="31">
        <f t="shared" si="94"/>
        <v>0</v>
      </c>
      <c r="AB82" s="32">
        <f t="shared" si="94"/>
        <v>0</v>
      </c>
      <c r="AC82" s="33">
        <f t="shared" si="94"/>
        <v>0</v>
      </c>
      <c r="AD82" s="19"/>
      <c r="AE82" s="28" t="s">
        <v>23</v>
      </c>
      <c r="AF82" s="29">
        <f t="shared" ref="AF82:AJ82" si="95">AF74+AF75+AF76+AF77+AF78+AF79+AF80+AF81</f>
        <v>0</v>
      </c>
      <c r="AG82" s="30">
        <f t="shared" si="95"/>
        <v>0</v>
      </c>
      <c r="AH82" s="31">
        <f t="shared" si="95"/>
        <v>0</v>
      </c>
      <c r="AI82" s="32">
        <f t="shared" si="95"/>
        <v>0</v>
      </c>
      <c r="AJ82" s="33">
        <f t="shared" si="95"/>
        <v>0</v>
      </c>
      <c r="AL82" s="19"/>
      <c r="AM82" s="28" t="s">
        <v>23</v>
      </c>
      <c r="AN82" s="41">
        <f t="shared" ref="AN82:AQ82" si="96">AN74+AN75+AN76+AN77+AN78+AN79+AN80+AN81</f>
        <v>0</v>
      </c>
      <c r="AO82" s="42">
        <f t="shared" si="96"/>
        <v>0</v>
      </c>
      <c r="AP82" s="43">
        <f t="shared" si="96"/>
        <v>0</v>
      </c>
      <c r="AQ82" s="44">
        <f t="shared" si="96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44</v>
      </c>
      <c r="D87" s="47"/>
      <c r="E87" s="47"/>
      <c r="F87" s="47"/>
      <c r="G87" s="47"/>
      <c r="H87" s="48"/>
      <c r="I87" s="76"/>
      <c r="J87" s="77" t="s">
        <v>44</v>
      </c>
      <c r="K87" s="47"/>
      <c r="L87" s="47"/>
      <c r="M87" s="47"/>
      <c r="N87" s="47"/>
      <c r="O87" s="48"/>
      <c r="P87" s="76"/>
      <c r="Q87" s="77" t="s">
        <v>44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45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0</v>
      </c>
      <c r="E88" s="47"/>
      <c r="F88" s="47"/>
      <c r="G88" s="47"/>
      <c r="H88" s="48"/>
      <c r="J88" s="9" t="s">
        <v>7</v>
      </c>
      <c r="K88" s="79">
        <f>K10+K22+K34+K46+K58+K70+K82</f>
        <v>0</v>
      </c>
      <c r="L88" s="47"/>
      <c r="M88" s="47"/>
      <c r="N88" s="47"/>
      <c r="O88" s="48"/>
      <c r="Q88" s="9" t="s">
        <v>7</v>
      </c>
      <c r="R88" s="79">
        <f>R10+R22+R34+R46+R58+R70+R82</f>
        <v>0</v>
      </c>
      <c r="S88" s="47"/>
      <c r="T88" s="47"/>
      <c r="U88" s="47"/>
      <c r="V88" s="48"/>
      <c r="X88" s="9" t="s">
        <v>7</v>
      </c>
      <c r="Y88" s="79">
        <f>Y10+Y22+Y34+Y46+Y58+Y70+Y82</f>
        <v>0</v>
      </c>
      <c r="Z88" s="47"/>
      <c r="AA88" s="47"/>
      <c r="AB88" s="47"/>
      <c r="AC88" s="48"/>
      <c r="AE88" s="9" t="s">
        <v>7</v>
      </c>
      <c r="AF88" s="79">
        <f>AF10+AF22+AF34+AF46+AF58+AF70+AF82</f>
        <v>0</v>
      </c>
      <c r="AG88" s="47"/>
      <c r="AH88" s="47"/>
      <c r="AI88" s="47"/>
      <c r="AJ88" s="48"/>
      <c r="AN88" s="55">
        <f t="array" ref="AN88">AN10+AN22+AN34+AN46+AN58+AN70</f>
        <v>0</v>
      </c>
      <c r="AP88" s="55">
        <f t="array" ref="AP88">AP10+AP22+AP34+AP46+AP58+AP70</f>
        <v>0</v>
      </c>
    </row>
    <row r="89">
      <c r="A89" s="78"/>
      <c r="C89" s="9" t="s">
        <v>3</v>
      </c>
      <c r="D89" s="80">
        <f>E10+E22+E34+E46+E58+E70+E82</f>
        <v>0</v>
      </c>
      <c r="E89" s="47"/>
      <c r="F89" s="47"/>
      <c r="G89" s="47"/>
      <c r="H89" s="48"/>
      <c r="J89" s="9" t="s">
        <v>3</v>
      </c>
      <c r="K89" s="80">
        <f>L10+L22+L34+L46+L58+L70+L82</f>
        <v>0</v>
      </c>
      <c r="L89" s="47"/>
      <c r="M89" s="47"/>
      <c r="N89" s="47"/>
      <c r="O89" s="48"/>
      <c r="Q89" s="9" t="s">
        <v>3</v>
      </c>
      <c r="R89" s="80">
        <f>S10+S22+S34+S46+S58+S70+S82</f>
        <v>0</v>
      </c>
      <c r="S89" s="47"/>
      <c r="T89" s="47"/>
      <c r="U89" s="47"/>
      <c r="V89" s="48"/>
      <c r="X89" s="9" t="s">
        <v>3</v>
      </c>
      <c r="Y89" s="80">
        <f>Z10+Z22+Z34+Z46+Z58+Z70+Z82</f>
        <v>0</v>
      </c>
      <c r="Z89" s="47"/>
      <c r="AA89" s="47"/>
      <c r="AB89" s="47"/>
      <c r="AC89" s="48"/>
      <c r="AE89" s="9" t="s">
        <v>3</v>
      </c>
      <c r="AF89" s="80">
        <f>AG10+AG22+AG34+AG46+AG58+AG70+AG82</f>
        <v>0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0</v>
      </c>
      <c r="E90" s="47"/>
      <c r="F90" s="47"/>
      <c r="G90" s="47"/>
      <c r="H90" s="48"/>
      <c r="J90" s="9" t="s">
        <v>46</v>
      </c>
      <c r="K90" s="81">
        <f>M10+M22+M34+M46+M58+M70+M82</f>
        <v>0</v>
      </c>
      <c r="L90" s="47"/>
      <c r="M90" s="47"/>
      <c r="N90" s="47"/>
      <c r="O90" s="48"/>
      <c r="Q90" s="9" t="s">
        <v>46</v>
      </c>
      <c r="R90" s="81">
        <f>T10+T22+T34+T46+T58+T70+T82</f>
        <v>0</v>
      </c>
      <c r="S90" s="47"/>
      <c r="T90" s="47"/>
      <c r="U90" s="47"/>
      <c r="V90" s="48"/>
      <c r="X90" s="9" t="s">
        <v>46</v>
      </c>
      <c r="Y90" s="81">
        <f>AA10+AA22+AA34+AA46+AA58+AA70+AA82</f>
        <v>0</v>
      </c>
      <c r="Z90" s="47"/>
      <c r="AA90" s="47"/>
      <c r="AB90" s="47"/>
      <c r="AC90" s="48"/>
      <c r="AE90" s="9" t="s">
        <v>46</v>
      </c>
      <c r="AF90" s="81">
        <f>AH10+AH22+AH34+AH46+AH58+AH70+AH82</f>
        <v>0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0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0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0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0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0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0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0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0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0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0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0</v>
      </c>
      <c r="E93" s="47"/>
      <c r="F93" s="47"/>
      <c r="G93" s="47"/>
      <c r="H93" s="48"/>
      <c r="J93" s="9" t="s">
        <v>49</v>
      </c>
      <c r="K93" s="84">
        <f t="array" ref="K93">O10+O22+O34+O46+O58+O70+O82</f>
        <v>0</v>
      </c>
      <c r="L93" s="47"/>
      <c r="M93" s="47"/>
      <c r="N93" s="47"/>
      <c r="O93" s="48"/>
      <c r="Q93" s="9" t="s">
        <v>49</v>
      </c>
      <c r="R93" s="84">
        <f t="array" ref="R93">V10+V22+V34+V46+V58+V70+V82</f>
        <v>0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0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0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7">D2+D14+D26+D38+D50+D62</f>
        <v>0</v>
      </c>
      <c r="E98" s="10">
        <f t="shared" si="97"/>
        <v>0</v>
      </c>
      <c r="F98" s="10">
        <f t="shared" si="97"/>
        <v>0</v>
      </c>
      <c r="G98" s="86">
        <f t="shared" ref="G98:G105" si="103">F98-E98</f>
        <v>0</v>
      </c>
      <c r="H98" s="87">
        <f t="shared" ref="H98:H104" si="104">H2+H14+H26+H38+H50+H62</f>
        <v>0</v>
      </c>
      <c r="J98" s="9" t="s">
        <v>10</v>
      </c>
      <c r="K98" s="85">
        <f t="shared" ref="K98:M98" si="98">K2+K14+K26+K38+K50+K62</f>
        <v>0</v>
      </c>
      <c r="L98" s="10">
        <f t="shared" si="98"/>
        <v>0</v>
      </c>
      <c r="M98" s="10">
        <f t="shared" si="98"/>
        <v>0</v>
      </c>
      <c r="N98" s="86">
        <f t="shared" ref="N98:N105" si="106">M98-L98</f>
        <v>0</v>
      </c>
      <c r="O98" s="87">
        <f t="shared" ref="O98:O104" si="107">O2+O14+O26+O38+O50+O62</f>
        <v>0</v>
      </c>
      <c r="Q98" s="9" t="s">
        <v>10</v>
      </c>
      <c r="R98" s="85">
        <f t="shared" ref="R98:T98" si="99">R2+R14+R26+R38+R50+R62</f>
        <v>0</v>
      </c>
      <c r="S98" s="10">
        <f t="shared" si="99"/>
        <v>0</v>
      </c>
      <c r="T98" s="10">
        <f t="shared" si="99"/>
        <v>0</v>
      </c>
      <c r="U98" s="86">
        <f t="shared" ref="U98:U105" si="109">T98-S98</f>
        <v>0</v>
      </c>
      <c r="V98" s="87">
        <f t="shared" ref="V98:V104" si="110">V2+V14+V26+V38+V50+V62</f>
        <v>0</v>
      </c>
      <c r="X98" s="9" t="s">
        <v>10</v>
      </c>
      <c r="Y98" s="85">
        <f t="shared" ref="Y98:AA98" si="100">Y2+Y14+Y26+Y38+Y50+Y62</f>
        <v>0</v>
      </c>
      <c r="Z98" s="10">
        <f t="shared" si="100"/>
        <v>0</v>
      </c>
      <c r="AA98" s="10">
        <f t="shared" si="100"/>
        <v>0</v>
      </c>
      <c r="AB98" s="86">
        <f t="shared" ref="AB98:AB105" si="112">AA98-Z98</f>
        <v>0</v>
      </c>
      <c r="AC98" s="87">
        <f t="shared" ref="AC98:AC104" si="113">AC2+AC14+AC26+AC38+AC50+AC62</f>
        <v>0</v>
      </c>
      <c r="AE98" s="9" t="s">
        <v>10</v>
      </c>
      <c r="AF98" s="85">
        <f t="shared" ref="AF98:AH98" si="101">AF2+AF14+AF26+AF38+AF50+AF62</f>
        <v>0</v>
      </c>
      <c r="AG98" s="10">
        <f t="shared" si="101"/>
        <v>0</v>
      </c>
      <c r="AH98" s="10">
        <f t="shared" si="101"/>
        <v>0</v>
      </c>
      <c r="AI98" s="86">
        <f t="shared" ref="AI98:AI105" si="115">AH98-AG98</f>
        <v>0</v>
      </c>
      <c r="AJ98" s="87">
        <f t="shared" ref="AJ98:AJ104" si="116">AJ2+AJ14+AJ26+AJ38+AJ50+AJ62</f>
        <v>0</v>
      </c>
    </row>
    <row r="99">
      <c r="C99" s="9" t="s">
        <v>12</v>
      </c>
      <c r="D99" s="85">
        <f t="shared" ref="D99:F99" si="102">D3+D15+D27+D39+D51+D63</f>
        <v>0</v>
      </c>
      <c r="E99" s="10">
        <f t="shared" si="102"/>
        <v>0</v>
      </c>
      <c r="F99" s="10">
        <f t="shared" si="102"/>
        <v>0</v>
      </c>
      <c r="G99" s="86">
        <f t="shared" si="103"/>
        <v>0</v>
      </c>
      <c r="H99" s="87">
        <f t="shared" si="104"/>
        <v>0</v>
      </c>
      <c r="J99" s="9" t="s">
        <v>12</v>
      </c>
      <c r="K99" s="85">
        <f t="shared" ref="K99:M99" si="105">K3+K15+K27+K39+K51+K63</f>
        <v>0</v>
      </c>
      <c r="L99" s="10">
        <f t="shared" si="105"/>
        <v>0</v>
      </c>
      <c r="M99" s="10">
        <f t="shared" si="105"/>
        <v>0</v>
      </c>
      <c r="N99" s="86">
        <f t="shared" si="106"/>
        <v>0</v>
      </c>
      <c r="O99" s="87">
        <f t="shared" si="107"/>
        <v>0</v>
      </c>
      <c r="Q99" s="9" t="s">
        <v>12</v>
      </c>
      <c r="R99" s="85">
        <f t="shared" ref="R99:T99" si="108">R3+R15+R27+R39+R51+R63</f>
        <v>0</v>
      </c>
      <c r="S99" s="10">
        <f t="shared" si="108"/>
        <v>0</v>
      </c>
      <c r="T99" s="10">
        <f t="shared" si="108"/>
        <v>0</v>
      </c>
      <c r="U99" s="86">
        <f t="shared" si="109"/>
        <v>0</v>
      </c>
      <c r="V99" s="87">
        <f t="shared" si="110"/>
        <v>0</v>
      </c>
      <c r="X99" s="9" t="s">
        <v>12</v>
      </c>
      <c r="Y99" s="85">
        <f t="shared" ref="Y99:AA99" si="111">Y3+Y15+Y27+Y39+Y51+Y63</f>
        <v>0</v>
      </c>
      <c r="Z99" s="10">
        <f t="shared" si="111"/>
        <v>0</v>
      </c>
      <c r="AA99" s="10">
        <f t="shared" si="111"/>
        <v>0</v>
      </c>
      <c r="AB99" s="86">
        <f t="shared" si="112"/>
        <v>0</v>
      </c>
      <c r="AC99" s="87">
        <f t="shared" si="113"/>
        <v>0</v>
      </c>
      <c r="AE99" s="9" t="s">
        <v>12</v>
      </c>
      <c r="AF99" s="85">
        <f t="shared" ref="AF99:AH99" si="114">AF3+AF15+AF27+AF39+AF51+AF63</f>
        <v>0</v>
      </c>
      <c r="AG99" s="10">
        <f t="shared" si="114"/>
        <v>0</v>
      </c>
      <c r="AH99" s="10">
        <f t="shared" si="114"/>
        <v>0</v>
      </c>
      <c r="AI99" s="86">
        <f t="shared" si="115"/>
        <v>0</v>
      </c>
      <c r="AJ99" s="87">
        <f t="shared" si="116"/>
        <v>0</v>
      </c>
    </row>
    <row r="100">
      <c r="C100" s="9" t="s">
        <v>14</v>
      </c>
      <c r="D100" s="85">
        <f t="shared" ref="D100:F100" si="117">D4+D16+D28+D40+D52+D64</f>
        <v>0</v>
      </c>
      <c r="E100" s="10">
        <f t="shared" si="117"/>
        <v>0</v>
      </c>
      <c r="F100" s="10">
        <f t="shared" si="117"/>
        <v>0</v>
      </c>
      <c r="G100" s="86">
        <f t="shared" si="103"/>
        <v>0</v>
      </c>
      <c r="H100" s="87">
        <f t="shared" si="104"/>
        <v>0</v>
      </c>
      <c r="J100" s="9" t="s">
        <v>14</v>
      </c>
      <c r="K100" s="85">
        <f t="shared" ref="K100:M100" si="118">K4+K16+K28+K40+K52+K64</f>
        <v>0</v>
      </c>
      <c r="L100" s="10">
        <f t="shared" si="118"/>
        <v>0</v>
      </c>
      <c r="M100" s="10">
        <f t="shared" si="118"/>
        <v>0</v>
      </c>
      <c r="N100" s="86">
        <f t="shared" si="106"/>
        <v>0</v>
      </c>
      <c r="O100" s="87">
        <f t="shared" si="107"/>
        <v>0</v>
      </c>
      <c r="Q100" s="9" t="s">
        <v>14</v>
      </c>
      <c r="R100" s="85">
        <f t="shared" ref="R100:T100" si="119">R4+R16+R28+R40+R52+R64</f>
        <v>0</v>
      </c>
      <c r="S100" s="10">
        <f t="shared" si="119"/>
        <v>0</v>
      </c>
      <c r="T100" s="10">
        <f t="shared" si="119"/>
        <v>0</v>
      </c>
      <c r="U100" s="86">
        <f t="shared" si="109"/>
        <v>0</v>
      </c>
      <c r="V100" s="87">
        <f t="shared" si="110"/>
        <v>0</v>
      </c>
      <c r="X100" s="9" t="s">
        <v>14</v>
      </c>
      <c r="Y100" s="85">
        <f t="shared" ref="Y100:AA100" si="120">Y4+Y16+Y28+Y40+Y52+Y64</f>
        <v>0</v>
      </c>
      <c r="Z100" s="10">
        <f t="shared" si="120"/>
        <v>0</v>
      </c>
      <c r="AA100" s="10">
        <f t="shared" si="120"/>
        <v>0</v>
      </c>
      <c r="AB100" s="86">
        <f t="shared" si="112"/>
        <v>0</v>
      </c>
      <c r="AC100" s="87">
        <f t="shared" si="113"/>
        <v>0</v>
      </c>
      <c r="AE100" s="9" t="s">
        <v>14</v>
      </c>
      <c r="AF100" s="85">
        <f t="shared" ref="AF100:AH100" si="121">AF4+AF16+AF28+AF40+AF52+AF64</f>
        <v>0</v>
      </c>
      <c r="AG100" s="10">
        <f t="shared" si="121"/>
        <v>0</v>
      </c>
      <c r="AH100" s="10">
        <f t="shared" si="121"/>
        <v>0</v>
      </c>
      <c r="AI100" s="86">
        <f t="shared" si="115"/>
        <v>0</v>
      </c>
      <c r="AJ100" s="87">
        <f t="shared" si="116"/>
        <v>0</v>
      </c>
    </row>
    <row r="101">
      <c r="C101" s="9" t="s">
        <v>16</v>
      </c>
      <c r="D101" s="85">
        <f t="shared" ref="D101:F101" si="122">D5+D17+D29+D41+D53+D65</f>
        <v>0</v>
      </c>
      <c r="E101" s="10">
        <f t="shared" si="122"/>
        <v>0</v>
      </c>
      <c r="F101" s="10">
        <f t="shared" si="122"/>
        <v>0</v>
      </c>
      <c r="G101" s="86">
        <f t="shared" si="103"/>
        <v>0</v>
      </c>
      <c r="H101" s="87">
        <f t="shared" si="104"/>
        <v>0</v>
      </c>
      <c r="J101" s="9" t="s">
        <v>16</v>
      </c>
      <c r="K101" s="85">
        <f t="shared" ref="K101:M101" si="123">K5+K17+K29+K41+K53+K65</f>
        <v>0</v>
      </c>
      <c r="L101" s="10">
        <f t="shared" si="123"/>
        <v>0</v>
      </c>
      <c r="M101" s="10">
        <f t="shared" si="123"/>
        <v>0</v>
      </c>
      <c r="N101" s="86">
        <f t="shared" si="106"/>
        <v>0</v>
      </c>
      <c r="O101" s="87">
        <f t="shared" si="107"/>
        <v>0</v>
      </c>
      <c r="Q101" s="9" t="s">
        <v>16</v>
      </c>
      <c r="R101" s="85">
        <f t="shared" ref="R101:T101" si="124">R5+R17+R29+R41+R53+R65</f>
        <v>0</v>
      </c>
      <c r="S101" s="10">
        <f t="shared" si="124"/>
        <v>0</v>
      </c>
      <c r="T101" s="10">
        <f t="shared" si="124"/>
        <v>0</v>
      </c>
      <c r="U101" s="86">
        <f t="shared" si="109"/>
        <v>0</v>
      </c>
      <c r="V101" s="87">
        <f t="shared" si="110"/>
        <v>0</v>
      </c>
      <c r="X101" s="9" t="s">
        <v>16</v>
      </c>
      <c r="Y101" s="85">
        <f t="shared" ref="Y101:AA101" si="125">Y5+Y17+Y29+Y41+Y53+Y65</f>
        <v>0</v>
      </c>
      <c r="Z101" s="10">
        <f t="shared" si="125"/>
        <v>0</v>
      </c>
      <c r="AA101" s="10">
        <f t="shared" si="125"/>
        <v>0</v>
      </c>
      <c r="AB101" s="86">
        <f t="shared" si="112"/>
        <v>0</v>
      </c>
      <c r="AC101" s="87">
        <f t="shared" si="113"/>
        <v>0</v>
      </c>
      <c r="AE101" s="9" t="s">
        <v>16</v>
      </c>
      <c r="AF101" s="85">
        <f t="shared" ref="AF101:AH101" si="126">AF5+AF17+AF29+AF41+AF53+AF65</f>
        <v>0</v>
      </c>
      <c r="AG101" s="10">
        <f t="shared" si="126"/>
        <v>0</v>
      </c>
      <c r="AH101" s="10">
        <f t="shared" si="126"/>
        <v>0</v>
      </c>
      <c r="AI101" s="86">
        <f t="shared" si="115"/>
        <v>0</v>
      </c>
      <c r="AJ101" s="87">
        <f t="shared" si="116"/>
        <v>0</v>
      </c>
    </row>
    <row r="102">
      <c r="C102" s="9" t="s">
        <v>17</v>
      </c>
      <c r="D102" s="85">
        <f t="shared" ref="D102:F102" si="127">D6+D18+D30+D42+D54+D66</f>
        <v>0</v>
      </c>
      <c r="E102" s="10">
        <f t="shared" si="127"/>
        <v>0</v>
      </c>
      <c r="F102" s="10">
        <f t="shared" si="127"/>
        <v>0</v>
      </c>
      <c r="G102" s="86">
        <f t="shared" si="103"/>
        <v>0</v>
      </c>
      <c r="H102" s="87">
        <f t="shared" si="104"/>
        <v>0</v>
      </c>
      <c r="J102" s="9" t="s">
        <v>17</v>
      </c>
      <c r="K102" s="85">
        <f t="shared" ref="K102:M102" si="128">K6+K18+K30+K42+K54+K66</f>
        <v>0</v>
      </c>
      <c r="L102" s="10">
        <f t="shared" si="128"/>
        <v>0</v>
      </c>
      <c r="M102" s="10">
        <f t="shared" si="128"/>
        <v>0</v>
      </c>
      <c r="N102" s="86">
        <f t="shared" si="106"/>
        <v>0</v>
      </c>
      <c r="O102" s="87">
        <f t="shared" si="107"/>
        <v>0</v>
      </c>
      <c r="Q102" s="9" t="s">
        <v>17</v>
      </c>
      <c r="R102" s="85">
        <f t="shared" ref="R102:T102" si="129">R6+R18+R30+R42+R54+R66</f>
        <v>0</v>
      </c>
      <c r="S102" s="10">
        <f t="shared" si="129"/>
        <v>0</v>
      </c>
      <c r="T102" s="10">
        <f t="shared" si="129"/>
        <v>0</v>
      </c>
      <c r="U102" s="86">
        <f t="shared" si="109"/>
        <v>0</v>
      </c>
      <c r="V102" s="87">
        <f t="shared" si="110"/>
        <v>0</v>
      </c>
      <c r="X102" s="9" t="s">
        <v>17</v>
      </c>
      <c r="Y102" s="85">
        <f t="shared" ref="Y102:AA102" si="130">Y6+Y18+Y30+Y42+Y54+Y66</f>
        <v>0</v>
      </c>
      <c r="Z102" s="10">
        <f t="shared" si="130"/>
        <v>0</v>
      </c>
      <c r="AA102" s="10">
        <f t="shared" si="130"/>
        <v>0</v>
      </c>
      <c r="AB102" s="86">
        <f t="shared" si="112"/>
        <v>0</v>
      </c>
      <c r="AC102" s="87">
        <f t="shared" si="113"/>
        <v>0</v>
      </c>
      <c r="AE102" s="9" t="s">
        <v>17</v>
      </c>
      <c r="AF102" s="85">
        <f t="shared" ref="AF102:AH102" si="131">AF6+AF18+AF30+AF42+AF54+AF66</f>
        <v>0</v>
      </c>
      <c r="AG102" s="10">
        <f t="shared" si="131"/>
        <v>0</v>
      </c>
      <c r="AH102" s="10">
        <f t="shared" si="131"/>
        <v>0</v>
      </c>
      <c r="AI102" s="86">
        <f t="shared" si="115"/>
        <v>0</v>
      </c>
      <c r="AJ102" s="87">
        <f t="shared" si="116"/>
        <v>0</v>
      </c>
    </row>
    <row r="103">
      <c r="C103" s="9" t="s">
        <v>18</v>
      </c>
      <c r="D103" s="85">
        <f t="shared" ref="D103:F103" si="132">D7+D19+D31+D43+D55+D67</f>
        <v>0</v>
      </c>
      <c r="E103" s="85">
        <f t="shared" si="132"/>
        <v>0</v>
      </c>
      <c r="F103" s="85">
        <f t="shared" si="132"/>
        <v>0</v>
      </c>
      <c r="G103" s="86">
        <f t="shared" si="103"/>
        <v>0</v>
      </c>
      <c r="H103" s="87">
        <f t="shared" si="104"/>
        <v>0</v>
      </c>
      <c r="J103" s="9" t="s">
        <v>18</v>
      </c>
      <c r="K103" s="85">
        <f t="shared" ref="K103:M103" si="133">K7+K19+K31+K43+K55+K67</f>
        <v>0</v>
      </c>
      <c r="L103" s="85">
        <f t="shared" si="133"/>
        <v>0</v>
      </c>
      <c r="M103" s="85">
        <f t="shared" si="133"/>
        <v>0</v>
      </c>
      <c r="N103" s="86">
        <f t="shared" si="106"/>
        <v>0</v>
      </c>
      <c r="O103" s="87">
        <f t="shared" si="107"/>
        <v>0</v>
      </c>
      <c r="Q103" s="9" t="s">
        <v>18</v>
      </c>
      <c r="R103" s="85">
        <f t="shared" ref="R103:T103" si="134">R7+R19+R31+R43+R55+R67</f>
        <v>0</v>
      </c>
      <c r="S103" s="85">
        <f t="shared" si="134"/>
        <v>0</v>
      </c>
      <c r="T103" s="85">
        <f t="shared" si="134"/>
        <v>0</v>
      </c>
      <c r="U103" s="86">
        <f t="shared" si="109"/>
        <v>0</v>
      </c>
      <c r="V103" s="87">
        <f t="shared" si="110"/>
        <v>0</v>
      </c>
      <c r="X103" s="9" t="s">
        <v>18</v>
      </c>
      <c r="Y103" s="85">
        <f t="shared" ref="Y103:AA103" si="135">Y7+Y19+Y31+Y43+Y55+Y67</f>
        <v>0</v>
      </c>
      <c r="Z103" s="85">
        <f t="shared" si="135"/>
        <v>0</v>
      </c>
      <c r="AA103" s="85">
        <f t="shared" si="135"/>
        <v>0</v>
      </c>
      <c r="AB103" s="86">
        <f t="shared" si="112"/>
        <v>0</v>
      </c>
      <c r="AC103" s="87">
        <f t="shared" si="113"/>
        <v>0</v>
      </c>
      <c r="AE103" s="9" t="s">
        <v>18</v>
      </c>
      <c r="AF103" s="85">
        <f t="shared" ref="AF103:AH103" si="136">AF7+AF19+AF31+AF43+AF55+AF67</f>
        <v>0</v>
      </c>
      <c r="AG103" s="85">
        <f t="shared" si="136"/>
        <v>0</v>
      </c>
      <c r="AH103" s="85">
        <f t="shared" si="136"/>
        <v>0</v>
      </c>
      <c r="AI103" s="86">
        <f t="shared" si="115"/>
        <v>0</v>
      </c>
      <c r="AJ103" s="87">
        <f t="shared" si="116"/>
        <v>0</v>
      </c>
    </row>
    <row r="104">
      <c r="C104" s="9" t="s">
        <v>19</v>
      </c>
      <c r="D104" s="85">
        <f t="shared" ref="D104:F104" si="137">D8+D20+D32+D44+D56+D68</f>
        <v>0</v>
      </c>
      <c r="E104" s="10">
        <f t="shared" si="137"/>
        <v>0</v>
      </c>
      <c r="F104" s="10">
        <f t="shared" si="137"/>
        <v>0</v>
      </c>
      <c r="G104" s="86">
        <f t="shared" si="103"/>
        <v>0</v>
      </c>
      <c r="H104" s="87">
        <f t="shared" si="104"/>
        <v>0</v>
      </c>
      <c r="J104" s="9" t="s">
        <v>19</v>
      </c>
      <c r="K104" s="85">
        <f t="shared" ref="K104:M104" si="138">K8+K20+K32+K44+K56+K68</f>
        <v>0</v>
      </c>
      <c r="L104" s="10">
        <f t="shared" si="138"/>
        <v>0</v>
      </c>
      <c r="M104" s="10">
        <f t="shared" si="138"/>
        <v>0</v>
      </c>
      <c r="N104" s="86">
        <f t="shared" si="106"/>
        <v>0</v>
      </c>
      <c r="O104" s="87">
        <f t="shared" si="107"/>
        <v>0</v>
      </c>
      <c r="Q104" s="9" t="s">
        <v>19</v>
      </c>
      <c r="R104" s="85">
        <f t="shared" ref="R104:T104" si="139">R8+R20+R32+R44+R56+R68</f>
        <v>0</v>
      </c>
      <c r="S104" s="10">
        <f t="shared" si="139"/>
        <v>0</v>
      </c>
      <c r="T104" s="10">
        <f t="shared" si="139"/>
        <v>0</v>
      </c>
      <c r="U104" s="86">
        <f t="shared" si="109"/>
        <v>0</v>
      </c>
      <c r="V104" s="87">
        <f t="shared" si="110"/>
        <v>0</v>
      </c>
      <c r="X104" s="9" t="s">
        <v>19</v>
      </c>
      <c r="Y104" s="85">
        <f t="shared" ref="Y104:AA104" si="140">Y8+Y20+Y32+Y44+Y56+Y68</f>
        <v>0</v>
      </c>
      <c r="Z104" s="10">
        <f t="shared" si="140"/>
        <v>0</v>
      </c>
      <c r="AA104" s="10">
        <f t="shared" si="140"/>
        <v>0</v>
      </c>
      <c r="AB104" s="86">
        <f t="shared" si="112"/>
        <v>0</v>
      </c>
      <c r="AC104" s="87">
        <f t="shared" si="113"/>
        <v>0</v>
      </c>
      <c r="AE104" s="9" t="s">
        <v>19</v>
      </c>
      <c r="AF104" s="85">
        <f t="shared" ref="AF104:AH104" si="141">AF8+AF20+AF32+AF44+AF56+AF68</f>
        <v>0</v>
      </c>
      <c r="AG104" s="10">
        <f t="shared" si="141"/>
        <v>0</v>
      </c>
      <c r="AH104" s="10">
        <f t="shared" si="141"/>
        <v>0</v>
      </c>
      <c r="AI104" s="86">
        <f t="shared" si="115"/>
        <v>0</v>
      </c>
      <c r="AJ104" s="87">
        <f t="shared" si="116"/>
        <v>0</v>
      </c>
    </row>
    <row r="105">
      <c r="C105" s="26" t="s">
        <v>21</v>
      </c>
      <c r="D105" s="85">
        <f t="shared" ref="D105:F105" si="142">D9+D21+D33+D45+D57+D69+D81</f>
        <v>0</v>
      </c>
      <c r="E105" s="10">
        <f t="shared" si="142"/>
        <v>0</v>
      </c>
      <c r="F105" s="10">
        <f t="shared" si="142"/>
        <v>0</v>
      </c>
      <c r="G105" s="86">
        <f t="shared" si="103"/>
        <v>0</v>
      </c>
      <c r="H105" s="87">
        <f>H9+H21+H33+H45+H57+H69+H81</f>
        <v>0</v>
      </c>
      <c r="J105" s="26" t="s">
        <v>21</v>
      </c>
      <c r="K105" s="85">
        <f t="shared" ref="K105:M105" si="143">K9+K21+K33+K45+K57+K69+K81</f>
        <v>0</v>
      </c>
      <c r="L105" s="10">
        <f t="shared" si="143"/>
        <v>0</v>
      </c>
      <c r="M105" s="10">
        <f t="shared" si="143"/>
        <v>0</v>
      </c>
      <c r="N105" s="86">
        <f t="shared" si="106"/>
        <v>0</v>
      </c>
      <c r="O105" s="87">
        <f>O9+O21+O33+O45+O57+O69+O81</f>
        <v>0</v>
      </c>
      <c r="Q105" s="26" t="s">
        <v>21</v>
      </c>
      <c r="R105" s="85">
        <f t="shared" ref="R105:T105" si="144">R9+R21+R33+R45+R57+R69+R81</f>
        <v>0</v>
      </c>
      <c r="S105" s="10">
        <f t="shared" si="144"/>
        <v>0</v>
      </c>
      <c r="T105" s="10">
        <f t="shared" si="144"/>
        <v>0</v>
      </c>
      <c r="U105" s="86">
        <f t="shared" si="109"/>
        <v>0</v>
      </c>
      <c r="V105" s="87">
        <f>V9+V21+V33+V45+V57+V69+V81</f>
        <v>0</v>
      </c>
      <c r="X105" s="26" t="s">
        <v>21</v>
      </c>
      <c r="Y105" s="85">
        <f t="shared" ref="Y105:AA105" si="145">Y9+Y21+Y33+Y45+Y57+Y69+Y81</f>
        <v>0</v>
      </c>
      <c r="Z105" s="10">
        <f t="shared" si="145"/>
        <v>0</v>
      </c>
      <c r="AA105" s="10">
        <f t="shared" si="145"/>
        <v>0</v>
      </c>
      <c r="AB105" s="86">
        <f t="shared" si="112"/>
        <v>0</v>
      </c>
      <c r="AC105" s="87">
        <f>AC9+AC21+AC33+AC45+AC57+AC69+AC81</f>
        <v>0</v>
      </c>
      <c r="AE105" s="26" t="s">
        <v>21</v>
      </c>
      <c r="AF105" s="85">
        <f t="shared" ref="AF105:AH105" si="146">AF9+AF21+AF33+AF45+AF57+AF69+AF81</f>
        <v>0</v>
      </c>
      <c r="AG105" s="10">
        <f t="shared" si="146"/>
        <v>0</v>
      </c>
      <c r="AH105" s="10">
        <f t="shared" si="146"/>
        <v>0</v>
      </c>
      <c r="AI105" s="86">
        <f t="shared" si="115"/>
        <v>0</v>
      </c>
      <c r="AJ105" s="87">
        <f>AJ9+AJ21+AJ33+AJ45+AJ57+AJ69+AJ81</f>
        <v>0</v>
      </c>
    </row>
    <row r="106">
      <c r="C106" s="88" t="s">
        <v>57</v>
      </c>
      <c r="D106" s="41">
        <f t="array" ref="D106">D98+D99+D100+D101+D102+D103+D104+D105</f>
        <v>0</v>
      </c>
      <c r="E106" s="42">
        <f t="array" ref="E106">E98+E99+E100+E101+E102+E103+E104+E105</f>
        <v>0</v>
      </c>
      <c r="F106" s="43">
        <f t="array" ref="F106">F98+F99+F100+F101+F102+F103+F104+F105</f>
        <v>0</v>
      </c>
      <c r="G106" s="89">
        <f t="array" ref="G106">G98+G99+G100+G101+G102+G103+G104+G105</f>
        <v>0</v>
      </c>
      <c r="H106" s="44">
        <f t="array" ref="H106">H98+H99+H100+H101+H102+H103+H104+H105</f>
        <v>0</v>
      </c>
      <c r="J106" s="88" t="s">
        <v>57</v>
      </c>
      <c r="K106" s="41">
        <f t="array" ref="K106">K98+K99+K100+K101+K102+K103+K104+K105</f>
        <v>0</v>
      </c>
      <c r="L106" s="42">
        <f t="array" ref="L106">L98+L99+L100+L101+L102+L103+L104+L105</f>
        <v>0</v>
      </c>
      <c r="M106" s="43">
        <f t="array" ref="M106">M98+M99+M100+M101+M102+M103+M104+M105</f>
        <v>0</v>
      </c>
      <c r="N106" s="89">
        <f t="array" ref="N106">N98+N99+N100+N101+N102+N103+N104+N105</f>
        <v>0</v>
      </c>
      <c r="O106" s="44">
        <f t="array" ref="O106">O98+O99+O100+O101+O102+O103+O104+O105</f>
        <v>0</v>
      </c>
      <c r="Q106" s="88" t="s">
        <v>57</v>
      </c>
      <c r="R106" s="41">
        <f t="array" ref="R106">R98+R99+R100+R101+R102+R103+R104+R105</f>
        <v>0</v>
      </c>
      <c r="S106" s="42">
        <f t="array" ref="S106">S98+S99+S100+S101+S102+S103+S104+S105</f>
        <v>0</v>
      </c>
      <c r="T106" s="43">
        <f t="array" ref="T106">T98+T99+T100+T101+T102+T103+T104+T105</f>
        <v>0</v>
      </c>
      <c r="U106" s="89">
        <f t="array" ref="U106">U98+U99+U100+U101+U102+U103+U104+U105</f>
        <v>0</v>
      </c>
      <c r="V106" s="44">
        <f t="array" ref="V106">V98+V99+V100+V101+V102+V103+V104+V105</f>
        <v>0</v>
      </c>
      <c r="X106" s="88" t="s">
        <v>57</v>
      </c>
      <c r="Y106" s="41">
        <f t="array" ref="Y106">Y98+Y99+Y100+Y101+Y102+Y103+Y104+Y105</f>
        <v>0</v>
      </c>
      <c r="Z106" s="42">
        <f t="array" ref="Z106">Z98+Z99+Z100+Z101+Z102+Z103+Z104+Z105</f>
        <v>0</v>
      </c>
      <c r="AA106" s="43">
        <f t="array" ref="AA106">AA98+AA99+AA100+AA101+AA102+AA103+AA104+AA105</f>
        <v>0</v>
      </c>
      <c r="AB106" s="89">
        <f t="array" ref="AB106">AB98+AB99+AB100+AB101+AB102+AB103+AB104+AB105</f>
        <v>0</v>
      </c>
      <c r="AC106" s="44">
        <f t="array" ref="AC106">AC98+AC99+AC100+AC101+AC102+AC103+AC104+AC105</f>
        <v>0</v>
      </c>
      <c r="AE106" s="88" t="s">
        <v>57</v>
      </c>
      <c r="AF106" s="41">
        <f t="array" ref="AF106">AF98+AF99+AF100+AF101+AF102+AF103+AF104+AF105</f>
        <v>0</v>
      </c>
      <c r="AG106" s="42">
        <f t="array" ref="AG106">AG98+AG99+AG100+AG101+AG102+AG103+AG104+AG105</f>
        <v>0</v>
      </c>
      <c r="AH106" s="43">
        <f t="array" ref="AH106">AH98+AH99+AH100+AH101+AH102+AH103+AH104+AH105</f>
        <v>0</v>
      </c>
      <c r="AI106" s="89">
        <f t="array" ref="AI106">AI98+AI99+AI100+AI101+AI102+AI103+AI104+AI105</f>
        <v>0</v>
      </c>
      <c r="AJ106" s="44">
        <f t="array" ref="AJ106">AJ98+AJ99+AJ100+AJ101+AJ102+AJ103+AJ104+AJ105</f>
        <v>0</v>
      </c>
    </row>
    <row r="107">
      <c r="A107" s="55"/>
      <c r="B107" s="55"/>
      <c r="C107" s="90" t="s">
        <v>58</v>
      </c>
      <c r="D107" s="91">
        <f t="shared" ref="D107:H107" si="147">D106/6</f>
        <v>0</v>
      </c>
      <c r="E107" s="92">
        <f t="shared" si="147"/>
        <v>0</v>
      </c>
      <c r="F107" s="93">
        <f t="shared" si="147"/>
        <v>0</v>
      </c>
      <c r="G107" s="89">
        <f t="shared" si="147"/>
        <v>0</v>
      </c>
      <c r="H107" s="94">
        <f t="shared" si="147"/>
        <v>0</v>
      </c>
      <c r="I107" s="55"/>
      <c r="J107" s="90" t="s">
        <v>58</v>
      </c>
      <c r="K107" s="91">
        <f t="shared" ref="K107:O107" si="148">K106/6</f>
        <v>0</v>
      </c>
      <c r="L107" s="92">
        <f t="shared" si="148"/>
        <v>0</v>
      </c>
      <c r="M107" s="93">
        <f t="shared" si="148"/>
        <v>0</v>
      </c>
      <c r="N107" s="89">
        <f t="shared" si="148"/>
        <v>0</v>
      </c>
      <c r="O107" s="94">
        <f t="shared" si="148"/>
        <v>0</v>
      </c>
      <c r="P107" s="55"/>
      <c r="Q107" s="90" t="s">
        <v>58</v>
      </c>
      <c r="R107" s="91">
        <f t="shared" ref="R107:V107" si="149">R106/6</f>
        <v>0</v>
      </c>
      <c r="S107" s="92">
        <f t="shared" si="149"/>
        <v>0</v>
      </c>
      <c r="T107" s="93">
        <f t="shared" si="149"/>
        <v>0</v>
      </c>
      <c r="U107" s="89">
        <f t="shared" si="149"/>
        <v>0</v>
      </c>
      <c r="V107" s="94">
        <f t="shared" si="149"/>
        <v>0</v>
      </c>
      <c r="W107" s="55"/>
      <c r="X107" s="90" t="s">
        <v>58</v>
      </c>
      <c r="Y107" s="91">
        <f t="shared" ref="Y107:AC107" si="150">Y106/6</f>
        <v>0</v>
      </c>
      <c r="Z107" s="92">
        <f t="shared" si="150"/>
        <v>0</v>
      </c>
      <c r="AA107" s="93">
        <f t="shared" si="150"/>
        <v>0</v>
      </c>
      <c r="AB107" s="89">
        <f t="shared" si="150"/>
        <v>0</v>
      </c>
      <c r="AC107" s="94">
        <f t="shared" si="150"/>
        <v>0</v>
      </c>
      <c r="AD107" s="55"/>
      <c r="AE107" s="90" t="s">
        <v>58</v>
      </c>
      <c r="AF107" s="91">
        <f t="shared" ref="AF107:AJ107" si="151">AF106/6</f>
        <v>0</v>
      </c>
      <c r="AG107" s="92">
        <f t="shared" si="151"/>
        <v>0</v>
      </c>
      <c r="AH107" s="93">
        <f t="shared" si="151"/>
        <v>0</v>
      </c>
      <c r="AI107" s="89">
        <f t="shared" si="151"/>
        <v>0</v>
      </c>
      <c r="AJ107" s="94">
        <f t="shared" si="151"/>
        <v>0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V126" s="55"/>
      <c r="AC126" s="55"/>
      <c r="AJ126" s="55"/>
    </row>
    <row r="127">
      <c r="C127" s="9" t="s">
        <v>10</v>
      </c>
      <c r="D127" s="100">
        <f t="shared" ref="D127:H127" si="152">D98+K98+R98+Y98+AF98</f>
        <v>0</v>
      </c>
      <c r="E127" s="101">
        <f t="shared" si="152"/>
        <v>0</v>
      </c>
      <c r="F127" s="102">
        <f t="shared" si="152"/>
        <v>0</v>
      </c>
      <c r="G127" s="86">
        <f t="shared" si="152"/>
        <v>0</v>
      </c>
      <c r="H127" s="103">
        <f t="shared" si="152"/>
        <v>0</v>
      </c>
      <c r="I127" s="104" t="s">
        <v>71</v>
      </c>
      <c r="J127" s="105">
        <f t="shared" ref="J127:J134" si="154">D98+K98+R98+Y98+AF98</f>
        <v>0</v>
      </c>
      <c r="K127" s="105"/>
      <c r="L127" s="106"/>
      <c r="M127" s="107">
        <f t="shared" ref="M127:M134" si="155">J127/25</f>
        <v>0</v>
      </c>
      <c r="N127" s="107">
        <f t="shared" ref="N127:N134" si="156">(M127*0)+J127</f>
        <v>0</v>
      </c>
      <c r="O127" s="55"/>
      <c r="V127" s="55"/>
      <c r="AC127" s="55"/>
      <c r="AJ127" s="55"/>
    </row>
    <row r="128">
      <c r="C128" s="9" t="s">
        <v>12</v>
      </c>
      <c r="D128" s="100">
        <f t="shared" ref="D128:H128" si="153">D99+K99+R99+Y99+AF99</f>
        <v>0</v>
      </c>
      <c r="E128" s="101">
        <f t="shared" si="153"/>
        <v>0</v>
      </c>
      <c r="F128" s="102">
        <f t="shared" si="153"/>
        <v>0</v>
      </c>
      <c r="G128" s="86">
        <f t="shared" si="153"/>
        <v>0</v>
      </c>
      <c r="H128" s="103">
        <f t="shared" si="153"/>
        <v>0</v>
      </c>
      <c r="I128" s="104" t="s">
        <v>72</v>
      </c>
      <c r="J128" s="105">
        <f t="shared" si="154"/>
        <v>0</v>
      </c>
      <c r="K128" s="105"/>
      <c r="L128" s="9"/>
      <c r="M128" s="107">
        <f t="shared" si="155"/>
        <v>0</v>
      </c>
      <c r="N128" s="107">
        <f t="shared" si="156"/>
        <v>0</v>
      </c>
      <c r="O128" s="55"/>
      <c r="V128" s="55"/>
      <c r="AC128" s="55"/>
      <c r="AJ128" s="55"/>
    </row>
    <row r="129">
      <c r="C129" s="9" t="s">
        <v>14</v>
      </c>
      <c r="D129" s="100">
        <f t="shared" ref="D129:H129" si="157">D100+K100+R100+Y100+AF100</f>
        <v>0</v>
      </c>
      <c r="E129" s="101">
        <f t="shared" si="157"/>
        <v>0</v>
      </c>
      <c r="F129" s="102">
        <f t="shared" si="157"/>
        <v>0</v>
      </c>
      <c r="G129" s="86">
        <f t="shared" si="157"/>
        <v>0</v>
      </c>
      <c r="H129" s="103">
        <f t="shared" si="157"/>
        <v>0</v>
      </c>
      <c r="I129" s="104" t="s">
        <v>73</v>
      </c>
      <c r="J129" s="105">
        <f t="shared" si="154"/>
        <v>0</v>
      </c>
      <c r="K129" s="105"/>
      <c r="L129" s="9"/>
      <c r="M129" s="107">
        <f t="shared" si="155"/>
        <v>0</v>
      </c>
      <c r="N129" s="107">
        <f t="shared" si="156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58">D101+K101+R101+Y101+AF101</f>
        <v>0</v>
      </c>
      <c r="E130" s="101">
        <f t="shared" si="158"/>
        <v>0</v>
      </c>
      <c r="F130" s="102">
        <f t="shared" si="158"/>
        <v>0</v>
      </c>
      <c r="G130" s="86">
        <f t="shared" si="158"/>
        <v>0</v>
      </c>
      <c r="H130" s="103">
        <f t="shared" si="158"/>
        <v>0</v>
      </c>
      <c r="I130" s="104" t="s">
        <v>74</v>
      </c>
      <c r="J130" s="105">
        <f t="shared" si="154"/>
        <v>0</v>
      </c>
      <c r="K130" s="105"/>
      <c r="L130" s="106"/>
      <c r="M130" s="107">
        <f t="shared" si="155"/>
        <v>0</v>
      </c>
      <c r="N130" s="107">
        <f t="shared" si="156"/>
        <v>0</v>
      </c>
      <c r="O130" s="55"/>
      <c r="V130" s="55"/>
      <c r="AC130" s="55"/>
      <c r="AJ130" s="55"/>
    </row>
    <row r="131">
      <c r="C131" s="9" t="s">
        <v>17</v>
      </c>
      <c r="D131" s="100">
        <f t="shared" ref="D131:H131" si="159">D102+K102+R102+Y102+AF102</f>
        <v>0</v>
      </c>
      <c r="E131" s="101">
        <f t="shared" si="159"/>
        <v>0</v>
      </c>
      <c r="F131" s="102">
        <f t="shared" si="159"/>
        <v>0</v>
      </c>
      <c r="G131" s="86">
        <f t="shared" si="159"/>
        <v>0</v>
      </c>
      <c r="H131" s="103">
        <f t="shared" si="159"/>
        <v>0</v>
      </c>
      <c r="I131" s="104" t="s">
        <v>75</v>
      </c>
      <c r="J131" s="105">
        <f t="shared" si="154"/>
        <v>0</v>
      </c>
      <c r="K131" s="105"/>
      <c r="L131" s="9"/>
      <c r="M131" s="107">
        <f t="shared" si="155"/>
        <v>0</v>
      </c>
      <c r="N131" s="107">
        <f t="shared" si="156"/>
        <v>0</v>
      </c>
      <c r="O131" s="55"/>
      <c r="V131" s="55"/>
      <c r="AC131" s="55"/>
      <c r="AJ131" s="55"/>
    </row>
    <row r="132">
      <c r="C132" s="9" t="s">
        <v>18</v>
      </c>
      <c r="D132" s="13">
        <f t="shared" ref="D132:H132" si="160">D103+K103+R103+Y103+AF103</f>
        <v>0</v>
      </c>
      <c r="E132" s="21">
        <f t="shared" si="160"/>
        <v>0</v>
      </c>
      <c r="F132" s="17">
        <f t="shared" si="160"/>
        <v>0</v>
      </c>
      <c r="G132" s="16">
        <f t="shared" si="160"/>
        <v>0</v>
      </c>
      <c r="H132" s="109">
        <f t="shared" si="160"/>
        <v>0</v>
      </c>
      <c r="I132" s="104" t="s">
        <v>76</v>
      </c>
      <c r="J132" s="105">
        <f t="shared" si="154"/>
        <v>0</v>
      </c>
      <c r="K132" s="105"/>
      <c r="L132" s="9"/>
      <c r="M132" s="107">
        <f t="shared" si="155"/>
        <v>0</v>
      </c>
      <c r="N132" s="107">
        <f t="shared" si="156"/>
        <v>0</v>
      </c>
      <c r="O132" s="55"/>
      <c r="V132" s="55"/>
      <c r="AC132" s="55"/>
      <c r="AJ132" s="55"/>
    </row>
    <row r="133">
      <c r="C133" s="9" t="s">
        <v>19</v>
      </c>
      <c r="D133" s="100">
        <f t="shared" ref="D133:H133" si="161">D104+K104+R104+Y104+AF104</f>
        <v>0</v>
      </c>
      <c r="E133" s="101">
        <f t="shared" si="161"/>
        <v>0</v>
      </c>
      <c r="F133" s="102">
        <f t="shared" si="161"/>
        <v>0</v>
      </c>
      <c r="G133" s="86">
        <f t="shared" si="161"/>
        <v>0</v>
      </c>
      <c r="H133" s="103">
        <f t="shared" si="161"/>
        <v>0</v>
      </c>
      <c r="I133" s="104" t="s">
        <v>77</v>
      </c>
      <c r="J133" s="105">
        <f t="shared" si="154"/>
        <v>0</v>
      </c>
      <c r="K133" s="105"/>
      <c r="L133" s="106"/>
      <c r="M133" s="107">
        <f t="shared" si="155"/>
        <v>0</v>
      </c>
      <c r="N133" s="107">
        <f t="shared" si="156"/>
        <v>0</v>
      </c>
      <c r="O133" s="55"/>
      <c r="V133" s="55"/>
      <c r="AC133" s="55"/>
      <c r="AJ133" s="55"/>
    </row>
    <row r="134">
      <c r="C134" s="26" t="s">
        <v>22</v>
      </c>
      <c r="D134" s="100">
        <f t="shared" ref="D134:H134" si="162">D105+K105+R105+Y105+AF105</f>
        <v>0</v>
      </c>
      <c r="E134" s="101">
        <f t="shared" si="162"/>
        <v>0</v>
      </c>
      <c r="F134" s="102">
        <f t="shared" si="162"/>
        <v>0</v>
      </c>
      <c r="G134" s="86">
        <f t="shared" si="162"/>
        <v>0</v>
      </c>
      <c r="H134" s="103">
        <f t="shared" si="162"/>
        <v>0</v>
      </c>
      <c r="I134" s="104" t="s">
        <v>78</v>
      </c>
      <c r="J134" s="105">
        <f t="shared" si="154"/>
        <v>0</v>
      </c>
      <c r="K134" s="105"/>
      <c r="L134" s="106"/>
      <c r="M134" s="107">
        <f t="shared" si="155"/>
        <v>0</v>
      </c>
      <c r="N134" s="107">
        <f t="shared" si="156"/>
        <v>0</v>
      </c>
      <c r="O134" s="55"/>
      <c r="V134" s="55"/>
      <c r="AC134" s="55"/>
      <c r="AJ134" s="55"/>
    </row>
    <row r="135">
      <c r="C135" s="78"/>
      <c r="I135" s="104" t="s">
        <v>79</v>
      </c>
      <c r="J135" s="105"/>
      <c r="K135" s="105"/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/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/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/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0</v>
      </c>
      <c r="K139" s="112">
        <f>SUM(K127+K128+K129+K130+K131+K132+K133+K134+K135+K136+K137+K138)</f>
        <v>0</v>
      </c>
      <c r="L139" s="113"/>
      <c r="M139" s="112">
        <f t="shared" ref="M139:N139" si="163">SUM(M127+M128+M129+M130+M131+M132+M133+M134)</f>
        <v>0</v>
      </c>
      <c r="N139" s="112">
        <f t="shared" si="163"/>
        <v>0</v>
      </c>
      <c r="O139" s="55"/>
      <c r="V139" s="55"/>
      <c r="AC139" s="55"/>
      <c r="AJ139" s="55"/>
    </row>
    <row r="140">
      <c r="O140" s="55"/>
      <c r="V140" s="55"/>
      <c r="AC140" s="55"/>
      <c r="AJ140" s="55"/>
    </row>
    <row r="141">
      <c r="O141" s="55"/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0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0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0</v>
      </c>
      <c r="E144" s="47"/>
      <c r="F144" s="47"/>
      <c r="G144" s="47"/>
      <c r="H144" s="48"/>
      <c r="L144" s="97" t="s">
        <v>87</v>
      </c>
      <c r="M144" s="114">
        <f>J139+(M139*0)</f>
        <v>0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0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0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0</v>
      </c>
      <c r="E147" s="47"/>
      <c r="F147" s="47"/>
      <c r="G147" s="47"/>
      <c r="H147" s="48"/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0</v>
      </c>
      <c r="E148" s="47"/>
      <c r="F148" s="47"/>
      <c r="G148" s="47"/>
      <c r="H148" s="48"/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0</v>
      </c>
      <c r="E151" s="47"/>
      <c r="F151" s="47"/>
      <c r="G151" s="47"/>
      <c r="H151" s="48"/>
      <c r="L151" s="78" t="s">
        <v>263</v>
      </c>
      <c r="O151" s="55"/>
      <c r="V151" s="55"/>
      <c r="AC151" s="55"/>
      <c r="AJ151" s="55"/>
    </row>
    <row r="152">
      <c r="L152" s="78" t="s">
        <v>264</v>
      </c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0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0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0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D143:G143/25</f>
        <v>0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29"/>
      <c r="Q203" s="9" t="s">
        <v>10</v>
      </c>
      <c r="R203" s="120"/>
      <c r="S203" s="49"/>
      <c r="T203" s="49"/>
      <c r="U203" s="49"/>
      <c r="V203" s="51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9">
        <v>202.0</v>
      </c>
      <c r="R204" s="122"/>
      <c r="S204" s="49"/>
      <c r="T204" s="49"/>
      <c r="U204" s="49"/>
      <c r="V204" s="51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9">
        <v>213.0</v>
      </c>
      <c r="R205" s="122"/>
      <c r="S205" s="49"/>
      <c r="T205" s="49"/>
      <c r="U205" s="49"/>
      <c r="V205" s="51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9">
        <v>307.0</v>
      </c>
      <c r="R206" s="122"/>
      <c r="S206" s="49"/>
      <c r="T206" s="49"/>
      <c r="U206" s="49"/>
      <c r="V206" s="51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9">
        <v>313.0</v>
      </c>
      <c r="R207" s="122"/>
      <c r="S207" s="49"/>
      <c r="T207" s="49"/>
      <c r="U207" s="49"/>
      <c r="V207" s="51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9" t="s">
        <v>19</v>
      </c>
      <c r="R208" s="122"/>
      <c r="S208" s="49"/>
      <c r="T208" s="49"/>
      <c r="U208" s="49"/>
      <c r="V208" s="51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9" t="s">
        <v>22</v>
      </c>
      <c r="R209" s="123"/>
      <c r="S209" s="48"/>
      <c r="T209" s="120"/>
      <c r="U209" s="49"/>
      <c r="V209" s="51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0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0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4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R209:S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2" t="s">
        <v>1</v>
      </c>
      <c r="Y1" s="4" t="s">
        <v>7</v>
      </c>
      <c r="Z1" s="2" t="s">
        <v>3</v>
      </c>
      <c r="AA1" s="2" t="s">
        <v>4</v>
      </c>
      <c r="AB1" s="2" t="s">
        <v>5</v>
      </c>
      <c r="AC1" s="5" t="s">
        <v>6</v>
      </c>
      <c r="AD1" s="2" t="s">
        <v>0</v>
      </c>
      <c r="AE1" s="2" t="s">
        <v>1</v>
      </c>
      <c r="AF1" s="4" t="s">
        <v>7</v>
      </c>
      <c r="AG1" s="2" t="s">
        <v>3</v>
      </c>
      <c r="AH1" s="2" t="s">
        <v>4</v>
      </c>
      <c r="AI1" s="2" t="s">
        <v>5</v>
      </c>
      <c r="AJ1" s="5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>
        <v>45747.0</v>
      </c>
      <c r="C2" s="9" t="s">
        <v>10</v>
      </c>
      <c r="D2" s="10"/>
      <c r="E2" s="10"/>
      <c r="F2" s="10"/>
      <c r="G2" s="10"/>
      <c r="H2" s="11"/>
      <c r="I2" s="12">
        <v>45754.0</v>
      </c>
      <c r="J2" s="15" t="s">
        <v>10</v>
      </c>
      <c r="K2" s="10"/>
      <c r="L2" s="10"/>
      <c r="M2" s="10"/>
      <c r="N2" s="10"/>
      <c r="O2" s="11"/>
      <c r="P2" s="12">
        <v>45761.0</v>
      </c>
      <c r="Q2" s="9" t="s">
        <v>10</v>
      </c>
      <c r="R2" s="10"/>
      <c r="S2" s="10"/>
      <c r="T2" s="10"/>
      <c r="U2" s="10"/>
      <c r="V2" s="11"/>
      <c r="W2" s="167">
        <v>45768.0</v>
      </c>
      <c r="X2" s="287" t="s">
        <v>10</v>
      </c>
      <c r="Y2" s="288"/>
      <c r="Z2" s="288"/>
      <c r="AA2" s="288"/>
      <c r="AB2" s="288"/>
      <c r="AC2" s="289"/>
      <c r="AD2" s="8">
        <v>45775.0</v>
      </c>
      <c r="AE2" s="9"/>
      <c r="AF2" s="10"/>
      <c r="AG2" s="10"/>
      <c r="AH2" s="10"/>
      <c r="AI2" s="10"/>
      <c r="AJ2" s="11"/>
      <c r="AL2" s="18" t="s">
        <v>11</v>
      </c>
      <c r="AM2" s="9" t="s">
        <v>10</v>
      </c>
      <c r="AN2" s="10">
        <f t="shared" ref="AN2:AP2" si="1">D2+K2+R2+Y2+AF2</f>
        <v>0</v>
      </c>
      <c r="AO2" s="10">
        <f t="shared" si="1"/>
        <v>0</v>
      </c>
      <c r="AP2" s="10">
        <f t="shared" si="1"/>
        <v>0</v>
      </c>
      <c r="AQ2" s="11">
        <f t="shared" ref="AQ2:AQ9" si="3">H2+O2+V2+AC2+AJ2</f>
        <v>0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15" t="s">
        <v>12</v>
      </c>
      <c r="K3" s="10"/>
      <c r="L3" s="10"/>
      <c r="M3" s="10"/>
      <c r="N3" s="10"/>
      <c r="O3" s="11"/>
      <c r="P3" s="19"/>
      <c r="Q3" s="9" t="s">
        <v>12</v>
      </c>
      <c r="R3" s="10"/>
      <c r="S3" s="10"/>
      <c r="T3" s="10"/>
      <c r="U3" s="10"/>
      <c r="V3" s="11"/>
      <c r="W3" s="19"/>
      <c r="X3" s="287" t="s">
        <v>12</v>
      </c>
      <c r="Y3" s="288"/>
      <c r="Z3" s="288"/>
      <c r="AA3" s="288"/>
      <c r="AB3" s="288"/>
      <c r="AC3" s="289"/>
      <c r="AD3" s="19"/>
      <c r="AE3" s="9"/>
      <c r="AF3" s="10"/>
      <c r="AG3" s="10"/>
      <c r="AH3" s="10"/>
      <c r="AI3" s="10"/>
      <c r="AJ3" s="11"/>
      <c r="AL3" s="19"/>
      <c r="AM3" s="9" t="s">
        <v>12</v>
      </c>
      <c r="AN3" s="10">
        <f t="shared" ref="AN3:AP3" si="2">D3+K3+R3+Y3+AF3</f>
        <v>0</v>
      </c>
      <c r="AO3" s="10">
        <f t="shared" si="2"/>
        <v>0</v>
      </c>
      <c r="AP3" s="10">
        <f t="shared" si="2"/>
        <v>0</v>
      </c>
      <c r="AQ3" s="11">
        <f t="shared" si="3"/>
        <v>0</v>
      </c>
    </row>
    <row r="4">
      <c r="B4" s="19"/>
      <c r="C4" s="9" t="s">
        <v>14</v>
      </c>
      <c r="D4" s="10"/>
      <c r="E4" s="10"/>
      <c r="F4" s="10"/>
      <c r="G4" s="10"/>
      <c r="H4" s="11"/>
      <c r="I4" s="19"/>
      <c r="J4" s="15" t="s">
        <v>14</v>
      </c>
      <c r="K4" s="10"/>
      <c r="L4" s="10"/>
      <c r="M4" s="10"/>
      <c r="N4" s="10"/>
      <c r="O4" s="11"/>
      <c r="P4" s="19"/>
      <c r="Q4" s="290" t="s">
        <v>265</v>
      </c>
      <c r="R4" s="291"/>
      <c r="S4" s="10"/>
      <c r="T4" s="10"/>
      <c r="U4" s="10"/>
      <c r="V4" s="11"/>
      <c r="W4" s="19"/>
      <c r="X4" s="287" t="s">
        <v>14</v>
      </c>
      <c r="Y4" s="288"/>
      <c r="Z4" s="288"/>
      <c r="AA4" s="288"/>
      <c r="AB4" s="288"/>
      <c r="AC4" s="289"/>
      <c r="AD4" s="19"/>
      <c r="AE4" s="290"/>
      <c r="AF4" s="291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10"/>
      <c r="H5" s="11"/>
      <c r="I5" s="19"/>
      <c r="J5" s="9" t="s">
        <v>16</v>
      </c>
      <c r="K5" s="10"/>
      <c r="L5" s="10"/>
      <c r="M5" s="10"/>
      <c r="N5" s="10"/>
      <c r="O5" s="11"/>
      <c r="P5" s="19"/>
      <c r="Q5" s="15" t="s">
        <v>16</v>
      </c>
      <c r="R5" s="10"/>
      <c r="S5" s="10"/>
      <c r="T5" s="10"/>
      <c r="U5" s="10"/>
      <c r="V5" s="163"/>
      <c r="W5" s="19"/>
      <c r="X5" s="287" t="s">
        <v>16</v>
      </c>
      <c r="Y5" s="288"/>
      <c r="Z5" s="288"/>
      <c r="AA5" s="288"/>
      <c r="AB5" s="288"/>
      <c r="AC5" s="292"/>
      <c r="AD5" s="19"/>
      <c r="AE5" s="9"/>
      <c r="AF5" s="10"/>
      <c r="AG5" s="10"/>
      <c r="AH5" s="10"/>
      <c r="AI5" s="10"/>
      <c r="AJ5" s="11"/>
      <c r="AL5" s="19"/>
      <c r="AM5" s="9" t="s">
        <v>16</v>
      </c>
      <c r="AN5" s="10">
        <f t="shared" ref="AN5:AP5" si="5">D5+K5+R5+Y5+AF5</f>
        <v>0</v>
      </c>
      <c r="AO5" s="10">
        <f t="shared" si="5"/>
        <v>0</v>
      </c>
      <c r="AP5" s="10">
        <f t="shared" si="5"/>
        <v>0</v>
      </c>
      <c r="AQ5" s="11">
        <f t="shared" si="3"/>
        <v>0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10"/>
      <c r="L6" s="10"/>
      <c r="M6" s="10"/>
      <c r="N6" s="10"/>
      <c r="O6" s="11"/>
      <c r="P6" s="19"/>
      <c r="Q6" s="9" t="s">
        <v>17</v>
      </c>
      <c r="R6" s="10"/>
      <c r="S6" s="10"/>
      <c r="T6" s="10"/>
      <c r="U6" s="10"/>
      <c r="V6" s="11"/>
      <c r="W6" s="19"/>
      <c r="X6" s="287" t="s">
        <v>17</v>
      </c>
      <c r="Y6" s="288"/>
      <c r="Z6" s="288"/>
      <c r="AA6" s="288"/>
      <c r="AB6" s="288"/>
      <c r="AC6" s="289"/>
      <c r="AD6" s="19"/>
      <c r="AE6" s="9"/>
      <c r="AF6" s="10"/>
      <c r="AG6" s="10"/>
      <c r="AH6" s="10"/>
      <c r="AI6" s="10"/>
      <c r="AJ6" s="11"/>
      <c r="AL6" s="19"/>
      <c r="AM6" s="9" t="s">
        <v>17</v>
      </c>
      <c r="AN6" s="10">
        <f t="shared" ref="AN6:AP6" si="6">D6+K6+R6+Y6+AF6</f>
        <v>0</v>
      </c>
      <c r="AO6" s="10">
        <f t="shared" si="6"/>
        <v>0</v>
      </c>
      <c r="AP6" s="10">
        <f t="shared" si="6"/>
        <v>0</v>
      </c>
      <c r="AQ6" s="11">
        <f t="shared" si="3"/>
        <v>0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15" t="s">
        <v>18</v>
      </c>
      <c r="K7" s="10"/>
      <c r="L7" s="10"/>
      <c r="M7" s="10"/>
      <c r="N7" s="10"/>
      <c r="O7" s="11"/>
      <c r="P7" s="19"/>
      <c r="Q7" s="9" t="s">
        <v>18</v>
      </c>
      <c r="R7" s="10"/>
      <c r="S7" s="10"/>
      <c r="T7" s="10"/>
      <c r="U7" s="10"/>
      <c r="V7" s="11"/>
      <c r="W7" s="19"/>
      <c r="X7" s="287" t="s">
        <v>18</v>
      </c>
      <c r="Y7" s="288"/>
      <c r="Z7" s="288"/>
      <c r="AA7" s="288"/>
      <c r="AB7" s="288"/>
      <c r="AC7" s="289"/>
      <c r="AD7" s="19"/>
      <c r="AE7" s="9"/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0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15" t="s">
        <v>20</v>
      </c>
      <c r="K8" s="10"/>
      <c r="L8" s="10"/>
      <c r="M8" s="10"/>
      <c r="N8" s="10"/>
      <c r="O8" s="11"/>
      <c r="P8" s="19"/>
      <c r="Q8" s="9" t="s">
        <v>19</v>
      </c>
      <c r="R8" s="10"/>
      <c r="S8" s="10"/>
      <c r="T8" s="10"/>
      <c r="U8" s="10"/>
      <c r="V8" s="11"/>
      <c r="W8" s="19"/>
      <c r="X8" s="287" t="s">
        <v>19</v>
      </c>
      <c r="Y8" s="288"/>
      <c r="Z8" s="288"/>
      <c r="AA8" s="288"/>
      <c r="AB8" s="288"/>
      <c r="AC8" s="289"/>
      <c r="AD8" s="19"/>
      <c r="AE8" s="9"/>
      <c r="AF8" s="10"/>
      <c r="AG8" s="10"/>
      <c r="AH8" s="10"/>
      <c r="AI8" s="10"/>
      <c r="AJ8" s="11"/>
      <c r="AL8" s="19"/>
      <c r="AM8" s="9" t="s">
        <v>19</v>
      </c>
      <c r="AN8" s="10">
        <f t="shared" ref="AN8:AP8" si="8">D8+K8+R8+Y8+AF8</f>
        <v>0</v>
      </c>
      <c r="AO8" s="10">
        <f t="shared" si="8"/>
        <v>0</v>
      </c>
      <c r="AP8" s="10">
        <f t="shared" si="8"/>
        <v>0</v>
      </c>
      <c r="AQ8" s="11">
        <f t="shared" si="3"/>
        <v>0</v>
      </c>
    </row>
    <row r="9">
      <c r="B9" s="19"/>
      <c r="C9" s="26" t="s">
        <v>21</v>
      </c>
      <c r="D9" s="10"/>
      <c r="E9" s="10"/>
      <c r="F9" s="10"/>
      <c r="G9" s="10"/>
      <c r="H9" s="11"/>
      <c r="I9" s="19"/>
      <c r="J9" s="26" t="s">
        <v>22</v>
      </c>
      <c r="K9" s="10"/>
      <c r="L9" s="10"/>
      <c r="M9" s="10"/>
      <c r="N9" s="10"/>
      <c r="O9" s="11"/>
      <c r="P9" s="19"/>
      <c r="Q9" s="27" t="s">
        <v>21</v>
      </c>
      <c r="R9" s="10"/>
      <c r="S9" s="10"/>
      <c r="T9" s="10"/>
      <c r="U9" s="10"/>
      <c r="V9" s="11"/>
      <c r="W9" s="19"/>
      <c r="X9" s="293" t="s">
        <v>21</v>
      </c>
      <c r="Y9" s="288"/>
      <c r="Z9" s="288"/>
      <c r="AA9" s="288"/>
      <c r="AB9" s="288"/>
      <c r="AC9" s="289"/>
      <c r="AD9" s="19"/>
      <c r="AE9" s="26"/>
      <c r="AF9" s="10"/>
      <c r="AG9" s="10"/>
      <c r="AH9" s="10"/>
      <c r="AI9" s="10"/>
      <c r="AJ9" s="11"/>
      <c r="AL9" s="19"/>
      <c r="AM9" s="26" t="s">
        <v>21</v>
      </c>
      <c r="AN9" s="10">
        <f t="shared" ref="AN9:AP9" si="9">D9+K9+R9+Y9+AF9</f>
        <v>0</v>
      </c>
      <c r="AO9" s="10">
        <f t="shared" si="9"/>
        <v>0</v>
      </c>
      <c r="AP9" s="10">
        <f t="shared" si="9"/>
        <v>0</v>
      </c>
      <c r="AQ9" s="11">
        <f t="shared" si="3"/>
        <v>0</v>
      </c>
    </row>
    <row r="10">
      <c r="B10" s="19"/>
      <c r="C10" s="28" t="s">
        <v>23</v>
      </c>
      <c r="D10" s="29">
        <f t="shared" ref="D10:H10" si="10">D2+D3+D4+D5+D6+D7+D8+D9</f>
        <v>0</v>
      </c>
      <c r="E10" s="30">
        <f t="shared" si="10"/>
        <v>0</v>
      </c>
      <c r="F10" s="31">
        <f t="shared" si="10"/>
        <v>0</v>
      </c>
      <c r="G10" s="32">
        <f t="shared" si="10"/>
        <v>0</v>
      </c>
      <c r="H10" s="33">
        <f t="shared" si="10"/>
        <v>0</v>
      </c>
      <c r="I10" s="19"/>
      <c r="J10" s="28" t="s">
        <v>23</v>
      </c>
      <c r="K10" s="34">
        <f t="shared" ref="K10:O10" si="11">K2+K3+K4+K5+K6+K7+K8+K9</f>
        <v>0</v>
      </c>
      <c r="L10" s="35">
        <f t="shared" si="11"/>
        <v>0</v>
      </c>
      <c r="M10" s="36">
        <f t="shared" si="11"/>
        <v>0</v>
      </c>
      <c r="N10" s="37">
        <f t="shared" si="11"/>
        <v>0</v>
      </c>
      <c r="O10" s="38">
        <f t="shared" si="11"/>
        <v>0</v>
      </c>
      <c r="P10" s="19"/>
      <c r="Q10" s="28" t="s">
        <v>23</v>
      </c>
      <c r="R10" s="61">
        <f t="shared" ref="R10:V10" si="12">R2+R3+R4+R5+R6+R7+R8+R9</f>
        <v>0</v>
      </c>
      <c r="S10" s="30">
        <f t="shared" si="12"/>
        <v>0</v>
      </c>
      <c r="T10" s="36">
        <f t="shared" si="12"/>
        <v>0</v>
      </c>
      <c r="U10" s="37">
        <f t="shared" si="12"/>
        <v>0</v>
      </c>
      <c r="V10" s="33">
        <f t="shared" si="12"/>
        <v>0</v>
      </c>
      <c r="W10" s="19"/>
      <c r="X10" s="28" t="s">
        <v>23</v>
      </c>
      <c r="Y10" s="61">
        <f t="shared" ref="Y10:AC10" si="13">Y2+Y3+Y4+Y5+Y6+Y7+Y8+Y9</f>
        <v>0</v>
      </c>
      <c r="Z10" s="30">
        <f t="shared" si="13"/>
        <v>0</v>
      </c>
      <c r="AA10" s="31">
        <f t="shared" si="13"/>
        <v>0</v>
      </c>
      <c r="AB10" s="37">
        <f t="shared" si="13"/>
        <v>0</v>
      </c>
      <c r="AC10" s="33">
        <f t="shared" si="13"/>
        <v>0</v>
      </c>
      <c r="AD10" s="19"/>
      <c r="AE10" s="28" t="s">
        <v>23</v>
      </c>
      <c r="AF10" s="34">
        <f t="shared" ref="AF10:AJ10" si="14">AF2+AF3+AF4+AF5+AF6+AF7+AF8+AF9</f>
        <v>0</v>
      </c>
      <c r="AG10" s="40">
        <f t="shared" si="14"/>
        <v>0</v>
      </c>
      <c r="AH10" s="31">
        <f t="shared" si="14"/>
        <v>0</v>
      </c>
      <c r="AI10" s="37">
        <f t="shared" si="14"/>
        <v>0</v>
      </c>
      <c r="AJ10" s="33">
        <f t="shared" si="14"/>
        <v>0</v>
      </c>
      <c r="AL10" s="19"/>
      <c r="AM10" s="28" t="s">
        <v>23</v>
      </c>
      <c r="AN10" s="41">
        <f t="shared" ref="AN10:AQ10" si="15">AN2+AN3+AN4+AN5+AN6+AN7+AN8+AN9</f>
        <v>0</v>
      </c>
      <c r="AO10" s="42">
        <f t="shared" si="15"/>
        <v>0</v>
      </c>
      <c r="AP10" s="43">
        <f t="shared" si="15"/>
        <v>0</v>
      </c>
      <c r="AQ10" s="44">
        <f t="shared" si="15"/>
        <v>0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0</v>
      </c>
      <c r="L11" s="47"/>
      <c r="M11" s="48"/>
      <c r="N11" s="51"/>
      <c r="O11" s="52"/>
      <c r="P11" s="19"/>
      <c r="Q11" s="45" t="s">
        <v>24</v>
      </c>
      <c r="R11" s="50">
        <f>R10-S10</f>
        <v>0</v>
      </c>
      <c r="S11" s="47"/>
      <c r="T11" s="48"/>
      <c r="U11" s="51"/>
      <c r="V11" s="52"/>
      <c r="W11" s="19"/>
      <c r="X11" s="45" t="s">
        <v>24</v>
      </c>
      <c r="Y11" s="50">
        <f>Y10-Z10</f>
        <v>0</v>
      </c>
      <c r="Z11" s="47"/>
      <c r="AA11" s="48"/>
      <c r="AB11" s="51"/>
      <c r="AC11" s="52"/>
      <c r="AD11" s="19"/>
      <c r="AE11" s="45" t="s">
        <v>24</v>
      </c>
      <c r="AF11" s="50">
        <f>AF10-AG10</f>
        <v>0</v>
      </c>
      <c r="AG11" s="47"/>
      <c r="AH11" s="48"/>
      <c r="AI11" s="51"/>
      <c r="AJ11" s="52"/>
      <c r="AL11" s="53"/>
      <c r="AM11" s="45" t="s">
        <v>25</v>
      </c>
      <c r="AN11" s="50">
        <f>AN10-AO10</f>
        <v>0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0</v>
      </c>
      <c r="L12" s="47"/>
      <c r="M12" s="48"/>
      <c r="N12" s="51"/>
      <c r="O12" s="52"/>
      <c r="P12" s="53"/>
      <c r="Q12" s="56" t="s">
        <v>26</v>
      </c>
      <c r="R12" s="57">
        <f>T10-S10</f>
        <v>0</v>
      </c>
      <c r="S12" s="47"/>
      <c r="T12" s="48"/>
      <c r="U12" s="51"/>
      <c r="V12" s="52"/>
      <c r="W12" s="53"/>
      <c r="X12" s="56" t="s">
        <v>26</v>
      </c>
      <c r="Y12" s="57">
        <f>AA10-Z10</f>
        <v>0</v>
      </c>
      <c r="Z12" s="47"/>
      <c r="AA12" s="48"/>
      <c r="AB12" s="51"/>
      <c r="AC12" s="52"/>
      <c r="AD12" s="53"/>
      <c r="AE12" s="56" t="s">
        <v>26</v>
      </c>
      <c r="AF12" s="57">
        <f>AH10-AG10</f>
        <v>0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2" t="s">
        <v>1</v>
      </c>
      <c r="Y13" s="4" t="s">
        <v>7</v>
      </c>
      <c r="Z13" s="2" t="s">
        <v>3</v>
      </c>
      <c r="AA13" s="2" t="s">
        <v>4</v>
      </c>
      <c r="AB13" s="2" t="s">
        <v>5</v>
      </c>
      <c r="AC13" s="5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>
        <v>45748.0</v>
      </c>
      <c r="C14" s="9" t="s">
        <v>10</v>
      </c>
      <c r="D14" s="10"/>
      <c r="E14" s="10"/>
      <c r="F14" s="10"/>
      <c r="G14" s="10"/>
      <c r="H14" s="11"/>
      <c r="I14" s="12">
        <v>45755.0</v>
      </c>
      <c r="J14" s="9" t="s">
        <v>10</v>
      </c>
      <c r="K14" s="10"/>
      <c r="L14" s="10"/>
      <c r="M14" s="10"/>
      <c r="N14" s="10"/>
      <c r="O14" s="11"/>
      <c r="P14" s="8">
        <v>45762.0</v>
      </c>
      <c r="Q14" s="9" t="s">
        <v>10</v>
      </c>
      <c r="R14" s="10"/>
      <c r="S14" s="10"/>
      <c r="T14" s="10"/>
      <c r="U14" s="10"/>
      <c r="V14" s="11"/>
      <c r="W14" s="8">
        <v>45769.0</v>
      </c>
      <c r="X14" s="9" t="s">
        <v>10</v>
      </c>
      <c r="Y14" s="10"/>
      <c r="Z14" s="10"/>
      <c r="AA14" s="10"/>
      <c r="AB14" s="10"/>
      <c r="AC14" s="11"/>
      <c r="AD14" s="8">
        <v>45776.0</v>
      </c>
      <c r="AE14" s="9" t="s">
        <v>10</v>
      </c>
      <c r="AF14" s="10"/>
      <c r="AG14" s="10"/>
      <c r="AH14" s="10"/>
      <c r="AI14" s="10"/>
      <c r="AJ14" s="11"/>
      <c r="AL14" s="18" t="s">
        <v>28</v>
      </c>
      <c r="AM14" s="9" t="s">
        <v>10</v>
      </c>
      <c r="AN14" s="10">
        <f t="shared" ref="AN14:AP14" si="16">D14+K14+R14+Y14+AF14</f>
        <v>0</v>
      </c>
      <c r="AO14" s="10">
        <f t="shared" si="16"/>
        <v>0</v>
      </c>
      <c r="AP14" s="10">
        <f t="shared" si="16"/>
        <v>0</v>
      </c>
      <c r="AQ14" s="11">
        <f t="shared" ref="AQ14:AQ21" si="18">H14+O14+V14+AC14+AJ14</f>
        <v>0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9" t="s">
        <v>12</v>
      </c>
      <c r="K15" s="10"/>
      <c r="L15" s="10"/>
      <c r="M15" s="10"/>
      <c r="N15" s="10"/>
      <c r="O15" s="11"/>
      <c r="P15" s="19"/>
      <c r="Q15" s="15" t="s">
        <v>12</v>
      </c>
      <c r="R15" s="10"/>
      <c r="S15" s="10"/>
      <c r="T15" s="10"/>
      <c r="U15" s="10"/>
      <c r="V15" s="11"/>
      <c r="W15" s="19"/>
      <c r="X15" s="15" t="s">
        <v>12</v>
      </c>
      <c r="Y15" s="10"/>
      <c r="Z15" s="10"/>
      <c r="AA15" s="10"/>
      <c r="AB15" s="10"/>
      <c r="AC15" s="11"/>
      <c r="AD15" s="19"/>
      <c r="AE15" s="9" t="s">
        <v>12</v>
      </c>
      <c r="AF15" s="10"/>
      <c r="AG15" s="10"/>
      <c r="AH15" s="10"/>
      <c r="AI15" s="10"/>
      <c r="AJ15" s="11"/>
      <c r="AL15" s="19"/>
      <c r="AM15" s="9" t="s">
        <v>12</v>
      </c>
      <c r="AN15" s="10">
        <f t="shared" ref="AN15:AP15" si="17">D15+K15+R15+Y15+AF15</f>
        <v>0</v>
      </c>
      <c r="AO15" s="10">
        <f t="shared" si="17"/>
        <v>0</v>
      </c>
      <c r="AP15" s="10">
        <f t="shared" si="17"/>
        <v>0</v>
      </c>
      <c r="AQ15" s="11">
        <f t="shared" si="18"/>
        <v>0</v>
      </c>
    </row>
    <row r="16">
      <c r="A16" s="19"/>
      <c r="B16" s="19"/>
      <c r="C16" s="9" t="s">
        <v>14</v>
      </c>
      <c r="D16" s="10"/>
      <c r="E16" s="10"/>
      <c r="F16" s="10"/>
      <c r="G16" s="10"/>
      <c r="H16" s="11"/>
      <c r="I16" s="19"/>
      <c r="J16" s="9" t="s">
        <v>14</v>
      </c>
      <c r="K16" s="10"/>
      <c r="L16" s="10"/>
      <c r="M16" s="10"/>
      <c r="N16" s="10"/>
      <c r="O16" s="11"/>
      <c r="P16" s="19"/>
      <c r="Q16" s="290" t="s">
        <v>14</v>
      </c>
      <c r="R16" s="291"/>
      <c r="S16" s="10"/>
      <c r="T16" s="10"/>
      <c r="U16" s="10"/>
      <c r="V16" s="11"/>
      <c r="W16" s="19"/>
      <c r="X16" s="290" t="s">
        <v>14</v>
      </c>
      <c r="Y16" s="291"/>
      <c r="Z16" s="10"/>
      <c r="AA16" s="10"/>
      <c r="AB16" s="10"/>
      <c r="AC16" s="11"/>
      <c r="AD16" s="19"/>
      <c r="AE16" s="290" t="s">
        <v>14</v>
      </c>
      <c r="AF16" s="291"/>
      <c r="AG16" s="10"/>
      <c r="AH16" s="10"/>
      <c r="AI16" s="10"/>
      <c r="AJ16" s="11"/>
      <c r="AL16" s="19"/>
      <c r="AM16" s="9" t="s">
        <v>14</v>
      </c>
      <c r="AN16" s="10">
        <f t="shared" ref="AN16:AP16" si="19">D16+K16+R16+Y16+AF16</f>
        <v>0</v>
      </c>
      <c r="AO16" s="10">
        <f t="shared" si="19"/>
        <v>0</v>
      </c>
      <c r="AP16" s="10">
        <f t="shared" si="19"/>
        <v>0</v>
      </c>
      <c r="AQ16" s="11">
        <f t="shared" si="18"/>
        <v>0</v>
      </c>
    </row>
    <row r="17">
      <c r="A17" s="19"/>
      <c r="B17" s="19"/>
      <c r="C17" s="9" t="s">
        <v>16</v>
      </c>
      <c r="D17" s="10"/>
      <c r="E17" s="10"/>
      <c r="F17" s="10"/>
      <c r="G17" s="10"/>
      <c r="H17" s="11"/>
      <c r="I17" s="19"/>
      <c r="J17" s="9" t="s">
        <v>16</v>
      </c>
      <c r="K17" s="10"/>
      <c r="L17" s="10"/>
      <c r="M17" s="10"/>
      <c r="N17" s="10"/>
      <c r="O17" s="11"/>
      <c r="P17" s="19"/>
      <c r="Q17" s="9" t="s">
        <v>15</v>
      </c>
      <c r="R17" s="10"/>
      <c r="S17" s="10"/>
      <c r="T17" s="10"/>
      <c r="U17" s="10"/>
      <c r="V17" s="11"/>
      <c r="W17" s="19"/>
      <c r="X17" s="9" t="s">
        <v>16</v>
      </c>
      <c r="Y17" s="10"/>
      <c r="Z17" s="10"/>
      <c r="AA17" s="10"/>
      <c r="AB17" s="10"/>
      <c r="AC17" s="11"/>
      <c r="AD17" s="19"/>
      <c r="AE17" s="9" t="s">
        <v>16</v>
      </c>
      <c r="AF17" s="10"/>
      <c r="AG17" s="10"/>
      <c r="AH17" s="10"/>
      <c r="AI17" s="10"/>
      <c r="AJ17" s="11"/>
      <c r="AL17" s="19"/>
      <c r="AM17" s="9" t="s">
        <v>16</v>
      </c>
      <c r="AN17" s="10">
        <f t="shared" ref="AN17:AP17" si="20">D17+K17+R17+Y17+AF17</f>
        <v>0</v>
      </c>
      <c r="AO17" s="10">
        <f t="shared" si="20"/>
        <v>0</v>
      </c>
      <c r="AP17" s="10">
        <f t="shared" si="20"/>
        <v>0</v>
      </c>
      <c r="AQ17" s="11">
        <f t="shared" si="18"/>
        <v>0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9" t="s">
        <v>17</v>
      </c>
      <c r="K18" s="10"/>
      <c r="L18" s="10"/>
      <c r="M18" s="10"/>
      <c r="N18" s="10"/>
      <c r="O18" s="11"/>
      <c r="P18" s="19"/>
      <c r="Q18" s="9" t="s">
        <v>17</v>
      </c>
      <c r="R18" s="10"/>
      <c r="S18" s="10"/>
      <c r="T18" s="10"/>
      <c r="U18" s="10"/>
      <c r="V18" s="11"/>
      <c r="W18" s="19"/>
      <c r="X18" s="9" t="s">
        <v>17</v>
      </c>
      <c r="Y18" s="10"/>
      <c r="Z18" s="10"/>
      <c r="AA18" s="10"/>
      <c r="AB18" s="10"/>
      <c r="AC18" s="11"/>
      <c r="AD18" s="19"/>
      <c r="AE18" s="9" t="s">
        <v>17</v>
      </c>
      <c r="AF18" s="10"/>
      <c r="AG18" s="10"/>
      <c r="AH18" s="10"/>
      <c r="AI18" s="10"/>
      <c r="AJ18" s="11"/>
      <c r="AL18" s="19"/>
      <c r="AM18" s="9" t="s">
        <v>17</v>
      </c>
      <c r="AN18" s="10">
        <f t="shared" ref="AN18:AP18" si="21">D18+K18+R18+Y18+AF18</f>
        <v>0</v>
      </c>
      <c r="AO18" s="10">
        <f t="shared" si="21"/>
        <v>0</v>
      </c>
      <c r="AP18" s="10">
        <f t="shared" si="21"/>
        <v>0</v>
      </c>
      <c r="AQ18" s="11">
        <f t="shared" si="18"/>
        <v>0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15" t="s">
        <v>18</v>
      </c>
      <c r="K19" s="10"/>
      <c r="L19" s="10"/>
      <c r="M19" s="10"/>
      <c r="N19" s="10"/>
      <c r="O19" s="11"/>
      <c r="P19" s="19"/>
      <c r="Q19" s="15" t="s">
        <v>18</v>
      </c>
      <c r="R19" s="10"/>
      <c r="S19" s="10"/>
      <c r="T19" s="10"/>
      <c r="U19" s="10"/>
      <c r="V19" s="11"/>
      <c r="W19" s="19"/>
      <c r="X19" s="15" t="s">
        <v>18</v>
      </c>
      <c r="Y19" s="10"/>
      <c r="Z19" s="10"/>
      <c r="AA19" s="10"/>
      <c r="AB19" s="10"/>
      <c r="AC19" s="11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2">D19+K19+R19+Y19+AF19</f>
        <v>0</v>
      </c>
      <c r="AO19" s="10">
        <f t="shared" si="22"/>
        <v>0</v>
      </c>
      <c r="AP19" s="10">
        <f t="shared" si="22"/>
        <v>0</v>
      </c>
      <c r="AQ19" s="11">
        <f t="shared" si="18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0"/>
      <c r="L20" s="10"/>
      <c r="M20" s="10"/>
      <c r="N20" s="10"/>
      <c r="O20" s="11"/>
      <c r="P20" s="19"/>
      <c r="Q20" s="15" t="s">
        <v>19</v>
      </c>
      <c r="R20" s="10"/>
      <c r="S20" s="10"/>
      <c r="T20" s="10"/>
      <c r="U20" s="10"/>
      <c r="V20" s="11"/>
      <c r="W20" s="19"/>
      <c r="X20" s="9" t="s">
        <v>19</v>
      </c>
      <c r="Y20" s="10"/>
      <c r="Z20" s="10"/>
      <c r="AA20" s="10"/>
      <c r="AB20" s="10"/>
      <c r="AC20" s="11"/>
      <c r="AD20" s="19"/>
      <c r="AE20" s="9" t="s">
        <v>19</v>
      </c>
      <c r="AF20" s="10"/>
      <c r="AG20" s="10"/>
      <c r="AH20" s="10"/>
      <c r="AI20" s="10"/>
      <c r="AJ20" s="11"/>
      <c r="AL20" s="19"/>
      <c r="AM20" s="9" t="s">
        <v>19</v>
      </c>
      <c r="AN20" s="10">
        <f t="shared" ref="AN20:AP20" si="23">D20+K20+R20+Y20+AF20</f>
        <v>0</v>
      </c>
      <c r="AO20" s="10">
        <f t="shared" si="23"/>
        <v>0</v>
      </c>
      <c r="AP20" s="10">
        <f t="shared" si="23"/>
        <v>0</v>
      </c>
      <c r="AQ20" s="11">
        <f t="shared" si="18"/>
        <v>0</v>
      </c>
    </row>
    <row r="21">
      <c r="A21" s="19"/>
      <c r="B21" s="19"/>
      <c r="C21" s="26" t="s">
        <v>21</v>
      </c>
      <c r="D21" s="10"/>
      <c r="E21" s="10"/>
      <c r="F21" s="10"/>
      <c r="G21" s="10"/>
      <c r="H21" s="11"/>
      <c r="I21" s="19"/>
      <c r="J21" s="26" t="s">
        <v>22</v>
      </c>
      <c r="K21" s="10"/>
      <c r="L21" s="10"/>
      <c r="M21" s="10"/>
      <c r="N21" s="10"/>
      <c r="O21" s="11"/>
      <c r="P21" s="19"/>
      <c r="Q21" s="26" t="s">
        <v>21</v>
      </c>
      <c r="R21" s="10"/>
      <c r="S21" s="10"/>
      <c r="T21" s="10"/>
      <c r="U21" s="10"/>
      <c r="V21" s="11"/>
      <c r="W21" s="19"/>
      <c r="X21" s="27" t="s">
        <v>21</v>
      </c>
      <c r="Y21" s="10"/>
      <c r="Z21" s="10"/>
      <c r="AA21" s="10"/>
      <c r="AB21" s="10"/>
      <c r="AC21" s="11"/>
      <c r="AD21" s="19"/>
      <c r="AE21" s="27" t="s">
        <v>21</v>
      </c>
      <c r="AF21" s="10"/>
      <c r="AG21" s="10"/>
      <c r="AH21" s="10"/>
      <c r="AI21" s="10"/>
      <c r="AJ21" s="11"/>
      <c r="AL21" s="19"/>
      <c r="AM21" s="26" t="s">
        <v>21</v>
      </c>
      <c r="AN21" s="10">
        <f t="shared" ref="AN21:AP21" si="24">D21+K21+R21+Y21+AF21</f>
        <v>0</v>
      </c>
      <c r="AO21" s="10">
        <f t="shared" si="24"/>
        <v>0</v>
      </c>
      <c r="AP21" s="10">
        <f t="shared" si="24"/>
        <v>0</v>
      </c>
      <c r="AQ21" s="11">
        <f t="shared" si="18"/>
        <v>0</v>
      </c>
    </row>
    <row r="22">
      <c r="A22" s="19"/>
      <c r="B22" s="19"/>
      <c r="C22" s="28" t="s">
        <v>23</v>
      </c>
      <c r="D22" s="29">
        <f t="shared" ref="D22:H22" si="25">D14+D15+D16+D17+D18+D19+D20+D21</f>
        <v>0</v>
      </c>
      <c r="E22" s="35">
        <f t="shared" si="25"/>
        <v>0</v>
      </c>
      <c r="F22" s="31">
        <f t="shared" si="25"/>
        <v>0</v>
      </c>
      <c r="G22" s="37">
        <f t="shared" si="25"/>
        <v>0</v>
      </c>
      <c r="H22" s="33">
        <f t="shared" si="25"/>
        <v>0</v>
      </c>
      <c r="I22" s="19"/>
      <c r="J22" s="28" t="s">
        <v>23</v>
      </c>
      <c r="K22" s="34">
        <f t="shared" ref="K22:O22" si="26">K14+K15+K16+K17+K18+K19+K20+K21</f>
        <v>0</v>
      </c>
      <c r="L22" s="35">
        <f t="shared" si="26"/>
        <v>0</v>
      </c>
      <c r="M22" s="31">
        <f t="shared" si="26"/>
        <v>0</v>
      </c>
      <c r="N22" s="37">
        <f t="shared" si="26"/>
        <v>0</v>
      </c>
      <c r="O22" s="33">
        <f t="shared" si="26"/>
        <v>0</v>
      </c>
      <c r="P22" s="19"/>
      <c r="Q22" s="28" t="s">
        <v>23</v>
      </c>
      <c r="R22" s="29">
        <f t="shared" ref="R22:V22" si="27">R14+R15+R16+R17+R18+R19+R20+R21</f>
        <v>0</v>
      </c>
      <c r="S22" s="30">
        <f t="shared" si="27"/>
        <v>0</v>
      </c>
      <c r="T22" s="31">
        <f t="shared" si="27"/>
        <v>0</v>
      </c>
      <c r="U22" s="37">
        <f t="shared" si="27"/>
        <v>0</v>
      </c>
      <c r="V22" s="33">
        <f t="shared" si="27"/>
        <v>0</v>
      </c>
      <c r="W22" s="19"/>
      <c r="X22" s="28" t="s">
        <v>23</v>
      </c>
      <c r="Y22" s="284"/>
      <c r="Z22" s="284"/>
      <c r="AA22" s="284"/>
      <c r="AB22" s="284"/>
      <c r="AC22" s="285"/>
      <c r="AD22" s="19"/>
      <c r="AE22" s="28" t="s">
        <v>23</v>
      </c>
      <c r="AF22" s="29">
        <f t="shared" ref="AF22:AJ22" si="28">AF14+AF15+AF16+AF17+AF18+AF19+AF20+AF21</f>
        <v>0</v>
      </c>
      <c r="AG22" s="30">
        <f t="shared" si="28"/>
        <v>0</v>
      </c>
      <c r="AH22" s="31">
        <f t="shared" si="28"/>
        <v>0</v>
      </c>
      <c r="AI22" s="37">
        <f t="shared" si="28"/>
        <v>0</v>
      </c>
      <c r="AJ22" s="33">
        <f t="shared" si="28"/>
        <v>0</v>
      </c>
      <c r="AL22" s="19"/>
      <c r="AM22" s="28" t="s">
        <v>23</v>
      </c>
      <c r="AN22" s="41">
        <f t="shared" ref="AN22:AQ22" si="29">AN14+AN15+AN16+AN17+AN18+AN19+AN20+AN21</f>
        <v>0</v>
      </c>
      <c r="AO22" s="42">
        <f t="shared" si="29"/>
        <v>0</v>
      </c>
      <c r="AP22" s="43">
        <f t="shared" si="29"/>
        <v>0</v>
      </c>
      <c r="AQ22" s="44">
        <f t="shared" si="29"/>
        <v>0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0</v>
      </c>
      <c r="L23" s="47"/>
      <c r="M23" s="48"/>
      <c r="N23" s="51"/>
      <c r="O23" s="51"/>
      <c r="P23" s="19"/>
      <c r="Q23" s="45" t="s">
        <v>24</v>
      </c>
      <c r="R23" s="50">
        <f>R22-S22</f>
        <v>0</v>
      </c>
      <c r="S23" s="47"/>
      <c r="T23" s="48"/>
      <c r="U23" s="51"/>
      <c r="V23" s="51"/>
      <c r="W23" s="19"/>
      <c r="X23" s="45" t="s">
        <v>24</v>
      </c>
      <c r="Y23" s="50">
        <f>Y22-Z22</f>
        <v>0</v>
      </c>
      <c r="Z23" s="47"/>
      <c r="AA23" s="48"/>
      <c r="AB23" s="51"/>
      <c r="AC23" s="51"/>
      <c r="AD23" s="19"/>
      <c r="AE23" s="45" t="s">
        <v>24</v>
      </c>
      <c r="AF23" s="50">
        <f>AF22-AG22</f>
        <v>0</v>
      </c>
      <c r="AG23" s="47"/>
      <c r="AH23" s="48"/>
      <c r="AI23" s="51"/>
      <c r="AJ23" s="51"/>
      <c r="AL23" s="53"/>
      <c r="AM23" s="45" t="s">
        <v>25</v>
      </c>
      <c r="AN23" s="50">
        <f>AN22-AO22</f>
        <v>0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0</v>
      </c>
      <c r="L24" s="47"/>
      <c r="M24" s="48"/>
      <c r="N24" s="51"/>
      <c r="O24" s="51"/>
      <c r="P24" s="53"/>
      <c r="Q24" s="56" t="s">
        <v>26</v>
      </c>
      <c r="R24" s="57">
        <f>T22-S22</f>
        <v>0</v>
      </c>
      <c r="S24" s="47"/>
      <c r="T24" s="48"/>
      <c r="U24" s="51"/>
      <c r="V24" s="51"/>
      <c r="W24" s="53"/>
      <c r="X24" s="56" t="s">
        <v>26</v>
      </c>
      <c r="Y24" s="57">
        <f>AA22-Z22</f>
        <v>0</v>
      </c>
      <c r="Z24" s="47"/>
      <c r="AA24" s="48"/>
      <c r="AB24" s="51"/>
      <c r="AC24" s="51"/>
      <c r="AD24" s="53"/>
      <c r="AE24" s="56" t="s">
        <v>26</v>
      </c>
      <c r="AF24" s="57">
        <f>AH22-AG22</f>
        <v>0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2" t="s">
        <v>1</v>
      </c>
      <c r="K25" s="4" t="s">
        <v>7</v>
      </c>
      <c r="L25" s="2" t="s">
        <v>3</v>
      </c>
      <c r="M25" s="2" t="s">
        <v>4</v>
      </c>
      <c r="N25" s="2" t="s">
        <v>5</v>
      </c>
      <c r="O25" s="5" t="s">
        <v>6</v>
      </c>
      <c r="P25" s="2" t="s">
        <v>0</v>
      </c>
      <c r="Q25" s="2" t="s">
        <v>1</v>
      </c>
      <c r="R25" s="4" t="s">
        <v>7</v>
      </c>
      <c r="S25" s="2" t="s">
        <v>3</v>
      </c>
      <c r="T25" s="2" t="s">
        <v>4</v>
      </c>
      <c r="U25" s="2" t="s">
        <v>5</v>
      </c>
      <c r="V25" s="5" t="s">
        <v>6</v>
      </c>
      <c r="W25" s="2" t="s">
        <v>0</v>
      </c>
      <c r="X25" s="2" t="s">
        <v>1</v>
      </c>
      <c r="Y25" s="4" t="s">
        <v>7</v>
      </c>
      <c r="Z25" s="2" t="s">
        <v>3</v>
      </c>
      <c r="AA25" s="2" t="s">
        <v>4</v>
      </c>
      <c r="AB25" s="2" t="s">
        <v>5</v>
      </c>
      <c r="AC25" s="5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168">
        <v>45749.0</v>
      </c>
      <c r="C26" s="9" t="s">
        <v>10</v>
      </c>
      <c r="D26" s="10"/>
      <c r="E26" s="10"/>
      <c r="F26" s="10"/>
      <c r="G26" s="10"/>
      <c r="H26" s="11"/>
      <c r="I26" s="12">
        <v>45756.0</v>
      </c>
      <c r="J26" s="15" t="s">
        <v>10</v>
      </c>
      <c r="K26" s="10"/>
      <c r="L26" s="10"/>
      <c r="M26" s="10"/>
      <c r="N26" s="10"/>
      <c r="O26" s="11"/>
      <c r="P26" s="8">
        <v>45763.0</v>
      </c>
      <c r="Q26" s="9" t="s">
        <v>10</v>
      </c>
      <c r="R26" s="10"/>
      <c r="S26" s="10"/>
      <c r="T26" s="10"/>
      <c r="U26" s="10"/>
      <c r="V26" s="11"/>
      <c r="W26" s="8">
        <v>45770.0</v>
      </c>
      <c r="X26" s="9" t="s">
        <v>10</v>
      </c>
      <c r="Y26" s="10"/>
      <c r="Z26" s="10"/>
      <c r="AA26" s="10"/>
      <c r="AB26" s="10"/>
      <c r="AC26" s="11"/>
      <c r="AD26" s="8">
        <v>45777.0</v>
      </c>
      <c r="AE26" s="9" t="s">
        <v>10</v>
      </c>
      <c r="AF26" s="10"/>
      <c r="AG26" s="10"/>
      <c r="AH26" s="10"/>
      <c r="AI26" s="10"/>
      <c r="AJ26" s="11"/>
      <c r="AL26" s="18" t="s">
        <v>31</v>
      </c>
      <c r="AM26" s="9" t="s">
        <v>10</v>
      </c>
      <c r="AN26" s="10">
        <f t="shared" ref="AN26:AP26" si="30">D26+K26+R26+Y26+AF26</f>
        <v>0</v>
      </c>
      <c r="AO26" s="10">
        <f t="shared" si="30"/>
        <v>0</v>
      </c>
      <c r="AP26" s="10">
        <f t="shared" si="30"/>
        <v>0</v>
      </c>
      <c r="AQ26" s="11">
        <f t="shared" ref="AQ26:AQ33" si="32">H26+O26+V26+AC26+AJ26</f>
        <v>0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0"/>
      <c r="L27" s="10"/>
      <c r="M27" s="10"/>
      <c r="N27" s="10"/>
      <c r="O27" s="11"/>
      <c r="P27" s="19"/>
      <c r="Q27" s="9" t="s">
        <v>12</v>
      </c>
      <c r="R27" s="10"/>
      <c r="S27" s="10"/>
      <c r="T27" s="10"/>
      <c r="U27" s="10"/>
      <c r="V27" s="11"/>
      <c r="W27" s="19"/>
      <c r="X27" s="9" t="s">
        <v>12</v>
      </c>
      <c r="Y27" s="10"/>
      <c r="Z27" s="10"/>
      <c r="AA27" s="10"/>
      <c r="AB27" s="10"/>
      <c r="AC27" s="11"/>
      <c r="AD27" s="19"/>
      <c r="AE27" s="9" t="s">
        <v>12</v>
      </c>
      <c r="AF27" s="10"/>
      <c r="AG27" s="10"/>
      <c r="AH27" s="10"/>
      <c r="AI27" s="10"/>
      <c r="AJ27" s="11"/>
      <c r="AL27" s="19"/>
      <c r="AM27" s="9" t="s">
        <v>12</v>
      </c>
      <c r="AN27" s="10">
        <f t="shared" ref="AN27:AP27" si="31">D27+K27+R27+Y27+AF27</f>
        <v>0</v>
      </c>
      <c r="AO27" s="10">
        <f t="shared" si="31"/>
        <v>0</v>
      </c>
      <c r="AP27" s="10">
        <f t="shared" si="31"/>
        <v>0</v>
      </c>
      <c r="AQ27" s="11">
        <f t="shared" si="32"/>
        <v>0</v>
      </c>
    </row>
    <row r="28">
      <c r="A28" s="19"/>
      <c r="B28" s="19"/>
      <c r="C28" s="9" t="s">
        <v>14</v>
      </c>
      <c r="D28" s="10"/>
      <c r="E28" s="10"/>
      <c r="F28" s="10"/>
      <c r="G28" s="10"/>
      <c r="H28" s="11"/>
      <c r="I28" s="19"/>
      <c r="J28" s="15" t="s">
        <v>14</v>
      </c>
      <c r="K28" s="10"/>
      <c r="L28" s="10"/>
      <c r="M28" s="10"/>
      <c r="N28" s="10"/>
      <c r="O28" s="11"/>
      <c r="P28" s="19"/>
      <c r="Q28" s="290" t="s">
        <v>33</v>
      </c>
      <c r="R28" s="291"/>
      <c r="S28" s="10"/>
      <c r="T28" s="10"/>
      <c r="U28" s="10"/>
      <c r="V28" s="11"/>
      <c r="W28" s="19"/>
      <c r="X28" s="290" t="s">
        <v>14</v>
      </c>
      <c r="Y28" s="291"/>
      <c r="Z28" s="10"/>
      <c r="AA28" s="10"/>
      <c r="AB28" s="10"/>
      <c r="AC28" s="11"/>
      <c r="AD28" s="19"/>
      <c r="AE28" s="290" t="s">
        <v>14</v>
      </c>
      <c r="AF28" s="291"/>
      <c r="AG28" s="10"/>
      <c r="AH28" s="10"/>
      <c r="AI28" s="10"/>
      <c r="AJ28" s="11"/>
      <c r="AL28" s="19"/>
      <c r="AM28" s="9" t="s">
        <v>14</v>
      </c>
      <c r="AN28" s="10">
        <f t="shared" ref="AN28:AP28" si="33">D28+K28+R28+Y28+AF28</f>
        <v>0</v>
      </c>
      <c r="AO28" s="10">
        <f t="shared" si="33"/>
        <v>0</v>
      </c>
      <c r="AP28" s="10">
        <f t="shared" si="33"/>
        <v>0</v>
      </c>
      <c r="AQ28" s="11">
        <f t="shared" si="32"/>
        <v>0</v>
      </c>
    </row>
    <row r="29">
      <c r="A29" s="19"/>
      <c r="B29" s="19"/>
      <c r="C29" s="9" t="s">
        <v>15</v>
      </c>
      <c r="D29" s="10"/>
      <c r="E29" s="10"/>
      <c r="F29" s="10"/>
      <c r="G29" s="10"/>
      <c r="H29" s="11"/>
      <c r="I29" s="19"/>
      <c r="J29" s="9" t="s">
        <v>15</v>
      </c>
      <c r="K29" s="10"/>
      <c r="L29" s="10"/>
      <c r="M29" s="10"/>
      <c r="N29" s="10"/>
      <c r="O29" s="11"/>
      <c r="P29" s="19"/>
      <c r="Q29" s="15" t="s">
        <v>15</v>
      </c>
      <c r="R29" s="10"/>
      <c r="S29" s="10"/>
      <c r="T29" s="10"/>
      <c r="U29" s="10"/>
      <c r="V29" s="11"/>
      <c r="W29" s="19"/>
      <c r="X29" s="15" t="s">
        <v>16</v>
      </c>
      <c r="Y29" s="10"/>
      <c r="Z29" s="10"/>
      <c r="AA29" s="10"/>
      <c r="AB29" s="10"/>
      <c r="AC29" s="11"/>
      <c r="AD29" s="19"/>
      <c r="AE29" s="9" t="s">
        <v>16</v>
      </c>
      <c r="AF29" s="10"/>
      <c r="AG29" s="10"/>
      <c r="AH29" s="10"/>
      <c r="AI29" s="10"/>
      <c r="AJ29" s="11"/>
      <c r="AL29" s="19"/>
      <c r="AM29" s="9" t="s">
        <v>16</v>
      </c>
      <c r="AN29" s="10">
        <f t="shared" ref="AN29:AP29" si="34">D29+K29+R29+Y29+AF29</f>
        <v>0</v>
      </c>
      <c r="AO29" s="10">
        <f t="shared" si="34"/>
        <v>0</v>
      </c>
      <c r="AP29" s="10">
        <f t="shared" si="34"/>
        <v>0</v>
      </c>
      <c r="AQ29" s="11">
        <f t="shared" si="32"/>
        <v>0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15" t="s">
        <v>17</v>
      </c>
      <c r="K30" s="10"/>
      <c r="L30" s="10"/>
      <c r="M30" s="10"/>
      <c r="N30" s="10"/>
      <c r="O30" s="11"/>
      <c r="P30" s="19"/>
      <c r="Q30" s="15" t="s">
        <v>17</v>
      </c>
      <c r="R30" s="10"/>
      <c r="S30" s="10"/>
      <c r="T30" s="10"/>
      <c r="U30" s="10"/>
      <c r="V30" s="11"/>
      <c r="W30" s="19"/>
      <c r="X30" s="9" t="s">
        <v>17</v>
      </c>
      <c r="Y30" s="10"/>
      <c r="Z30" s="10"/>
      <c r="AA30" s="10"/>
      <c r="AB30" s="10"/>
      <c r="AC30" s="11"/>
      <c r="AD30" s="19"/>
      <c r="AE30" s="9" t="s">
        <v>17</v>
      </c>
      <c r="AF30" s="10"/>
      <c r="AG30" s="10"/>
      <c r="AH30" s="10"/>
      <c r="AI30" s="10"/>
      <c r="AJ30" s="11"/>
      <c r="AL30" s="19"/>
      <c r="AM30" s="9" t="s">
        <v>17</v>
      </c>
      <c r="AN30" s="10">
        <f t="shared" ref="AN30:AP30" si="35">D30+K30+R30+Y30+AF30</f>
        <v>0</v>
      </c>
      <c r="AO30" s="10">
        <f t="shared" si="35"/>
        <v>0</v>
      </c>
      <c r="AP30" s="10">
        <f t="shared" si="35"/>
        <v>0</v>
      </c>
      <c r="AQ30" s="11">
        <f t="shared" si="32"/>
        <v>0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15" t="s">
        <v>29</v>
      </c>
      <c r="K31" s="10"/>
      <c r="L31" s="10"/>
      <c r="M31" s="10"/>
      <c r="N31" s="10"/>
      <c r="O31" s="11"/>
      <c r="P31" s="19"/>
      <c r="Q31" s="9" t="s">
        <v>18</v>
      </c>
      <c r="R31" s="10"/>
      <c r="S31" s="10"/>
      <c r="T31" s="10"/>
      <c r="U31" s="10"/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6">D31+K31+R31+Y31+AF31</f>
        <v>0</v>
      </c>
      <c r="AO31" s="10">
        <f t="shared" si="36"/>
        <v>0</v>
      </c>
      <c r="AP31" s="10">
        <f t="shared" si="36"/>
        <v>0</v>
      </c>
      <c r="AQ31" s="11">
        <f t="shared" si="32"/>
        <v>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9" t="s">
        <v>19</v>
      </c>
      <c r="K32" s="10"/>
      <c r="L32" s="10"/>
      <c r="M32" s="10"/>
      <c r="N32" s="10"/>
      <c r="O32" s="11"/>
      <c r="P32" s="19"/>
      <c r="Q32" s="9" t="s">
        <v>19</v>
      </c>
      <c r="R32" s="10"/>
      <c r="S32" s="10"/>
      <c r="T32" s="10"/>
      <c r="U32" s="10"/>
      <c r="V32" s="11"/>
      <c r="W32" s="19"/>
      <c r="X32" s="15" t="s">
        <v>19</v>
      </c>
      <c r="Y32" s="10"/>
      <c r="Z32" s="10"/>
      <c r="AA32" s="10"/>
      <c r="AB32" s="10"/>
      <c r="AC32" s="11"/>
      <c r="AD32" s="19"/>
      <c r="AE32" s="9" t="s">
        <v>19</v>
      </c>
      <c r="AF32" s="10"/>
      <c r="AG32" s="10"/>
      <c r="AH32" s="10"/>
      <c r="AI32" s="10"/>
      <c r="AJ32" s="11"/>
      <c r="AL32" s="19"/>
      <c r="AM32" s="9" t="s">
        <v>19</v>
      </c>
      <c r="AN32" s="10">
        <f t="shared" ref="AN32:AP32" si="37">D32+K32+R32+Y32+AF32</f>
        <v>0</v>
      </c>
      <c r="AO32" s="10">
        <f t="shared" si="37"/>
        <v>0</v>
      </c>
      <c r="AP32" s="10">
        <f t="shared" si="37"/>
        <v>0</v>
      </c>
      <c r="AQ32" s="11">
        <f t="shared" si="32"/>
        <v>0</v>
      </c>
    </row>
    <row r="33">
      <c r="A33" s="19"/>
      <c r="B33" s="19"/>
      <c r="C33" s="26" t="s">
        <v>21</v>
      </c>
      <c r="D33" s="10"/>
      <c r="E33" s="10"/>
      <c r="F33" s="10"/>
      <c r="G33" s="10"/>
      <c r="H33" s="11"/>
      <c r="I33" s="19"/>
      <c r="J33" s="26" t="s">
        <v>21</v>
      </c>
      <c r="K33" s="10"/>
      <c r="L33" s="10"/>
      <c r="M33" s="10"/>
      <c r="N33" s="10"/>
      <c r="O33" s="11"/>
      <c r="P33" s="19"/>
      <c r="Q33" s="27" t="s">
        <v>22</v>
      </c>
      <c r="R33" s="10"/>
      <c r="S33" s="10"/>
      <c r="T33" s="10"/>
      <c r="U33" s="10"/>
      <c r="V33" s="11"/>
      <c r="W33" s="19"/>
      <c r="X33" s="27" t="s">
        <v>21</v>
      </c>
      <c r="Y33" s="10"/>
      <c r="Z33" s="10"/>
      <c r="AA33" s="10"/>
      <c r="AB33" s="10"/>
      <c r="AC33" s="11"/>
      <c r="AD33" s="19"/>
      <c r="AE33" s="26" t="s">
        <v>21</v>
      </c>
      <c r="AF33" s="10"/>
      <c r="AG33" s="10"/>
      <c r="AH33" s="10"/>
      <c r="AI33" s="10"/>
      <c r="AJ33" s="11"/>
      <c r="AL33" s="19"/>
      <c r="AM33" s="26" t="s">
        <v>21</v>
      </c>
      <c r="AN33" s="10">
        <f t="shared" ref="AN33:AP33" si="38">D33+K33+R33+Y33+AF33</f>
        <v>0</v>
      </c>
      <c r="AO33" s="10">
        <f t="shared" si="38"/>
        <v>0</v>
      </c>
      <c r="AP33" s="10">
        <f t="shared" si="38"/>
        <v>0</v>
      </c>
      <c r="AQ33" s="11">
        <f t="shared" si="32"/>
        <v>0</v>
      </c>
    </row>
    <row r="34">
      <c r="A34" s="19"/>
      <c r="B34" s="19"/>
      <c r="C34" s="28" t="s">
        <v>23</v>
      </c>
      <c r="D34" s="29">
        <f t="shared" ref="D34:H34" si="39">D26+D27+D28+D29+D30+D31+D32+D33</f>
        <v>0</v>
      </c>
      <c r="E34" s="35">
        <f t="shared" si="39"/>
        <v>0</v>
      </c>
      <c r="F34" s="31">
        <f t="shared" si="39"/>
        <v>0</v>
      </c>
      <c r="G34" s="37">
        <f t="shared" si="39"/>
        <v>0</v>
      </c>
      <c r="H34" s="33">
        <f t="shared" si="39"/>
        <v>0</v>
      </c>
      <c r="I34" s="19"/>
      <c r="J34" s="28" t="s">
        <v>23</v>
      </c>
      <c r="K34" s="29">
        <f t="shared" ref="K34:O34" si="40">K26+K27+K28+K29+K30+K31+K32+K33</f>
        <v>0</v>
      </c>
      <c r="L34" s="35">
        <f t="shared" si="40"/>
        <v>0</v>
      </c>
      <c r="M34" s="36">
        <f t="shared" si="40"/>
        <v>0</v>
      </c>
      <c r="N34" s="37">
        <f t="shared" si="40"/>
        <v>0</v>
      </c>
      <c r="O34" s="294">
        <f t="shared" si="40"/>
        <v>0</v>
      </c>
      <c r="P34" s="19"/>
      <c r="Q34" s="28" t="s">
        <v>23</v>
      </c>
      <c r="R34" s="61">
        <f t="shared" ref="R34:V34" si="41">R26+R27+R28+R29+R30+R31+R32+R33</f>
        <v>0</v>
      </c>
      <c r="S34" s="35">
        <f t="shared" si="41"/>
        <v>0</v>
      </c>
      <c r="T34" s="31">
        <f t="shared" si="41"/>
        <v>0</v>
      </c>
      <c r="U34" s="37">
        <f t="shared" si="41"/>
        <v>0</v>
      </c>
      <c r="V34" s="33">
        <f t="shared" si="41"/>
        <v>0</v>
      </c>
      <c r="W34" s="19"/>
      <c r="X34" s="28" t="s">
        <v>23</v>
      </c>
      <c r="Y34" s="61">
        <f t="shared" ref="Y34:AC34" si="42">Y26+Y27+Y28+Y29+Y30+Y31+Y32+Y33</f>
        <v>0</v>
      </c>
      <c r="Z34" s="30">
        <f t="shared" si="42"/>
        <v>0</v>
      </c>
      <c r="AA34" s="36">
        <f t="shared" si="42"/>
        <v>0</v>
      </c>
      <c r="AB34" s="37">
        <f t="shared" si="42"/>
        <v>0</v>
      </c>
      <c r="AC34" s="33">
        <f t="shared" si="42"/>
        <v>0</v>
      </c>
      <c r="AD34" s="19"/>
      <c r="AE34" s="28" t="s">
        <v>23</v>
      </c>
      <c r="AF34" s="29">
        <f t="shared" ref="AF34:AJ34" si="43">AF26+AF27+AF28+AF29+AF30+AF31+AF32+AF33</f>
        <v>0</v>
      </c>
      <c r="AG34" s="30">
        <f t="shared" si="43"/>
        <v>0</v>
      </c>
      <c r="AH34" s="31">
        <f t="shared" si="43"/>
        <v>0</v>
      </c>
      <c r="AI34" s="37">
        <f t="shared" si="43"/>
        <v>0</v>
      </c>
      <c r="AJ34" s="33">
        <f t="shared" si="43"/>
        <v>0</v>
      </c>
      <c r="AL34" s="19"/>
      <c r="AM34" s="28" t="s">
        <v>23</v>
      </c>
      <c r="AN34" s="41">
        <f t="shared" ref="AN34:AQ34" si="44">AN26+AN27+AN28+AN29+AN30+AN31+AN32+AN33</f>
        <v>0</v>
      </c>
      <c r="AO34" s="42">
        <f t="shared" si="44"/>
        <v>0</v>
      </c>
      <c r="AP34" s="43">
        <f t="shared" si="44"/>
        <v>0</v>
      </c>
      <c r="AQ34" s="44">
        <f t="shared" si="44"/>
        <v>0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0</v>
      </c>
      <c r="L35" s="47"/>
      <c r="M35" s="48"/>
      <c r="N35" s="51"/>
      <c r="O35" s="51"/>
      <c r="P35" s="19"/>
      <c r="Q35" s="45" t="s">
        <v>24</v>
      </c>
      <c r="R35" s="50">
        <f>R34-S34</f>
        <v>0</v>
      </c>
      <c r="S35" s="47"/>
      <c r="T35" s="48"/>
      <c r="U35" s="51"/>
      <c r="V35" s="51"/>
      <c r="W35" s="19"/>
      <c r="X35" s="45" t="s">
        <v>24</v>
      </c>
      <c r="Y35" s="50">
        <f>Y34-Z34</f>
        <v>0</v>
      </c>
      <c r="Z35" s="47"/>
      <c r="AA35" s="48"/>
      <c r="AB35" s="51"/>
      <c r="AC35" s="51"/>
      <c r="AD35" s="19"/>
      <c r="AE35" s="45" t="s">
        <v>24</v>
      </c>
      <c r="AF35" s="50">
        <f>AF34-AG34</f>
        <v>0</v>
      </c>
      <c r="AG35" s="47"/>
      <c r="AH35" s="48"/>
      <c r="AI35" s="51"/>
      <c r="AJ35" s="51"/>
      <c r="AL35" s="53"/>
      <c r="AM35" s="45" t="s">
        <v>25</v>
      </c>
      <c r="AN35" s="50">
        <f>AN34-AO34</f>
        <v>0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0</v>
      </c>
      <c r="L36" s="47"/>
      <c r="M36" s="48"/>
      <c r="N36" s="51"/>
      <c r="O36" s="51"/>
      <c r="P36" s="53"/>
      <c r="Q36" s="56" t="s">
        <v>26</v>
      </c>
      <c r="R36" s="57">
        <f>T34-S34</f>
        <v>0</v>
      </c>
      <c r="S36" s="47"/>
      <c r="T36" s="48"/>
      <c r="U36" s="51"/>
      <c r="V36" s="51"/>
      <c r="W36" s="53"/>
      <c r="X36" s="56" t="s">
        <v>26</v>
      </c>
      <c r="Y36" s="57">
        <f>AA34-Z34</f>
        <v>0</v>
      </c>
      <c r="Z36" s="47"/>
      <c r="AA36" s="48"/>
      <c r="AB36" s="51"/>
      <c r="AC36" s="51"/>
      <c r="AD36" s="53"/>
      <c r="AE36" s="56" t="s">
        <v>26</v>
      </c>
      <c r="AF36" s="57">
        <f>AH34-AG34</f>
        <v>0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2" t="s">
        <v>1</v>
      </c>
      <c r="K37" s="4" t="s">
        <v>7</v>
      </c>
      <c r="L37" s="2" t="s">
        <v>3</v>
      </c>
      <c r="M37" s="2" t="s">
        <v>4</v>
      </c>
      <c r="N37" s="2" t="s">
        <v>5</v>
      </c>
      <c r="O37" s="5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2" t="s">
        <v>1</v>
      </c>
      <c r="Y37" s="4" t="s">
        <v>7</v>
      </c>
      <c r="Z37" s="2" t="s">
        <v>3</v>
      </c>
      <c r="AA37" s="2" t="s">
        <v>4</v>
      </c>
      <c r="AB37" s="2" t="s">
        <v>5</v>
      </c>
      <c r="AC37" s="5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12">
        <v>45750.0</v>
      </c>
      <c r="C38" s="9" t="s">
        <v>10</v>
      </c>
      <c r="D38" s="10"/>
      <c r="E38" s="10"/>
      <c r="F38" s="10"/>
      <c r="G38" s="10"/>
      <c r="H38" s="11"/>
      <c r="I38" s="12">
        <v>45757.0</v>
      </c>
      <c r="J38" s="15" t="s">
        <v>10</v>
      </c>
      <c r="K38" s="10"/>
      <c r="L38" s="10"/>
      <c r="M38" s="10"/>
      <c r="N38" s="10"/>
      <c r="O38" s="11"/>
      <c r="P38" s="8">
        <v>45764.0</v>
      </c>
      <c r="Q38" s="15" t="s">
        <v>10</v>
      </c>
      <c r="R38" s="10"/>
      <c r="S38" s="10"/>
      <c r="T38" s="10"/>
      <c r="U38" s="10"/>
      <c r="V38" s="11"/>
      <c r="W38" s="8">
        <v>45771.0</v>
      </c>
      <c r="X38" s="9" t="s">
        <v>10</v>
      </c>
      <c r="Y38" s="10"/>
      <c r="Z38" s="10"/>
      <c r="AA38" s="10"/>
      <c r="AB38" s="10"/>
      <c r="AC38" s="11"/>
      <c r="AD38" s="8"/>
      <c r="AE38" s="9" t="s">
        <v>10</v>
      </c>
      <c r="AF38" s="10"/>
      <c r="AG38" s="10"/>
      <c r="AH38" s="10"/>
      <c r="AI38" s="10"/>
      <c r="AJ38" s="11"/>
      <c r="AL38" s="18" t="s">
        <v>36</v>
      </c>
      <c r="AM38" s="9" t="s">
        <v>10</v>
      </c>
      <c r="AN38" s="10">
        <f t="shared" ref="AN38:AP38" si="45">D38+K38+R38+Y38+AF38</f>
        <v>0</v>
      </c>
      <c r="AO38" s="10">
        <f t="shared" si="45"/>
        <v>0</v>
      </c>
      <c r="AP38" s="10">
        <f t="shared" si="45"/>
        <v>0</v>
      </c>
      <c r="AQ38" s="11">
        <f t="shared" ref="AQ38:AQ45" si="47">H38+O38+V38+AC38+AJ38</f>
        <v>0</v>
      </c>
    </row>
    <row r="39">
      <c r="A39" s="19"/>
      <c r="B39" s="19"/>
      <c r="C39" s="9" t="s">
        <v>12</v>
      </c>
      <c r="D39" s="10"/>
      <c r="E39" s="10"/>
      <c r="F39" s="10"/>
      <c r="G39" s="10"/>
      <c r="H39" s="11"/>
      <c r="I39" s="19"/>
      <c r="J39" s="9" t="s">
        <v>12</v>
      </c>
      <c r="K39" s="10"/>
      <c r="L39" s="10"/>
      <c r="M39" s="10"/>
      <c r="N39" s="10"/>
      <c r="O39" s="11"/>
      <c r="P39" s="19"/>
      <c r="Q39" s="9" t="s">
        <v>12</v>
      </c>
      <c r="R39" s="10"/>
      <c r="S39" s="10"/>
      <c r="T39" s="10"/>
      <c r="U39" s="10"/>
      <c r="V39" s="11"/>
      <c r="W39" s="19"/>
      <c r="X39" s="9" t="s">
        <v>12</v>
      </c>
      <c r="Y39" s="10"/>
      <c r="Z39" s="10"/>
      <c r="AA39" s="10"/>
      <c r="AB39" s="10"/>
      <c r="AC39" s="11"/>
      <c r="AD39" s="19"/>
      <c r="AE39" s="9" t="s">
        <v>12</v>
      </c>
      <c r="AF39" s="10"/>
      <c r="AG39" s="10"/>
      <c r="AH39" s="10"/>
      <c r="AI39" s="10"/>
      <c r="AJ39" s="11"/>
      <c r="AL39" s="19"/>
      <c r="AM39" s="9" t="s">
        <v>12</v>
      </c>
      <c r="AN39" s="10">
        <f t="shared" ref="AN39:AP39" si="46">D39+K39+R39+Y39+AF39</f>
        <v>0</v>
      </c>
      <c r="AO39" s="10">
        <f t="shared" si="46"/>
        <v>0</v>
      </c>
      <c r="AP39" s="10">
        <f t="shared" si="46"/>
        <v>0</v>
      </c>
      <c r="AQ39" s="11">
        <f t="shared" si="47"/>
        <v>0</v>
      </c>
    </row>
    <row r="40">
      <c r="A40" s="19"/>
      <c r="B40" s="19"/>
      <c r="C40" s="9" t="s">
        <v>14</v>
      </c>
      <c r="D40" s="10"/>
      <c r="E40" s="10"/>
      <c r="F40" s="10"/>
      <c r="G40" s="10"/>
      <c r="H40" s="11"/>
      <c r="I40" s="19"/>
      <c r="J40" s="9" t="s">
        <v>14</v>
      </c>
      <c r="K40" s="10"/>
      <c r="L40" s="10"/>
      <c r="M40" s="10"/>
      <c r="N40" s="10"/>
      <c r="O40" s="11"/>
      <c r="P40" s="19"/>
      <c r="Q40" s="290" t="s">
        <v>14</v>
      </c>
      <c r="R40" s="291"/>
      <c r="S40" s="10"/>
      <c r="T40" s="10"/>
      <c r="U40" s="10"/>
      <c r="V40" s="11"/>
      <c r="W40" s="19"/>
      <c r="X40" s="173" t="s">
        <v>14</v>
      </c>
      <c r="Y40" s="10"/>
      <c r="Z40" s="10"/>
      <c r="AA40" s="10"/>
      <c r="AB40" s="10"/>
      <c r="AC40" s="11"/>
      <c r="AD40" s="19"/>
      <c r="AE40" s="9" t="s">
        <v>14</v>
      </c>
      <c r="AF40" s="10"/>
      <c r="AG40" s="10"/>
      <c r="AH40" s="10"/>
      <c r="AI40" s="10"/>
      <c r="AJ40" s="11"/>
      <c r="AL40" s="19"/>
      <c r="AM40" s="9" t="s">
        <v>14</v>
      </c>
      <c r="AN40" s="10">
        <f t="shared" ref="AN40:AP40" si="48">D40+K40+R40+Y40+AF40</f>
        <v>0</v>
      </c>
      <c r="AO40" s="10">
        <f t="shared" si="48"/>
        <v>0</v>
      </c>
      <c r="AP40" s="10">
        <f t="shared" si="48"/>
        <v>0</v>
      </c>
      <c r="AQ40" s="11">
        <f t="shared" si="47"/>
        <v>0</v>
      </c>
    </row>
    <row r="41">
      <c r="A41" s="19"/>
      <c r="B41" s="19"/>
      <c r="C41" s="9" t="s">
        <v>16</v>
      </c>
      <c r="D41" s="10"/>
      <c r="E41" s="10"/>
      <c r="F41" s="10"/>
      <c r="G41" s="10"/>
      <c r="H41" s="11"/>
      <c r="I41" s="19"/>
      <c r="J41" s="15" t="s">
        <v>16</v>
      </c>
      <c r="K41" s="10"/>
      <c r="L41" s="10"/>
      <c r="M41" s="10"/>
      <c r="N41" s="10"/>
      <c r="O41" s="11"/>
      <c r="P41" s="19"/>
      <c r="Q41" s="9" t="s">
        <v>16</v>
      </c>
      <c r="R41" s="10"/>
      <c r="S41" s="10"/>
      <c r="T41" s="10"/>
      <c r="U41" s="10"/>
      <c r="V41" s="11"/>
      <c r="W41" s="19"/>
      <c r="X41" s="9" t="s">
        <v>16</v>
      </c>
      <c r="Y41" s="10"/>
      <c r="Z41" s="10"/>
      <c r="AA41" s="10"/>
      <c r="AB41" s="10"/>
      <c r="AC41" s="11"/>
      <c r="AD41" s="19"/>
      <c r="AE41" s="9" t="s">
        <v>16</v>
      </c>
      <c r="AF41" s="10"/>
      <c r="AG41" s="10"/>
      <c r="AH41" s="10"/>
      <c r="AI41" s="10"/>
      <c r="AJ41" s="11"/>
      <c r="AL41" s="19"/>
      <c r="AM41" s="9" t="s">
        <v>16</v>
      </c>
      <c r="AN41" s="10">
        <f t="shared" ref="AN41:AP41" si="49">D41+K41+R41+Y41+AF41</f>
        <v>0</v>
      </c>
      <c r="AO41" s="10">
        <f t="shared" si="49"/>
        <v>0</v>
      </c>
      <c r="AP41" s="10">
        <f t="shared" si="49"/>
        <v>0</v>
      </c>
      <c r="AQ41" s="11">
        <f t="shared" si="47"/>
        <v>0</v>
      </c>
    </row>
    <row r="42">
      <c r="A42" s="19"/>
      <c r="B42" s="19"/>
      <c r="C42" s="9" t="s">
        <v>17</v>
      </c>
      <c r="D42" s="10"/>
      <c r="E42" s="10"/>
      <c r="F42" s="10"/>
      <c r="G42" s="10"/>
      <c r="H42" s="11"/>
      <c r="I42" s="19"/>
      <c r="J42" s="15" t="s">
        <v>17</v>
      </c>
      <c r="K42" s="10"/>
      <c r="L42" s="10"/>
      <c r="M42" s="10"/>
      <c r="N42" s="10"/>
      <c r="O42" s="11"/>
      <c r="P42" s="19"/>
      <c r="Q42" s="9" t="s">
        <v>17</v>
      </c>
      <c r="R42" s="10"/>
      <c r="S42" s="10"/>
      <c r="T42" s="10"/>
      <c r="U42" s="10"/>
      <c r="V42" s="11"/>
      <c r="W42" s="19"/>
      <c r="X42" s="9" t="s">
        <v>17</v>
      </c>
      <c r="Y42" s="10"/>
      <c r="Z42" s="10"/>
      <c r="AA42" s="10"/>
      <c r="AB42" s="10"/>
      <c r="AC42" s="11"/>
      <c r="AD42" s="19"/>
      <c r="AE42" s="9" t="s">
        <v>17</v>
      </c>
      <c r="AF42" s="10"/>
      <c r="AG42" s="10"/>
      <c r="AH42" s="10"/>
      <c r="AI42" s="10"/>
      <c r="AJ42" s="11"/>
      <c r="AL42" s="19"/>
      <c r="AM42" s="9" t="s">
        <v>17</v>
      </c>
      <c r="AN42" s="10">
        <f t="shared" ref="AN42:AP42" si="50">D42+K42+R42+Y42+AF42</f>
        <v>0</v>
      </c>
      <c r="AO42" s="10">
        <f t="shared" si="50"/>
        <v>0</v>
      </c>
      <c r="AP42" s="10">
        <f t="shared" si="50"/>
        <v>0</v>
      </c>
      <c r="AQ42" s="11">
        <f t="shared" si="47"/>
        <v>0</v>
      </c>
    </row>
    <row r="43">
      <c r="A43" s="19"/>
      <c r="B43" s="19"/>
      <c r="C43" s="9" t="s">
        <v>18</v>
      </c>
      <c r="D43" s="10"/>
      <c r="E43" s="10"/>
      <c r="F43" s="10"/>
      <c r="G43" s="10"/>
      <c r="H43" s="11"/>
      <c r="I43" s="19"/>
      <c r="J43" s="9" t="s">
        <v>18</v>
      </c>
      <c r="K43" s="10"/>
      <c r="L43" s="10"/>
      <c r="M43" s="10"/>
      <c r="N43" s="10"/>
      <c r="O43" s="11"/>
      <c r="P43" s="19"/>
      <c r="Q43" s="15" t="s">
        <v>18</v>
      </c>
      <c r="R43" s="10"/>
      <c r="S43" s="10"/>
      <c r="T43" s="10"/>
      <c r="U43" s="10"/>
      <c r="V43" s="11"/>
      <c r="W43" s="19"/>
      <c r="X43" s="9" t="s">
        <v>18</v>
      </c>
      <c r="Y43" s="10"/>
      <c r="Z43" s="10"/>
      <c r="AA43" s="10"/>
      <c r="AB43" s="10"/>
      <c r="AC43" s="11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1">D43+K43+R43+Y43+AF43</f>
        <v>0</v>
      </c>
      <c r="AO43" s="10">
        <f t="shared" si="51"/>
        <v>0</v>
      </c>
      <c r="AP43" s="10">
        <f t="shared" si="51"/>
        <v>0</v>
      </c>
      <c r="AQ43" s="11">
        <f t="shared" si="47"/>
        <v>0</v>
      </c>
    </row>
    <row r="44">
      <c r="A44" s="19"/>
      <c r="B44" s="19"/>
      <c r="C44" s="9" t="s">
        <v>20</v>
      </c>
      <c r="D44" s="10"/>
      <c r="E44" s="10"/>
      <c r="F44" s="10"/>
      <c r="G44" s="10"/>
      <c r="H44" s="11"/>
      <c r="I44" s="19"/>
      <c r="J44" s="9" t="s">
        <v>19</v>
      </c>
      <c r="K44" s="10"/>
      <c r="L44" s="10"/>
      <c r="M44" s="10"/>
      <c r="N44" s="10"/>
      <c r="O44" s="11"/>
      <c r="P44" s="19"/>
      <c r="Q44" s="15" t="s">
        <v>19</v>
      </c>
      <c r="R44" s="10"/>
      <c r="S44" s="10"/>
      <c r="T44" s="10"/>
      <c r="U44" s="10"/>
      <c r="V44" s="11"/>
      <c r="W44" s="19"/>
      <c r="X44" s="9" t="s">
        <v>19</v>
      </c>
      <c r="Y44" s="10"/>
      <c r="Z44" s="10"/>
      <c r="AA44" s="10"/>
      <c r="AB44" s="10"/>
      <c r="AC44" s="11"/>
      <c r="AD44" s="19"/>
      <c r="AE44" s="9" t="s">
        <v>19</v>
      </c>
      <c r="AF44" s="10"/>
      <c r="AG44" s="10"/>
      <c r="AH44" s="10"/>
      <c r="AI44" s="10"/>
      <c r="AJ44" s="11"/>
      <c r="AL44" s="19"/>
      <c r="AM44" s="9" t="s">
        <v>19</v>
      </c>
      <c r="AN44" s="10">
        <f t="shared" ref="AN44:AP44" si="52">D44+K44+R44+Y44+AF44</f>
        <v>0</v>
      </c>
      <c r="AO44" s="10">
        <f t="shared" si="52"/>
        <v>0</v>
      </c>
      <c r="AP44" s="10">
        <f t="shared" si="52"/>
        <v>0</v>
      </c>
      <c r="AQ44" s="11">
        <f t="shared" si="47"/>
        <v>0</v>
      </c>
    </row>
    <row r="45">
      <c r="A45" s="19"/>
      <c r="B45" s="19"/>
      <c r="C45" s="26" t="s">
        <v>21</v>
      </c>
      <c r="D45" s="10"/>
      <c r="E45" s="10"/>
      <c r="F45" s="10"/>
      <c r="G45" s="10"/>
      <c r="H45" s="11"/>
      <c r="I45" s="19"/>
      <c r="J45" s="26" t="s">
        <v>21</v>
      </c>
      <c r="K45" s="10"/>
      <c r="L45" s="10"/>
      <c r="M45" s="10"/>
      <c r="N45" s="10"/>
      <c r="O45" s="11"/>
      <c r="P45" s="19"/>
      <c r="Q45" s="26" t="s">
        <v>21</v>
      </c>
      <c r="R45" s="10"/>
      <c r="S45" s="10"/>
      <c r="T45" s="10"/>
      <c r="U45" s="10"/>
      <c r="V45" s="11"/>
      <c r="W45" s="19"/>
      <c r="X45" s="27" t="s">
        <v>22</v>
      </c>
      <c r="Y45" s="10"/>
      <c r="Z45" s="10"/>
      <c r="AA45" s="10"/>
      <c r="AB45" s="10"/>
      <c r="AC45" s="11"/>
      <c r="AD45" s="19"/>
      <c r="AE45" s="26" t="s">
        <v>21</v>
      </c>
      <c r="AF45" s="10"/>
      <c r="AG45" s="10"/>
      <c r="AH45" s="10"/>
      <c r="AI45" s="10"/>
      <c r="AJ45" s="11"/>
      <c r="AL45" s="19"/>
      <c r="AM45" s="26" t="s">
        <v>21</v>
      </c>
      <c r="AN45" s="10">
        <f t="shared" ref="AN45:AP45" si="53">D45+K45+R45+Y45+AF45</f>
        <v>0</v>
      </c>
      <c r="AO45" s="10">
        <f t="shared" si="53"/>
        <v>0</v>
      </c>
      <c r="AP45" s="10">
        <f t="shared" si="53"/>
        <v>0</v>
      </c>
      <c r="AQ45" s="11">
        <f t="shared" si="47"/>
        <v>0</v>
      </c>
    </row>
    <row r="46">
      <c r="A46" s="19"/>
      <c r="B46" s="19"/>
      <c r="C46" s="28" t="s">
        <v>23</v>
      </c>
      <c r="D46" s="29">
        <f t="shared" ref="D46:H46" si="54">D38+D39+D40+D41+D42+D43+D44+D45</f>
        <v>0</v>
      </c>
      <c r="E46" s="35">
        <f t="shared" si="54"/>
        <v>0</v>
      </c>
      <c r="F46" s="31">
        <f t="shared" si="54"/>
        <v>0</v>
      </c>
      <c r="G46" s="37">
        <f t="shared" si="54"/>
        <v>0</v>
      </c>
      <c r="H46" s="33">
        <f t="shared" si="54"/>
        <v>0</v>
      </c>
      <c r="I46" s="19"/>
      <c r="J46" s="28" t="s">
        <v>23</v>
      </c>
      <c r="K46" s="61">
        <f t="shared" ref="K46:O46" si="55">K38+K39+K40+K41+K42+K43+K44+K45</f>
        <v>0</v>
      </c>
      <c r="L46" s="35">
        <f t="shared" si="55"/>
        <v>0</v>
      </c>
      <c r="M46" s="31">
        <f t="shared" si="55"/>
        <v>0</v>
      </c>
      <c r="N46" s="37">
        <f t="shared" si="55"/>
        <v>0</v>
      </c>
      <c r="O46" s="294">
        <f t="shared" si="55"/>
        <v>0</v>
      </c>
      <c r="P46" s="19"/>
      <c r="Q46" s="28" t="s">
        <v>23</v>
      </c>
      <c r="R46" s="61">
        <f t="shared" ref="R46:V46" si="56">R38+R39+R40+R41+R42+R43+R44+R45</f>
        <v>0</v>
      </c>
      <c r="S46" s="35">
        <f t="shared" si="56"/>
        <v>0</v>
      </c>
      <c r="T46" s="36">
        <f t="shared" si="56"/>
        <v>0</v>
      </c>
      <c r="U46" s="37">
        <f t="shared" si="56"/>
        <v>0</v>
      </c>
      <c r="V46" s="33">
        <f t="shared" si="56"/>
        <v>0</v>
      </c>
      <c r="W46" s="19"/>
      <c r="X46" s="66" t="s">
        <v>23</v>
      </c>
      <c r="Y46" s="61">
        <f t="shared" ref="Y46:AC46" si="57">Y38+Y39+Y40+Y41+Y42+Y43+Y44+Y45</f>
        <v>0</v>
      </c>
      <c r="Z46" s="35">
        <f t="shared" si="57"/>
        <v>0</v>
      </c>
      <c r="AA46" s="36">
        <f t="shared" si="57"/>
        <v>0</v>
      </c>
      <c r="AB46" s="37">
        <f t="shared" si="57"/>
        <v>0</v>
      </c>
      <c r="AC46" s="33">
        <f t="shared" si="57"/>
        <v>0</v>
      </c>
      <c r="AD46" s="19"/>
      <c r="AE46" s="28" t="s">
        <v>23</v>
      </c>
      <c r="AF46" s="29">
        <f t="shared" ref="AF46:AJ46" si="58">AF38+AF39+AF40+AF41+AF42+AF43+AF44+AF45</f>
        <v>0</v>
      </c>
      <c r="AG46" s="30">
        <f t="shared" si="58"/>
        <v>0</v>
      </c>
      <c r="AH46" s="31">
        <f t="shared" si="58"/>
        <v>0</v>
      </c>
      <c r="AI46" s="32">
        <f t="shared" si="58"/>
        <v>0</v>
      </c>
      <c r="AJ46" s="33">
        <f t="shared" si="58"/>
        <v>0</v>
      </c>
      <c r="AL46" s="19"/>
      <c r="AM46" s="28" t="s">
        <v>23</v>
      </c>
      <c r="AN46" s="41">
        <f t="shared" ref="AN46:AQ46" si="59">AN38+AN39+AN40+AN41+AN42+AN43+AN44+AN45</f>
        <v>0</v>
      </c>
      <c r="AO46" s="42">
        <f t="shared" si="59"/>
        <v>0</v>
      </c>
      <c r="AP46" s="43">
        <f t="shared" si="59"/>
        <v>0</v>
      </c>
      <c r="AQ46" s="44">
        <f t="shared" si="59"/>
        <v>0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0</v>
      </c>
      <c r="L47" s="47"/>
      <c r="M47" s="48"/>
      <c r="N47" s="51"/>
      <c r="O47" s="51"/>
      <c r="P47" s="19"/>
      <c r="Q47" s="45" t="s">
        <v>24</v>
      </c>
      <c r="R47" s="50">
        <f>R46-S46</f>
        <v>0</v>
      </c>
      <c r="S47" s="47"/>
      <c r="T47" s="48"/>
      <c r="U47" s="51"/>
      <c r="V47" s="51"/>
      <c r="W47" s="19"/>
      <c r="X47" s="45" t="s">
        <v>24</v>
      </c>
      <c r="Y47" s="50">
        <f>Y46-Z46</f>
        <v>0</v>
      </c>
      <c r="Z47" s="47"/>
      <c r="AA47" s="48"/>
      <c r="AB47" s="51"/>
      <c r="AC47" s="51"/>
      <c r="AD47" s="19"/>
      <c r="AE47" s="45" t="s">
        <v>24</v>
      </c>
      <c r="AF47" s="50">
        <f>AF46-AG46</f>
        <v>0</v>
      </c>
      <c r="AG47" s="47"/>
      <c r="AH47" s="48"/>
      <c r="AI47" s="51"/>
      <c r="AJ47" s="51"/>
      <c r="AL47" s="53"/>
      <c r="AM47" s="45" t="s">
        <v>25</v>
      </c>
      <c r="AN47" s="50">
        <f>AN46-AO46</f>
        <v>0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0</v>
      </c>
      <c r="L48" s="47"/>
      <c r="M48" s="48"/>
      <c r="N48" s="51"/>
      <c r="O48" s="51"/>
      <c r="P48" s="53"/>
      <c r="Q48" s="56" t="s">
        <v>26</v>
      </c>
      <c r="R48" s="57">
        <f>T46-S46</f>
        <v>0</v>
      </c>
      <c r="S48" s="47"/>
      <c r="T48" s="48"/>
      <c r="U48" s="51"/>
      <c r="V48" s="51"/>
      <c r="W48" s="53"/>
      <c r="X48" s="56" t="s">
        <v>26</v>
      </c>
      <c r="Y48" s="57">
        <f>AA46-Z46</f>
        <v>0</v>
      </c>
      <c r="Z48" s="47"/>
      <c r="AA48" s="48"/>
      <c r="AB48" s="51"/>
      <c r="AC48" s="51"/>
      <c r="AD48" s="53"/>
      <c r="AE48" s="56" t="s">
        <v>26</v>
      </c>
      <c r="AF48" s="57">
        <f>AH46-AG46</f>
        <v>0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2" t="s">
        <v>1</v>
      </c>
      <c r="D49" s="3" t="s">
        <v>2</v>
      </c>
      <c r="E49" s="2" t="s">
        <v>3</v>
      </c>
      <c r="F49" s="2" t="s">
        <v>4</v>
      </c>
      <c r="G49" s="2" t="s">
        <v>5</v>
      </c>
      <c r="H49" s="5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2" t="s">
        <v>1</v>
      </c>
      <c r="R49" s="4" t="s">
        <v>7</v>
      </c>
      <c r="S49" s="2" t="s">
        <v>3</v>
      </c>
      <c r="T49" s="2" t="s">
        <v>4</v>
      </c>
      <c r="U49" s="2" t="s">
        <v>5</v>
      </c>
      <c r="V49" s="5" t="s">
        <v>6</v>
      </c>
      <c r="W49" s="68" t="s">
        <v>0</v>
      </c>
      <c r="X49" s="2" t="s">
        <v>1</v>
      </c>
      <c r="Y49" s="4" t="s">
        <v>7</v>
      </c>
      <c r="Z49" s="2" t="s">
        <v>3</v>
      </c>
      <c r="AA49" s="2" t="s">
        <v>4</v>
      </c>
      <c r="AB49" s="2" t="s">
        <v>5</v>
      </c>
      <c r="AC49" s="5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>
        <v>45751.0</v>
      </c>
      <c r="C50" s="295" t="s">
        <v>10</v>
      </c>
      <c r="D50" s="10"/>
      <c r="E50" s="10"/>
      <c r="F50" s="10"/>
      <c r="G50" s="10"/>
      <c r="H50" s="11"/>
      <c r="I50" s="12">
        <v>45758.0</v>
      </c>
      <c r="J50" s="9" t="s">
        <v>10</v>
      </c>
      <c r="K50" s="10"/>
      <c r="L50" s="10"/>
      <c r="M50" s="10"/>
      <c r="N50" s="10"/>
      <c r="O50" s="11"/>
      <c r="P50" s="296" t="s">
        <v>266</v>
      </c>
      <c r="Q50" s="9" t="s">
        <v>10</v>
      </c>
      <c r="R50" s="10"/>
      <c r="S50" s="10"/>
      <c r="T50" s="10"/>
      <c r="U50" s="10"/>
      <c r="V50" s="11"/>
      <c r="W50" s="8">
        <v>45802.0</v>
      </c>
      <c r="X50" s="15" t="s">
        <v>10</v>
      </c>
      <c r="Y50" s="10"/>
      <c r="Z50" s="10"/>
      <c r="AA50" s="10"/>
      <c r="AB50" s="10"/>
      <c r="AC50" s="11"/>
      <c r="AD50" s="8"/>
      <c r="AE50" s="9" t="s">
        <v>10</v>
      </c>
      <c r="AF50" s="10"/>
      <c r="AG50" s="10"/>
      <c r="AH50" s="10"/>
      <c r="AI50" s="10"/>
      <c r="AJ50" s="11"/>
      <c r="AL50" s="18" t="s">
        <v>38</v>
      </c>
      <c r="AM50" s="9" t="s">
        <v>10</v>
      </c>
      <c r="AN50" s="10">
        <f t="shared" ref="AN50:AP50" si="60">D50+K50+R50+Y50+AF50</f>
        <v>0</v>
      </c>
      <c r="AO50" s="10">
        <f t="shared" si="60"/>
        <v>0</v>
      </c>
      <c r="AP50" s="10">
        <f t="shared" si="60"/>
        <v>0</v>
      </c>
      <c r="AQ50" s="11">
        <f t="shared" ref="AQ50:AQ57" si="62">H50+O50+V50+AC50+AJ50</f>
        <v>0</v>
      </c>
    </row>
    <row r="51">
      <c r="A51" s="19"/>
      <c r="B51" s="19"/>
      <c r="C51" s="15" t="s">
        <v>12</v>
      </c>
      <c r="D51" s="10"/>
      <c r="E51" s="10"/>
      <c r="F51" s="10"/>
      <c r="G51" s="10"/>
      <c r="H51" s="11"/>
      <c r="I51" s="19"/>
      <c r="J51" s="9" t="s">
        <v>12</v>
      </c>
      <c r="K51" s="10"/>
      <c r="L51" s="10"/>
      <c r="M51" s="10"/>
      <c r="N51" s="10"/>
      <c r="O51" s="11"/>
      <c r="P51" s="19"/>
      <c r="Q51" s="9" t="s">
        <v>32</v>
      </c>
      <c r="R51" s="10"/>
      <c r="S51" s="10"/>
      <c r="T51" s="10"/>
      <c r="U51" s="10"/>
      <c r="V51" s="11"/>
      <c r="W51" s="19"/>
      <c r="X51" s="15" t="s">
        <v>12</v>
      </c>
      <c r="Y51" s="10"/>
      <c r="Z51" s="10"/>
      <c r="AA51" s="10"/>
      <c r="AB51" s="10"/>
      <c r="AC51" s="11"/>
      <c r="AD51" s="19"/>
      <c r="AE51" s="9" t="s">
        <v>12</v>
      </c>
      <c r="AF51" s="10"/>
      <c r="AG51" s="10"/>
      <c r="AH51" s="10"/>
      <c r="AI51" s="10"/>
      <c r="AJ51" s="11"/>
      <c r="AL51" s="19"/>
      <c r="AM51" s="9" t="s">
        <v>12</v>
      </c>
      <c r="AN51" s="10">
        <f t="shared" ref="AN51:AP51" si="61">D51+K51+R51+Y51+AF51</f>
        <v>0</v>
      </c>
      <c r="AO51" s="10">
        <f t="shared" si="61"/>
        <v>0</v>
      </c>
      <c r="AP51" s="10">
        <f t="shared" si="61"/>
        <v>0</v>
      </c>
      <c r="AQ51" s="11">
        <f t="shared" si="62"/>
        <v>0</v>
      </c>
    </row>
    <row r="52">
      <c r="A52" s="19"/>
      <c r="B52" s="19"/>
      <c r="C52" s="15" t="s">
        <v>14</v>
      </c>
      <c r="D52" s="10"/>
      <c r="E52" s="10"/>
      <c r="F52" s="10"/>
      <c r="G52" s="10"/>
      <c r="H52" s="11"/>
      <c r="I52" s="19"/>
      <c r="J52" s="15" t="s">
        <v>14</v>
      </c>
      <c r="K52" s="10"/>
      <c r="L52" s="10"/>
      <c r="M52" s="10"/>
      <c r="N52" s="10"/>
      <c r="O52" s="11"/>
      <c r="P52" s="19"/>
      <c r="Q52" s="9" t="s">
        <v>14</v>
      </c>
      <c r="R52" s="10"/>
      <c r="S52" s="10"/>
      <c r="T52" s="10"/>
      <c r="U52" s="10"/>
      <c r="V52" s="11"/>
      <c r="W52" s="19"/>
      <c r="X52" s="173" t="s">
        <v>14</v>
      </c>
      <c r="Y52" s="10"/>
      <c r="Z52" s="10"/>
      <c r="AA52" s="10"/>
      <c r="AB52" s="10"/>
      <c r="AC52" s="11"/>
      <c r="AD52" s="19"/>
      <c r="AE52" s="9" t="s">
        <v>14</v>
      </c>
      <c r="AF52" s="10"/>
      <c r="AG52" s="10"/>
      <c r="AH52" s="10"/>
      <c r="AI52" s="10"/>
      <c r="AJ52" s="11"/>
      <c r="AL52" s="19"/>
      <c r="AM52" s="9" t="s">
        <v>14</v>
      </c>
      <c r="AN52" s="10">
        <f t="shared" ref="AN52:AP52" si="63">D52+K52+R52+Y52+AF52</f>
        <v>0</v>
      </c>
      <c r="AO52" s="10">
        <f t="shared" si="63"/>
        <v>0</v>
      </c>
      <c r="AP52" s="10">
        <f t="shared" si="63"/>
        <v>0</v>
      </c>
      <c r="AQ52" s="11">
        <f t="shared" si="62"/>
        <v>0</v>
      </c>
    </row>
    <row r="53">
      <c r="A53" s="19"/>
      <c r="B53" s="19"/>
      <c r="C53" s="15" t="s">
        <v>16</v>
      </c>
      <c r="D53" s="10"/>
      <c r="E53" s="10"/>
      <c r="F53" s="10"/>
      <c r="G53" s="10"/>
      <c r="H53" s="11"/>
      <c r="I53" s="19"/>
      <c r="J53" s="9" t="s">
        <v>15</v>
      </c>
      <c r="K53" s="10"/>
      <c r="L53" s="10"/>
      <c r="M53" s="10"/>
      <c r="N53" s="10"/>
      <c r="O53" s="11"/>
      <c r="P53" s="19"/>
      <c r="Q53" s="9" t="s">
        <v>16</v>
      </c>
      <c r="R53" s="10"/>
      <c r="S53" s="10"/>
      <c r="T53" s="10"/>
      <c r="U53" s="10"/>
      <c r="V53" s="11"/>
      <c r="W53" s="19"/>
      <c r="X53" s="9" t="s">
        <v>16</v>
      </c>
      <c r="Y53" s="10"/>
      <c r="Z53" s="10"/>
      <c r="AA53" s="10"/>
      <c r="AB53" s="10"/>
      <c r="AC53" s="11"/>
      <c r="AD53" s="19"/>
      <c r="AE53" s="9" t="s">
        <v>16</v>
      </c>
      <c r="AF53" s="10"/>
      <c r="AG53" s="10"/>
      <c r="AH53" s="10"/>
      <c r="AI53" s="10"/>
      <c r="AJ53" s="11"/>
      <c r="AL53" s="19"/>
      <c r="AM53" s="9" t="s">
        <v>16</v>
      </c>
      <c r="AN53" s="10">
        <f t="shared" ref="AN53:AP53" si="64">D53+K53+R53+Y53+AF53</f>
        <v>0</v>
      </c>
      <c r="AO53" s="10">
        <f t="shared" si="64"/>
        <v>0</v>
      </c>
      <c r="AP53" s="10">
        <f t="shared" si="64"/>
        <v>0</v>
      </c>
      <c r="AQ53" s="11">
        <f t="shared" si="62"/>
        <v>0</v>
      </c>
    </row>
    <row r="54">
      <c r="A54" s="19"/>
      <c r="B54" s="19"/>
      <c r="C54" s="9" t="s">
        <v>17</v>
      </c>
      <c r="D54" s="10"/>
      <c r="E54" s="10"/>
      <c r="F54" s="10"/>
      <c r="G54" s="10"/>
      <c r="H54" s="11"/>
      <c r="I54" s="19"/>
      <c r="J54" s="15" t="s">
        <v>17</v>
      </c>
      <c r="K54" s="10"/>
      <c r="L54" s="10"/>
      <c r="M54" s="10"/>
      <c r="N54" s="10"/>
      <c r="O54" s="11"/>
      <c r="P54" s="19"/>
      <c r="Q54" s="9" t="s">
        <v>17</v>
      </c>
      <c r="R54" s="10"/>
      <c r="S54" s="10"/>
      <c r="T54" s="10"/>
      <c r="U54" s="10"/>
      <c r="V54" s="11"/>
      <c r="W54" s="19"/>
      <c r="X54" s="9" t="s">
        <v>17</v>
      </c>
      <c r="Y54" s="10"/>
      <c r="Z54" s="10"/>
      <c r="AA54" s="10"/>
      <c r="AB54" s="10"/>
      <c r="AC54" s="11"/>
      <c r="AD54" s="19"/>
      <c r="AE54" s="9" t="s">
        <v>17</v>
      </c>
      <c r="AF54" s="10"/>
      <c r="AG54" s="10"/>
      <c r="AH54" s="10"/>
      <c r="AI54" s="10"/>
      <c r="AJ54" s="11"/>
      <c r="AL54" s="19"/>
      <c r="AM54" s="9" t="s">
        <v>17</v>
      </c>
      <c r="AN54" s="10">
        <f t="shared" ref="AN54:AP54" si="65">D54+K54+R54+Y54+AF54</f>
        <v>0</v>
      </c>
      <c r="AO54" s="10">
        <f t="shared" si="65"/>
        <v>0</v>
      </c>
      <c r="AP54" s="10">
        <f t="shared" si="65"/>
        <v>0</v>
      </c>
      <c r="AQ54" s="11">
        <f t="shared" si="62"/>
        <v>0</v>
      </c>
    </row>
    <row r="55">
      <c r="A55" s="19"/>
      <c r="B55" s="19"/>
      <c r="C55" s="15" t="s">
        <v>18</v>
      </c>
      <c r="D55" s="10"/>
      <c r="E55" s="10"/>
      <c r="F55" s="10"/>
      <c r="G55" s="10"/>
      <c r="H55" s="11"/>
      <c r="I55" s="19"/>
      <c r="J55" s="15" t="s">
        <v>18</v>
      </c>
      <c r="K55" s="10"/>
      <c r="L55" s="10"/>
      <c r="M55" s="10"/>
      <c r="N55" s="10"/>
      <c r="O55" s="11"/>
      <c r="P55" s="19"/>
      <c r="Q55" s="9" t="s">
        <v>29</v>
      </c>
      <c r="R55" s="10"/>
      <c r="S55" s="10"/>
      <c r="T55" s="10"/>
      <c r="U55" s="10"/>
      <c r="V55" s="11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6">D55+K55+R55+Y55+AF55</f>
        <v>0</v>
      </c>
      <c r="AO55" s="10">
        <f t="shared" si="66"/>
        <v>0</v>
      </c>
      <c r="AP55" s="10">
        <f t="shared" si="66"/>
        <v>0</v>
      </c>
      <c r="AQ55" s="11">
        <f t="shared" si="62"/>
        <v>0</v>
      </c>
    </row>
    <row r="56">
      <c r="A56" s="19"/>
      <c r="B56" s="19"/>
      <c r="C56" s="15" t="s">
        <v>20</v>
      </c>
      <c r="D56" s="10"/>
      <c r="E56" s="10"/>
      <c r="F56" s="10"/>
      <c r="G56" s="10"/>
      <c r="H56" s="11"/>
      <c r="I56" s="19"/>
      <c r="J56" s="9" t="s">
        <v>19</v>
      </c>
      <c r="K56" s="10"/>
      <c r="L56" s="10"/>
      <c r="M56" s="10"/>
      <c r="N56" s="10"/>
      <c r="O56" s="11"/>
      <c r="P56" s="19"/>
      <c r="Q56" s="9" t="s">
        <v>19</v>
      </c>
      <c r="R56" s="10"/>
      <c r="S56" s="10"/>
      <c r="T56" s="10"/>
      <c r="U56" s="10"/>
      <c r="V56" s="11"/>
      <c r="W56" s="19"/>
      <c r="X56" s="9" t="s">
        <v>19</v>
      </c>
      <c r="Y56" s="10"/>
      <c r="Z56" s="10"/>
      <c r="AA56" s="10"/>
      <c r="AB56" s="10"/>
      <c r="AC56" s="11"/>
      <c r="AD56" s="19"/>
      <c r="AE56" s="9" t="s">
        <v>19</v>
      </c>
      <c r="AF56" s="10"/>
      <c r="AG56" s="10"/>
      <c r="AH56" s="10"/>
      <c r="AI56" s="10"/>
      <c r="AJ56" s="11"/>
      <c r="AL56" s="19"/>
      <c r="AM56" s="9" t="s">
        <v>19</v>
      </c>
      <c r="AN56" s="10">
        <f t="shared" ref="AN56:AP56" si="67">D56+K56+R56+Y56+AF56</f>
        <v>0</v>
      </c>
      <c r="AO56" s="10">
        <f t="shared" si="67"/>
        <v>0</v>
      </c>
      <c r="AP56" s="10">
        <f t="shared" si="67"/>
        <v>0</v>
      </c>
      <c r="AQ56" s="11">
        <f t="shared" si="62"/>
        <v>0</v>
      </c>
    </row>
    <row r="57">
      <c r="A57" s="19"/>
      <c r="B57" s="19"/>
      <c r="C57" s="26" t="s">
        <v>21</v>
      </c>
      <c r="D57" s="10"/>
      <c r="E57" s="10"/>
      <c r="F57" s="10"/>
      <c r="G57" s="10"/>
      <c r="H57" s="11"/>
      <c r="I57" s="19"/>
      <c r="J57" s="26" t="s">
        <v>21</v>
      </c>
      <c r="K57" s="10"/>
      <c r="L57" s="10"/>
      <c r="M57" s="10"/>
      <c r="N57" s="10"/>
      <c r="O57" s="11"/>
      <c r="P57" s="19"/>
      <c r="Q57" s="26" t="s">
        <v>21</v>
      </c>
      <c r="R57" s="10"/>
      <c r="S57" s="10"/>
      <c r="T57" s="10"/>
      <c r="U57" s="10"/>
      <c r="V57" s="11"/>
      <c r="W57" s="19"/>
      <c r="X57" s="26" t="s">
        <v>21</v>
      </c>
      <c r="Y57" s="10"/>
      <c r="Z57" s="10"/>
      <c r="AA57" s="10"/>
      <c r="AB57" s="10"/>
      <c r="AC57" s="11"/>
      <c r="AD57" s="19"/>
      <c r="AE57" s="26" t="s">
        <v>21</v>
      </c>
      <c r="AF57" s="10"/>
      <c r="AG57" s="10"/>
      <c r="AH57" s="10"/>
      <c r="AI57" s="10"/>
      <c r="AJ57" s="11"/>
      <c r="AL57" s="19"/>
      <c r="AM57" s="26" t="s">
        <v>21</v>
      </c>
      <c r="AN57" s="10">
        <f t="shared" ref="AN57:AP57" si="68">D57+K57+R57+Y57+AF57</f>
        <v>0</v>
      </c>
      <c r="AO57" s="10">
        <f t="shared" si="68"/>
        <v>0</v>
      </c>
      <c r="AP57" s="10">
        <f t="shared" si="68"/>
        <v>0</v>
      </c>
      <c r="AQ57" s="11">
        <f t="shared" si="62"/>
        <v>0</v>
      </c>
    </row>
    <row r="58">
      <c r="A58" s="19"/>
      <c r="B58" s="19"/>
      <c r="C58" s="28" t="s">
        <v>23</v>
      </c>
      <c r="D58" s="29">
        <f t="shared" ref="D58:H58" si="69">D50+D51+D52+D53+D54+D55+D56+D57</f>
        <v>0</v>
      </c>
      <c r="E58" s="30">
        <f t="shared" si="69"/>
        <v>0</v>
      </c>
      <c r="F58" s="31">
        <f t="shared" si="69"/>
        <v>0</v>
      </c>
      <c r="G58" s="37">
        <f t="shared" si="69"/>
        <v>0</v>
      </c>
      <c r="H58" s="33">
        <f t="shared" si="69"/>
        <v>0</v>
      </c>
      <c r="I58" s="19"/>
      <c r="J58" s="28" t="s">
        <v>23</v>
      </c>
      <c r="K58" s="61">
        <f t="shared" ref="K58:O58" si="70">K50+K51+K52+K53+K54+K55+K56+K57</f>
        <v>0</v>
      </c>
      <c r="L58" s="30">
        <f t="shared" si="70"/>
        <v>0</v>
      </c>
      <c r="M58" s="31">
        <f t="shared" si="70"/>
        <v>0</v>
      </c>
      <c r="N58" s="37">
        <f t="shared" si="70"/>
        <v>0</v>
      </c>
      <c r="O58" s="38">
        <f t="shared" si="70"/>
        <v>0</v>
      </c>
      <c r="P58" s="19"/>
      <c r="Q58" s="28" t="s">
        <v>23</v>
      </c>
      <c r="R58" s="29">
        <f t="shared" ref="R58:V58" si="71">R50+R51+R52+R53+R54+R55+R56+R57</f>
        <v>0</v>
      </c>
      <c r="S58" s="30">
        <f t="shared" si="71"/>
        <v>0</v>
      </c>
      <c r="T58" s="31">
        <f t="shared" si="71"/>
        <v>0</v>
      </c>
      <c r="U58" s="37">
        <f t="shared" si="71"/>
        <v>0</v>
      </c>
      <c r="V58" s="33">
        <f t="shared" si="71"/>
        <v>0</v>
      </c>
      <c r="W58" s="19"/>
      <c r="X58" s="28" t="s">
        <v>23</v>
      </c>
      <c r="Y58" s="61">
        <f t="shared" ref="Y58:AC58" si="72">Y50+Y51+Y52+Y53+Y54+Y55+Y56+Y57</f>
        <v>0</v>
      </c>
      <c r="Z58" s="35">
        <f t="shared" si="72"/>
        <v>0</v>
      </c>
      <c r="AA58" s="36">
        <f t="shared" si="72"/>
        <v>0</v>
      </c>
      <c r="AB58" s="37">
        <f t="shared" si="72"/>
        <v>0</v>
      </c>
      <c r="AC58" s="33">
        <f t="shared" si="72"/>
        <v>0</v>
      </c>
      <c r="AD58" s="19"/>
      <c r="AE58" s="28" t="s">
        <v>23</v>
      </c>
      <c r="AF58" s="29">
        <f t="shared" ref="AF58:AJ58" si="73">AF50+AF51+AF52+AF53+AF54+AF55+AF56+AF57</f>
        <v>0</v>
      </c>
      <c r="AG58" s="30">
        <f t="shared" si="73"/>
        <v>0</v>
      </c>
      <c r="AH58" s="31">
        <f t="shared" si="73"/>
        <v>0</v>
      </c>
      <c r="AI58" s="32">
        <f t="shared" si="73"/>
        <v>0</v>
      </c>
      <c r="AJ58" s="33">
        <f t="shared" si="73"/>
        <v>0</v>
      </c>
      <c r="AL58" s="19"/>
      <c r="AM58" s="28" t="s">
        <v>23</v>
      </c>
      <c r="AN58" s="41">
        <f t="shared" ref="AN58:AQ58" si="74">AN50+AN51+AN52+AN53+AN54+AN55+AN56+AN57</f>
        <v>0</v>
      </c>
      <c r="AO58" s="42">
        <f t="shared" si="74"/>
        <v>0</v>
      </c>
      <c r="AP58" s="43">
        <f t="shared" si="74"/>
        <v>0</v>
      </c>
      <c r="AQ58" s="44">
        <f t="shared" si="74"/>
        <v>0</v>
      </c>
    </row>
    <row r="59" hidden="1">
      <c r="A59" s="19"/>
      <c r="B59" s="19"/>
      <c r="C59" s="45" t="s">
        <v>24</v>
      </c>
      <c r="D59" s="50">
        <f>D58-E58</f>
        <v>0</v>
      </c>
      <c r="E59" s="47"/>
      <c r="F59" s="48"/>
      <c r="G59" s="51"/>
      <c r="H59" s="51"/>
      <c r="I59" s="19"/>
      <c r="J59" s="45" t="s">
        <v>24</v>
      </c>
      <c r="K59" s="50">
        <f>K58-L58</f>
        <v>0</v>
      </c>
      <c r="L59" s="47"/>
      <c r="M59" s="48"/>
      <c r="N59" s="51"/>
      <c r="O59" s="51"/>
      <c r="P59" s="19"/>
      <c r="Q59" s="45" t="s">
        <v>24</v>
      </c>
      <c r="R59" s="50">
        <f>R58-S58</f>
        <v>0</v>
      </c>
      <c r="S59" s="47"/>
      <c r="T59" s="48"/>
      <c r="U59" s="51"/>
      <c r="V59" s="51"/>
      <c r="W59" s="19"/>
      <c r="X59" s="45" t="s">
        <v>24</v>
      </c>
      <c r="Y59" s="50">
        <f>Y58-Z58</f>
        <v>0</v>
      </c>
      <c r="Z59" s="47"/>
      <c r="AA59" s="48"/>
      <c r="AB59" s="51"/>
      <c r="AC59" s="51"/>
      <c r="AD59" s="19"/>
      <c r="AE59" s="45" t="s">
        <v>24</v>
      </c>
      <c r="AF59" s="50">
        <f>AF58-AG58</f>
        <v>0</v>
      </c>
      <c r="AG59" s="47"/>
      <c r="AH59" s="48"/>
      <c r="AI59" s="51"/>
      <c r="AJ59" s="51"/>
      <c r="AL59" s="53"/>
      <c r="AM59" s="45" t="s">
        <v>25</v>
      </c>
      <c r="AN59" s="50">
        <f>AN58-AO58</f>
        <v>0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0</v>
      </c>
      <c r="E60" s="47"/>
      <c r="F60" s="48"/>
      <c r="G60" s="67"/>
      <c r="H60" s="51"/>
      <c r="I60" s="53"/>
      <c r="J60" s="56" t="s">
        <v>26</v>
      </c>
      <c r="K60" s="57">
        <f>M58-L58</f>
        <v>0</v>
      </c>
      <c r="L60" s="47"/>
      <c r="M60" s="48"/>
      <c r="N60" s="51"/>
      <c r="O60" s="51"/>
      <c r="P60" s="53"/>
      <c r="Q60" s="56" t="s">
        <v>26</v>
      </c>
      <c r="R60" s="57">
        <f>T58-S58</f>
        <v>0</v>
      </c>
      <c r="S60" s="47"/>
      <c r="T60" s="48"/>
      <c r="U60" s="51"/>
      <c r="V60" s="51"/>
      <c r="W60" s="53"/>
      <c r="X60" s="56" t="s">
        <v>26</v>
      </c>
      <c r="Y60" s="57">
        <f>AA58-Z58</f>
        <v>0</v>
      </c>
      <c r="Z60" s="47"/>
      <c r="AA60" s="48"/>
      <c r="AB60" s="51"/>
      <c r="AC60" s="51"/>
      <c r="AD60" s="53"/>
      <c r="AE60" s="56" t="s">
        <v>26</v>
      </c>
      <c r="AF60" s="57">
        <f>AH58-AG58</f>
        <v>0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2" t="s">
        <v>1</v>
      </c>
      <c r="K61" s="4" t="s">
        <v>7</v>
      </c>
      <c r="L61" s="2" t="s">
        <v>3</v>
      </c>
      <c r="M61" s="2" t="s">
        <v>4</v>
      </c>
      <c r="N61" s="2" t="s">
        <v>5</v>
      </c>
      <c r="O61" s="5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2" t="s">
        <v>1</v>
      </c>
      <c r="Y61" s="4" t="s">
        <v>7</v>
      </c>
      <c r="Z61" s="2" t="s">
        <v>3</v>
      </c>
      <c r="AA61" s="2" t="s">
        <v>4</v>
      </c>
      <c r="AB61" s="2" t="s">
        <v>5</v>
      </c>
      <c r="AC61" s="5" t="s">
        <v>6</v>
      </c>
      <c r="AD61" s="1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>
        <v>45752.0</v>
      </c>
      <c r="C62" s="15" t="s">
        <v>10</v>
      </c>
      <c r="D62" s="10"/>
      <c r="E62" s="10"/>
      <c r="F62" s="10"/>
      <c r="G62" s="10"/>
      <c r="H62" s="11"/>
      <c r="I62" s="12">
        <v>45759.0</v>
      </c>
      <c r="J62" s="9" t="s">
        <v>10</v>
      </c>
      <c r="K62" s="10"/>
      <c r="L62" s="10"/>
      <c r="M62" s="10"/>
      <c r="N62" s="10"/>
      <c r="O62" s="11"/>
      <c r="P62" s="8">
        <v>45766.0</v>
      </c>
      <c r="Q62" s="9" t="s">
        <v>10</v>
      </c>
      <c r="R62" s="10"/>
      <c r="S62" s="10"/>
      <c r="T62" s="10"/>
      <c r="U62" s="10"/>
      <c r="V62" s="11"/>
      <c r="W62" s="8">
        <v>45773.0</v>
      </c>
      <c r="X62" s="9" t="s">
        <v>10</v>
      </c>
      <c r="Y62" s="10"/>
      <c r="Z62" s="10"/>
      <c r="AA62" s="10"/>
      <c r="AB62" s="10"/>
      <c r="AC62" s="11"/>
      <c r="AD62" s="12"/>
      <c r="AE62" s="9" t="s">
        <v>10</v>
      </c>
      <c r="AF62" s="10"/>
      <c r="AG62" s="10"/>
      <c r="AH62" s="10"/>
      <c r="AI62" s="10"/>
      <c r="AJ62" s="11"/>
      <c r="AL62" s="18" t="s">
        <v>40</v>
      </c>
      <c r="AM62" s="9" t="s">
        <v>10</v>
      </c>
      <c r="AN62" s="10">
        <f t="shared" ref="AN62:AP62" si="75">D62+K62+R62+Y62+AF62</f>
        <v>0</v>
      </c>
      <c r="AO62" s="10">
        <f t="shared" si="75"/>
        <v>0</v>
      </c>
      <c r="AP62" s="10">
        <f t="shared" si="75"/>
        <v>0</v>
      </c>
      <c r="AQ62" s="11">
        <f t="shared" ref="AQ62:AQ69" si="77">H62+O62+V62+AC62+AJ62</f>
        <v>0</v>
      </c>
    </row>
    <row r="63">
      <c r="A63" s="19"/>
      <c r="B63" s="19"/>
      <c r="C63" s="9" t="s">
        <v>12</v>
      </c>
      <c r="D63" s="10"/>
      <c r="E63" s="10"/>
      <c r="F63" s="10"/>
      <c r="G63" s="10"/>
      <c r="H63" s="11"/>
      <c r="I63" s="19"/>
      <c r="J63" s="9" t="s">
        <v>12</v>
      </c>
      <c r="K63" s="10"/>
      <c r="L63" s="10"/>
      <c r="M63" s="10"/>
      <c r="N63" s="10"/>
      <c r="O63" s="11"/>
      <c r="P63" s="19"/>
      <c r="Q63" s="15" t="s">
        <v>12</v>
      </c>
      <c r="R63" s="72"/>
      <c r="S63" s="10"/>
      <c r="T63" s="72"/>
      <c r="U63" s="10"/>
      <c r="V63" s="11"/>
      <c r="W63" s="19"/>
      <c r="X63" s="15" t="s">
        <v>12</v>
      </c>
      <c r="Y63" s="10"/>
      <c r="Z63" s="10"/>
      <c r="AA63" s="10"/>
      <c r="AB63" s="10"/>
      <c r="AC63" s="11"/>
      <c r="AD63" s="19"/>
      <c r="AE63" s="9" t="s">
        <v>12</v>
      </c>
      <c r="AF63" s="10"/>
      <c r="AG63" s="10"/>
      <c r="AH63" s="10"/>
      <c r="AI63" s="10"/>
      <c r="AJ63" s="11"/>
      <c r="AL63" s="19"/>
      <c r="AM63" s="9" t="s">
        <v>12</v>
      </c>
      <c r="AN63" s="10">
        <f t="shared" ref="AN63:AP63" si="76">D63+K63+R63+Y63+AF63</f>
        <v>0</v>
      </c>
      <c r="AO63" s="10">
        <f t="shared" si="76"/>
        <v>0</v>
      </c>
      <c r="AP63" s="10">
        <f t="shared" si="76"/>
        <v>0</v>
      </c>
      <c r="AQ63" s="11">
        <f t="shared" si="77"/>
        <v>0</v>
      </c>
    </row>
    <row r="64">
      <c r="A64" s="19"/>
      <c r="B64" s="19"/>
      <c r="C64" s="9" t="s">
        <v>14</v>
      </c>
      <c r="D64" s="10"/>
      <c r="E64" s="10"/>
      <c r="F64" s="10"/>
      <c r="G64" s="10"/>
      <c r="H64" s="11"/>
      <c r="I64" s="19"/>
      <c r="J64" s="15" t="s">
        <v>14</v>
      </c>
      <c r="K64" s="10"/>
      <c r="L64" s="10"/>
      <c r="M64" s="10"/>
      <c r="N64" s="10"/>
      <c r="O64" s="11"/>
      <c r="P64" s="19"/>
      <c r="Q64" s="290" t="s">
        <v>14</v>
      </c>
      <c r="R64" s="291"/>
      <c r="S64" s="10"/>
      <c r="T64" s="10"/>
      <c r="U64" s="10"/>
      <c r="V64" s="11"/>
      <c r="W64" s="19"/>
      <c r="X64" s="173" t="s">
        <v>14</v>
      </c>
      <c r="Y64" s="10"/>
      <c r="Z64" s="10"/>
      <c r="AA64" s="10"/>
      <c r="AB64" s="10"/>
      <c r="AC64" s="11"/>
      <c r="AD64" s="19"/>
      <c r="AE64" s="9" t="s">
        <v>14</v>
      </c>
      <c r="AF64" s="10"/>
      <c r="AG64" s="10"/>
      <c r="AH64" s="10"/>
      <c r="AI64" s="10"/>
      <c r="AJ64" s="11"/>
      <c r="AL64" s="19"/>
      <c r="AM64" s="9" t="s">
        <v>14</v>
      </c>
      <c r="AN64" s="10">
        <f t="shared" ref="AN64:AP64" si="78">D64+K64+R64+Y64+AF64</f>
        <v>0</v>
      </c>
      <c r="AO64" s="10">
        <f t="shared" si="78"/>
        <v>0</v>
      </c>
      <c r="AP64" s="10">
        <f t="shared" si="78"/>
        <v>0</v>
      </c>
      <c r="AQ64" s="11">
        <f t="shared" si="77"/>
        <v>0</v>
      </c>
    </row>
    <row r="65">
      <c r="A65" s="19"/>
      <c r="B65" s="19"/>
      <c r="C65" s="15" t="s">
        <v>16</v>
      </c>
      <c r="D65" s="10"/>
      <c r="E65" s="10"/>
      <c r="F65" s="10"/>
      <c r="G65" s="10"/>
      <c r="H65" s="11"/>
      <c r="I65" s="19"/>
      <c r="J65" s="9" t="s">
        <v>16</v>
      </c>
      <c r="K65" s="10"/>
      <c r="L65" s="10"/>
      <c r="M65" s="10"/>
      <c r="N65" s="10"/>
      <c r="O65" s="11"/>
      <c r="P65" s="19"/>
      <c r="Q65" s="15" t="s">
        <v>16</v>
      </c>
      <c r="R65" s="10"/>
      <c r="S65" s="10"/>
      <c r="T65" s="10"/>
      <c r="U65" s="10"/>
      <c r="V65" s="11"/>
      <c r="W65" s="19"/>
      <c r="X65" s="15" t="s">
        <v>16</v>
      </c>
      <c r="Y65" s="10"/>
      <c r="Z65" s="10"/>
      <c r="AA65" s="10"/>
      <c r="AB65" s="10"/>
      <c r="AC65" s="11"/>
      <c r="AD65" s="19"/>
      <c r="AE65" s="9" t="s">
        <v>16</v>
      </c>
      <c r="AF65" s="10"/>
      <c r="AG65" s="10"/>
      <c r="AH65" s="10"/>
      <c r="AI65" s="10"/>
      <c r="AJ65" s="11"/>
      <c r="AL65" s="19"/>
      <c r="AM65" s="9" t="s">
        <v>16</v>
      </c>
      <c r="AN65" s="10">
        <f t="shared" ref="AN65:AP65" si="79">D65+K65+R65+Y65+AF65</f>
        <v>0</v>
      </c>
      <c r="AO65" s="10">
        <f t="shared" si="79"/>
        <v>0</v>
      </c>
      <c r="AP65" s="10">
        <f t="shared" si="79"/>
        <v>0</v>
      </c>
      <c r="AQ65" s="11">
        <f t="shared" si="77"/>
        <v>0</v>
      </c>
    </row>
    <row r="66">
      <c r="A66" s="19"/>
      <c r="B66" s="19"/>
      <c r="C66" s="9" t="s">
        <v>17</v>
      </c>
      <c r="D66" s="10"/>
      <c r="E66" s="10"/>
      <c r="F66" s="10"/>
      <c r="G66" s="10"/>
      <c r="H66" s="11"/>
      <c r="I66" s="19"/>
      <c r="J66" s="15" t="s">
        <v>17</v>
      </c>
      <c r="K66" s="10"/>
      <c r="L66" s="10"/>
      <c r="M66" s="10"/>
      <c r="N66" s="10"/>
      <c r="O66" s="11"/>
      <c r="P66" s="19"/>
      <c r="Q66" s="15" t="s">
        <v>17</v>
      </c>
      <c r="R66" s="10"/>
      <c r="S66" s="10"/>
      <c r="T66" s="10"/>
      <c r="U66" s="10"/>
      <c r="V66" s="11"/>
      <c r="W66" s="19"/>
      <c r="X66" s="15" t="s">
        <v>17</v>
      </c>
      <c r="Y66" s="10"/>
      <c r="Z66" s="10"/>
      <c r="AA66" s="10"/>
      <c r="AB66" s="10"/>
      <c r="AC66" s="11"/>
      <c r="AD66" s="19"/>
      <c r="AE66" s="9" t="s">
        <v>17</v>
      </c>
      <c r="AF66" s="10"/>
      <c r="AG66" s="10"/>
      <c r="AH66" s="10"/>
      <c r="AI66" s="10"/>
      <c r="AJ66" s="11"/>
      <c r="AL66" s="19"/>
      <c r="AM66" s="9" t="s">
        <v>17</v>
      </c>
      <c r="AN66" s="10">
        <f t="shared" ref="AN66:AP66" si="80">D66+K66+R66+Y66+AF66</f>
        <v>0</v>
      </c>
      <c r="AO66" s="10">
        <f t="shared" si="80"/>
        <v>0</v>
      </c>
      <c r="AP66" s="10">
        <f t="shared" si="80"/>
        <v>0</v>
      </c>
      <c r="AQ66" s="11">
        <f t="shared" si="77"/>
        <v>0</v>
      </c>
    </row>
    <row r="67">
      <c r="A67" s="19"/>
      <c r="B67" s="19"/>
      <c r="C67" s="15" t="s">
        <v>18</v>
      </c>
      <c r="D67" s="10"/>
      <c r="E67" s="10"/>
      <c r="F67" s="10"/>
      <c r="G67" s="10"/>
      <c r="H67" s="11"/>
      <c r="I67" s="19"/>
      <c r="J67" s="9" t="s">
        <v>18</v>
      </c>
      <c r="K67" s="10"/>
      <c r="L67" s="10"/>
      <c r="M67" s="10"/>
      <c r="N67" s="10"/>
      <c r="O67" s="11"/>
      <c r="P67" s="19"/>
      <c r="Q67" s="9" t="s">
        <v>18</v>
      </c>
      <c r="R67" s="10"/>
      <c r="S67" s="10"/>
      <c r="T67" s="10"/>
      <c r="U67" s="10"/>
      <c r="V67" s="11"/>
      <c r="W67" s="19"/>
      <c r="X67" s="15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1">D67+K67+R67+Y67+AF67</f>
        <v>0</v>
      </c>
      <c r="AO67" s="10">
        <f t="shared" si="81"/>
        <v>0</v>
      </c>
      <c r="AP67" s="10">
        <f t="shared" si="81"/>
        <v>0</v>
      </c>
      <c r="AQ67" s="11">
        <f t="shared" si="77"/>
        <v>0</v>
      </c>
    </row>
    <row r="68">
      <c r="A68" s="19"/>
      <c r="B68" s="19"/>
      <c r="C68" s="9" t="s">
        <v>20</v>
      </c>
      <c r="D68" s="10"/>
      <c r="E68" s="10"/>
      <c r="F68" s="10"/>
      <c r="G68" s="10"/>
      <c r="H68" s="11"/>
      <c r="I68" s="19"/>
      <c r="J68" s="15" t="s">
        <v>20</v>
      </c>
      <c r="K68" s="10"/>
      <c r="L68" s="10"/>
      <c r="M68" s="10"/>
      <c r="N68" s="10"/>
      <c r="O68" s="11"/>
      <c r="P68" s="19"/>
      <c r="Q68" s="9" t="s">
        <v>19</v>
      </c>
      <c r="R68" s="10"/>
      <c r="S68" s="10"/>
      <c r="T68" s="10"/>
      <c r="U68" s="10"/>
      <c r="V68" s="11"/>
      <c r="W68" s="19"/>
      <c r="X68" s="9" t="s">
        <v>19</v>
      </c>
      <c r="Y68" s="10"/>
      <c r="Z68" s="10"/>
      <c r="AA68" s="10"/>
      <c r="AB68" s="10"/>
      <c r="AC68" s="11"/>
      <c r="AD68" s="19"/>
      <c r="AE68" s="9" t="s">
        <v>19</v>
      </c>
      <c r="AF68" s="10"/>
      <c r="AG68" s="10"/>
      <c r="AH68" s="10"/>
      <c r="AI68" s="10"/>
      <c r="AJ68" s="11"/>
      <c r="AL68" s="19"/>
      <c r="AM68" s="9" t="s">
        <v>19</v>
      </c>
      <c r="AN68" s="10">
        <f t="shared" ref="AN68:AP68" si="82">D68+K68+R68+Y68+AF68</f>
        <v>0</v>
      </c>
      <c r="AO68" s="10">
        <f t="shared" si="82"/>
        <v>0</v>
      </c>
      <c r="AP68" s="10">
        <f t="shared" si="82"/>
        <v>0</v>
      </c>
      <c r="AQ68" s="11">
        <f t="shared" si="77"/>
        <v>0</v>
      </c>
    </row>
    <row r="69">
      <c r="A69" s="19"/>
      <c r="B69" s="19"/>
      <c r="C69" s="26" t="s">
        <v>21</v>
      </c>
      <c r="D69" s="10"/>
      <c r="E69" s="10"/>
      <c r="F69" s="10"/>
      <c r="G69" s="10"/>
      <c r="H69" s="11"/>
      <c r="I69" s="19"/>
      <c r="J69" s="27" t="s">
        <v>21</v>
      </c>
      <c r="K69" s="10"/>
      <c r="L69" s="10"/>
      <c r="M69" s="10"/>
      <c r="N69" s="10"/>
      <c r="O69" s="11"/>
      <c r="P69" s="19"/>
      <c r="Q69" s="27" t="s">
        <v>21</v>
      </c>
      <c r="R69" s="10"/>
      <c r="S69" s="10"/>
      <c r="T69" s="10"/>
      <c r="U69" s="10"/>
      <c r="V69" s="11"/>
      <c r="W69" s="19"/>
      <c r="X69" s="27" t="s">
        <v>21</v>
      </c>
      <c r="Y69" s="10"/>
      <c r="Z69" s="10"/>
      <c r="AA69" s="10"/>
      <c r="AB69" s="10"/>
      <c r="AC69" s="11"/>
      <c r="AD69" s="19"/>
      <c r="AE69" s="26" t="s">
        <v>21</v>
      </c>
      <c r="AF69" s="10"/>
      <c r="AG69" s="10"/>
      <c r="AH69" s="10"/>
      <c r="AI69" s="10"/>
      <c r="AJ69" s="11"/>
      <c r="AL69" s="19"/>
      <c r="AM69" s="26" t="s">
        <v>21</v>
      </c>
      <c r="AN69" s="10">
        <f t="shared" ref="AN69:AP69" si="83">D69+K69+R69+Y69+AF69</f>
        <v>0</v>
      </c>
      <c r="AO69" s="10">
        <f t="shared" si="83"/>
        <v>0</v>
      </c>
      <c r="AP69" s="10">
        <f t="shared" si="83"/>
        <v>0</v>
      </c>
      <c r="AQ69" s="11">
        <f t="shared" si="77"/>
        <v>0</v>
      </c>
    </row>
    <row r="70">
      <c r="A70" s="19"/>
      <c r="B70" s="19"/>
      <c r="C70" s="28" t="s">
        <v>23</v>
      </c>
      <c r="D70" s="29">
        <f t="shared" ref="D70:H70" si="84">D62+D63+D64+D65+D66+D67+D68+D69</f>
        <v>0</v>
      </c>
      <c r="E70" s="30">
        <f t="shared" si="84"/>
        <v>0</v>
      </c>
      <c r="F70" s="31">
        <f t="shared" si="84"/>
        <v>0</v>
      </c>
      <c r="G70" s="37">
        <f t="shared" si="84"/>
        <v>0</v>
      </c>
      <c r="H70" s="33">
        <f t="shared" si="84"/>
        <v>0</v>
      </c>
      <c r="I70" s="19"/>
      <c r="J70" s="28" t="s">
        <v>23</v>
      </c>
      <c r="K70" s="297">
        <f t="shared" ref="K70:O70" si="85">K62+K63+K64+K65+K66+K67+K68+K69</f>
        <v>0</v>
      </c>
      <c r="L70" s="30">
        <f t="shared" si="85"/>
        <v>0</v>
      </c>
      <c r="M70" s="36">
        <f t="shared" si="85"/>
        <v>0</v>
      </c>
      <c r="N70" s="37">
        <f t="shared" si="85"/>
        <v>0</v>
      </c>
      <c r="O70" s="38">
        <f t="shared" si="85"/>
        <v>0</v>
      </c>
      <c r="P70" s="19"/>
      <c r="Q70" s="28" t="s">
        <v>23</v>
      </c>
      <c r="R70" s="29">
        <f t="shared" ref="R70:V70" si="86">R62+R63+R64+R65+R66+R67+R68+R69</f>
        <v>0</v>
      </c>
      <c r="S70" s="30">
        <f t="shared" si="86"/>
        <v>0</v>
      </c>
      <c r="T70" s="31">
        <f t="shared" si="86"/>
        <v>0</v>
      </c>
      <c r="U70" s="37">
        <f t="shared" si="86"/>
        <v>0</v>
      </c>
      <c r="V70" s="33">
        <f t="shared" si="86"/>
        <v>0</v>
      </c>
      <c r="W70" s="19"/>
      <c r="X70" s="28" t="s">
        <v>23</v>
      </c>
      <c r="Y70" s="61">
        <f t="shared" ref="Y70:AC70" si="87">Y62+Y63+Y64+Y65+Y66+Y67+Y68+Y69</f>
        <v>0</v>
      </c>
      <c r="Z70" s="30">
        <f t="shared" si="87"/>
        <v>0</v>
      </c>
      <c r="AA70" s="36">
        <f t="shared" si="87"/>
        <v>0</v>
      </c>
      <c r="AB70" s="37">
        <f t="shared" si="87"/>
        <v>0</v>
      </c>
      <c r="AC70" s="33">
        <f t="shared" si="87"/>
        <v>0</v>
      </c>
      <c r="AD70" s="19"/>
      <c r="AE70" s="28" t="s">
        <v>23</v>
      </c>
      <c r="AF70" s="29">
        <f t="shared" ref="AF70:AJ70" si="88">AF62+AF63+AF64+AF65+AF66+AF67+AF68+AF69</f>
        <v>0</v>
      </c>
      <c r="AG70" s="30">
        <f t="shared" si="88"/>
        <v>0</v>
      </c>
      <c r="AH70" s="31">
        <f t="shared" si="88"/>
        <v>0</v>
      </c>
      <c r="AI70" s="32">
        <f t="shared" si="88"/>
        <v>0</v>
      </c>
      <c r="AJ70" s="33">
        <f t="shared" si="88"/>
        <v>0</v>
      </c>
      <c r="AL70" s="19"/>
      <c r="AM70" s="28" t="s">
        <v>23</v>
      </c>
      <c r="AN70" s="41">
        <f t="shared" ref="AN70:AQ70" si="89">AN62+AN63+AN64+AN65+AN66+AN67+AN68+AN69</f>
        <v>0</v>
      </c>
      <c r="AO70" s="42">
        <f t="shared" si="89"/>
        <v>0</v>
      </c>
      <c r="AP70" s="43">
        <f t="shared" si="89"/>
        <v>0</v>
      </c>
      <c r="AQ70" s="44">
        <f t="shared" si="89"/>
        <v>0</v>
      </c>
    </row>
    <row r="71" hidden="1">
      <c r="A71" s="19"/>
      <c r="B71" s="19"/>
      <c r="C71" s="45" t="s">
        <v>24</v>
      </c>
      <c r="D71" s="50">
        <f>D70-E70</f>
        <v>0</v>
      </c>
      <c r="E71" s="47"/>
      <c r="F71" s="48"/>
      <c r="G71" s="51"/>
      <c r="H71" s="51"/>
      <c r="I71" s="19"/>
      <c r="J71" s="45" t="s">
        <v>24</v>
      </c>
      <c r="K71" s="50">
        <f>K70-L70</f>
        <v>0</v>
      </c>
      <c r="L71" s="47"/>
      <c r="M71" s="48"/>
      <c r="N71" s="51"/>
      <c r="O71" s="51"/>
      <c r="P71" s="19"/>
      <c r="Q71" s="45" t="s">
        <v>24</v>
      </c>
      <c r="R71" s="50">
        <f>R70-S70</f>
        <v>0</v>
      </c>
      <c r="S71" s="47"/>
      <c r="T71" s="48"/>
      <c r="U71" s="51"/>
      <c r="V71" s="51"/>
      <c r="W71" s="19"/>
      <c r="X71" s="45" t="s">
        <v>24</v>
      </c>
      <c r="Y71" s="50">
        <f>Y70-Z70</f>
        <v>0</v>
      </c>
      <c r="Z71" s="47"/>
      <c r="AA71" s="48"/>
      <c r="AB71" s="51"/>
      <c r="AC71" s="51"/>
      <c r="AD71" s="19"/>
      <c r="AE71" s="45" t="s">
        <v>24</v>
      </c>
      <c r="AF71" s="50">
        <f>AF70-AG70</f>
        <v>0</v>
      </c>
      <c r="AG71" s="47"/>
      <c r="AH71" s="48"/>
      <c r="AI71" s="51"/>
      <c r="AJ71" s="51"/>
      <c r="AL71" s="53"/>
      <c r="AM71" s="45" t="s">
        <v>25</v>
      </c>
      <c r="AN71" s="50">
        <f>AN70-AO70</f>
        <v>0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0</v>
      </c>
      <c r="E72" s="47"/>
      <c r="F72" s="48"/>
      <c r="G72" s="59"/>
      <c r="H72" s="51"/>
      <c r="I72" s="53"/>
      <c r="J72" s="56" t="s">
        <v>26</v>
      </c>
      <c r="K72" s="57">
        <f>M70-L70</f>
        <v>0</v>
      </c>
      <c r="L72" s="47"/>
      <c r="M72" s="48"/>
      <c r="N72" s="51"/>
      <c r="O72" s="51"/>
      <c r="P72" s="53"/>
      <c r="Q72" s="56" t="s">
        <v>26</v>
      </c>
      <c r="R72" s="57">
        <f>T70-S70</f>
        <v>0</v>
      </c>
      <c r="S72" s="47"/>
      <c r="T72" s="48"/>
      <c r="U72" s="51"/>
      <c r="V72" s="51"/>
      <c r="W72" s="53"/>
      <c r="X72" s="56" t="s">
        <v>26</v>
      </c>
      <c r="Y72" s="57">
        <f>AA70-Z70</f>
        <v>0</v>
      </c>
      <c r="Z72" s="47"/>
      <c r="AA72" s="48"/>
      <c r="AB72" s="59"/>
      <c r="AC72" s="51"/>
      <c r="AD72" s="53"/>
      <c r="AE72" s="56" t="s">
        <v>26</v>
      </c>
      <c r="AF72" s="57">
        <f>AH70-AG70</f>
        <v>0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45753.0</v>
      </c>
      <c r="C74" s="9" t="s">
        <v>10</v>
      </c>
      <c r="D74" s="10"/>
      <c r="E74" s="10"/>
      <c r="F74" s="10"/>
      <c r="G74" s="10"/>
      <c r="H74" s="11"/>
      <c r="I74" s="12">
        <v>45760.0</v>
      </c>
      <c r="J74" s="9"/>
      <c r="K74" s="10"/>
      <c r="L74" s="10"/>
      <c r="M74" s="10"/>
      <c r="N74" s="10"/>
      <c r="O74" s="11"/>
      <c r="P74" s="8">
        <v>45767.0</v>
      </c>
      <c r="Q74" s="9"/>
      <c r="R74" s="10"/>
      <c r="S74" s="10"/>
      <c r="T74" s="10"/>
      <c r="U74" s="10"/>
      <c r="V74" s="11"/>
      <c r="W74" s="8">
        <v>45774.0</v>
      </c>
      <c r="X74" s="9"/>
      <c r="Y74" s="10"/>
      <c r="Z74" s="10"/>
      <c r="AA74" s="10"/>
      <c r="AB74" s="10"/>
      <c r="AC74" s="11"/>
      <c r="AD74" s="12"/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/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9" t="s">
        <v>14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/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/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/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/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/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43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0">D81+K81+R81+Y81+AF81</f>
        <v>0</v>
      </c>
      <c r="AO81" s="10">
        <f t="shared" si="90"/>
        <v>0</v>
      </c>
      <c r="AP81" s="10">
        <f t="shared" si="90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1">D74+D75+D76+D77+D78+D79+D80+D81</f>
        <v>0</v>
      </c>
      <c r="E82" s="30">
        <f t="shared" si="91"/>
        <v>0</v>
      </c>
      <c r="F82" s="31">
        <f t="shared" si="91"/>
        <v>0</v>
      </c>
      <c r="G82" s="32">
        <f t="shared" si="91"/>
        <v>0</v>
      </c>
      <c r="H82" s="33">
        <f t="shared" si="91"/>
        <v>0</v>
      </c>
      <c r="I82" s="19"/>
      <c r="J82" s="28" t="s">
        <v>23</v>
      </c>
      <c r="K82" s="29">
        <f t="shared" ref="K82:O82" si="92">K74+K75+K76+K77+K78+K79+K80+K81</f>
        <v>0</v>
      </c>
      <c r="L82" s="30">
        <f t="shared" si="92"/>
        <v>0</v>
      </c>
      <c r="M82" s="31">
        <f t="shared" si="92"/>
        <v>0</v>
      </c>
      <c r="N82" s="32">
        <f t="shared" si="92"/>
        <v>0</v>
      </c>
      <c r="O82" s="33">
        <f t="shared" si="92"/>
        <v>0</v>
      </c>
      <c r="P82" s="19"/>
      <c r="Q82" s="28" t="s">
        <v>23</v>
      </c>
      <c r="R82" s="29">
        <f t="shared" ref="R82:V82" si="93">R74+R75+R76+R77+R78+R79+R80+R81</f>
        <v>0</v>
      </c>
      <c r="S82" s="30">
        <f t="shared" si="93"/>
        <v>0</v>
      </c>
      <c r="T82" s="31">
        <f t="shared" si="93"/>
        <v>0</v>
      </c>
      <c r="U82" s="32">
        <f t="shared" si="93"/>
        <v>0</v>
      </c>
      <c r="V82" s="33">
        <f t="shared" si="93"/>
        <v>0</v>
      </c>
      <c r="W82" s="19"/>
      <c r="X82" s="28" t="s">
        <v>23</v>
      </c>
      <c r="Y82" s="29">
        <f t="shared" ref="Y82:AC82" si="94">Y74+Y75+Y76+Y77+Y78+Y79+Y80+Y81</f>
        <v>0</v>
      </c>
      <c r="Z82" s="30">
        <f t="shared" si="94"/>
        <v>0</v>
      </c>
      <c r="AA82" s="31">
        <f t="shared" si="94"/>
        <v>0</v>
      </c>
      <c r="AB82" s="32">
        <f t="shared" si="94"/>
        <v>0</v>
      </c>
      <c r="AC82" s="33">
        <f t="shared" si="94"/>
        <v>0</v>
      </c>
      <c r="AD82" s="19"/>
      <c r="AE82" s="28" t="s">
        <v>23</v>
      </c>
      <c r="AF82" s="29">
        <f t="shared" ref="AF82:AJ82" si="95">AF74+AF75+AF76+AF77+AF78+AF79+AF80+AF81</f>
        <v>0</v>
      </c>
      <c r="AG82" s="30">
        <f t="shared" si="95"/>
        <v>0</v>
      </c>
      <c r="AH82" s="31">
        <f t="shared" si="95"/>
        <v>0</v>
      </c>
      <c r="AI82" s="32">
        <f t="shared" si="95"/>
        <v>0</v>
      </c>
      <c r="AJ82" s="33">
        <f t="shared" si="95"/>
        <v>0</v>
      </c>
      <c r="AL82" s="19"/>
      <c r="AM82" s="28" t="s">
        <v>23</v>
      </c>
      <c r="AN82" s="41">
        <f t="shared" ref="AN82:AQ82" si="96">AN74+AN75+AN76+AN77+AN78+AN79+AN80+AN81</f>
        <v>0</v>
      </c>
      <c r="AO82" s="42">
        <f t="shared" si="96"/>
        <v>0</v>
      </c>
      <c r="AP82" s="43">
        <f t="shared" si="96"/>
        <v>0</v>
      </c>
      <c r="AQ82" s="44">
        <f t="shared" si="96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44</v>
      </c>
      <c r="D87" s="47"/>
      <c r="E87" s="47"/>
      <c r="F87" s="47"/>
      <c r="G87" s="47"/>
      <c r="H87" s="48"/>
      <c r="I87" s="76"/>
      <c r="J87" s="77" t="s">
        <v>44</v>
      </c>
      <c r="K87" s="47"/>
      <c r="L87" s="47"/>
      <c r="M87" s="47"/>
      <c r="N87" s="47"/>
      <c r="O87" s="48"/>
      <c r="P87" s="76"/>
      <c r="Q87" s="77" t="s">
        <v>44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45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0</v>
      </c>
      <c r="E88" s="47"/>
      <c r="F88" s="47"/>
      <c r="G88" s="47"/>
      <c r="H88" s="48"/>
      <c r="J88" s="9" t="s">
        <v>7</v>
      </c>
      <c r="K88" s="79">
        <f>K10+K22+K34+K46+K58+K70+K82</f>
        <v>0</v>
      </c>
      <c r="L88" s="47"/>
      <c r="M88" s="47"/>
      <c r="N88" s="47"/>
      <c r="O88" s="48"/>
      <c r="Q88" s="9" t="s">
        <v>7</v>
      </c>
      <c r="R88" s="79">
        <f>R10+R22+R34+R46+R58+R70+R82</f>
        <v>0</v>
      </c>
      <c r="S88" s="47"/>
      <c r="T88" s="47"/>
      <c r="U88" s="47"/>
      <c r="V88" s="48"/>
      <c r="X88" s="9" t="s">
        <v>7</v>
      </c>
      <c r="Y88" s="79">
        <f>Y10+Y22+Y34+Y46+Y58+Y70+Y82</f>
        <v>0</v>
      </c>
      <c r="Z88" s="47"/>
      <c r="AA88" s="47"/>
      <c r="AB88" s="47"/>
      <c r="AC88" s="48"/>
      <c r="AE88" s="9" t="s">
        <v>7</v>
      </c>
      <c r="AF88" s="79">
        <f>AF10+AF22+AF34+AF46+AF58+AF70+AF82</f>
        <v>0</v>
      </c>
      <c r="AG88" s="47"/>
      <c r="AH88" s="47"/>
      <c r="AI88" s="47"/>
      <c r="AJ88" s="48"/>
      <c r="AN88" s="55">
        <f t="array" ref="AN88">AN10+AN22+AN34+AN46+AN58+AN70</f>
        <v>0</v>
      </c>
      <c r="AP88" s="55">
        <f t="array" ref="AP88">AP10+AP22+AP34+AP46+AP58+AP70</f>
        <v>0</v>
      </c>
    </row>
    <row r="89">
      <c r="A89" s="78"/>
      <c r="C89" s="9" t="s">
        <v>3</v>
      </c>
      <c r="D89" s="80">
        <f>E10+E22+E34+E46+E58+E70+E82</f>
        <v>0</v>
      </c>
      <c r="E89" s="47"/>
      <c r="F89" s="47"/>
      <c r="G89" s="47"/>
      <c r="H89" s="48"/>
      <c r="J89" s="9" t="s">
        <v>3</v>
      </c>
      <c r="K89" s="80">
        <f>L10+L22+L34+L46+L58+L70+L82</f>
        <v>0</v>
      </c>
      <c r="L89" s="47"/>
      <c r="M89" s="47"/>
      <c r="N89" s="47"/>
      <c r="O89" s="48"/>
      <c r="Q89" s="9" t="s">
        <v>3</v>
      </c>
      <c r="R89" s="80">
        <f>S10+S22+S34+S46+S58+S70+S82</f>
        <v>0</v>
      </c>
      <c r="S89" s="47"/>
      <c r="T89" s="47"/>
      <c r="U89" s="47"/>
      <c r="V89" s="48"/>
      <c r="X89" s="9" t="s">
        <v>3</v>
      </c>
      <c r="Y89" s="80">
        <f>Z10+Z22+Z34+Z46+Z58+Z70+Z82</f>
        <v>0</v>
      </c>
      <c r="Z89" s="47"/>
      <c r="AA89" s="47"/>
      <c r="AB89" s="47"/>
      <c r="AC89" s="48"/>
      <c r="AE89" s="9" t="s">
        <v>3</v>
      </c>
      <c r="AF89" s="80">
        <f>AG10+AG22+AG34+AG46+AG58+AG70+AG82</f>
        <v>0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0</v>
      </c>
      <c r="E90" s="47"/>
      <c r="F90" s="47"/>
      <c r="G90" s="47"/>
      <c r="H90" s="48"/>
      <c r="J90" s="9" t="s">
        <v>46</v>
      </c>
      <c r="K90" s="81">
        <f>M10+M22+M34+M46+M58+M70+M82</f>
        <v>0</v>
      </c>
      <c r="L90" s="47"/>
      <c r="M90" s="47"/>
      <c r="N90" s="47"/>
      <c r="O90" s="48"/>
      <c r="Q90" s="9" t="s">
        <v>46</v>
      </c>
      <c r="R90" s="81">
        <f>T10+T22+T34+T46+T58+T70+T82</f>
        <v>0</v>
      </c>
      <c r="S90" s="47"/>
      <c r="T90" s="47"/>
      <c r="U90" s="47"/>
      <c r="V90" s="48"/>
      <c r="X90" s="9" t="s">
        <v>46</v>
      </c>
      <c r="Y90" s="81">
        <f>AA10+AA22+AA34+AA46+AA58+AA70+AA82</f>
        <v>0</v>
      </c>
      <c r="Z90" s="47"/>
      <c r="AA90" s="47"/>
      <c r="AB90" s="47"/>
      <c r="AC90" s="48"/>
      <c r="AE90" s="9" t="s">
        <v>46</v>
      </c>
      <c r="AF90" s="81">
        <f>AH10+AH22+AH34+AH46+AH58+AH70+AH82</f>
        <v>0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0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0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0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0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0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0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0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0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0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0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0</v>
      </c>
      <c r="E93" s="47"/>
      <c r="F93" s="47"/>
      <c r="G93" s="47"/>
      <c r="H93" s="48"/>
      <c r="J93" s="9" t="s">
        <v>49</v>
      </c>
      <c r="K93" s="84">
        <f t="array" ref="K93">O10+O22+O34+O46+O58+O70+O82</f>
        <v>0</v>
      </c>
      <c r="L93" s="47"/>
      <c r="M93" s="47"/>
      <c r="N93" s="47"/>
      <c r="O93" s="48"/>
      <c r="Q93" s="9" t="s">
        <v>49</v>
      </c>
      <c r="R93" s="84">
        <f t="array" ref="R93">V10+V22+V34+V46+V58+V70+V82</f>
        <v>0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0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0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7">D2+D14+D26+D38+D50+D62</f>
        <v>0</v>
      </c>
      <c r="E98" s="10">
        <f t="shared" si="97"/>
        <v>0</v>
      </c>
      <c r="F98" s="10">
        <f t="shared" si="97"/>
        <v>0</v>
      </c>
      <c r="G98" s="86">
        <f t="shared" ref="G98:G105" si="103">F98-E98</f>
        <v>0</v>
      </c>
      <c r="H98" s="87">
        <f t="shared" ref="H98:H104" si="104">H2+H14+H26+H38+H50+H62</f>
        <v>0</v>
      </c>
      <c r="J98" s="9" t="s">
        <v>10</v>
      </c>
      <c r="K98" s="85">
        <f t="shared" ref="K98:M98" si="98">K2+K14+K26+K38+K50+K62</f>
        <v>0</v>
      </c>
      <c r="L98" s="10">
        <f t="shared" si="98"/>
        <v>0</v>
      </c>
      <c r="M98" s="10">
        <f t="shared" si="98"/>
        <v>0</v>
      </c>
      <c r="N98" s="86">
        <f t="shared" ref="N98:N105" si="106">M98-L98</f>
        <v>0</v>
      </c>
      <c r="O98" s="87">
        <f t="shared" ref="O98:O104" si="107">O2+O14+O26+O38+O50+O62</f>
        <v>0</v>
      </c>
      <c r="Q98" s="9" t="s">
        <v>10</v>
      </c>
      <c r="R98" s="85">
        <f t="shared" ref="R98:T98" si="99">R2+R14+R26+R38+R50+R62</f>
        <v>0</v>
      </c>
      <c r="S98" s="10">
        <f t="shared" si="99"/>
        <v>0</v>
      </c>
      <c r="T98" s="10">
        <f t="shared" si="99"/>
        <v>0</v>
      </c>
      <c r="U98" s="86">
        <f t="shared" ref="U98:U105" si="109">T98-S98</f>
        <v>0</v>
      </c>
      <c r="V98" s="87">
        <f t="shared" ref="V98:V104" si="110">V2+V14+V26+V38+V50+V62</f>
        <v>0</v>
      </c>
      <c r="X98" s="9" t="s">
        <v>10</v>
      </c>
      <c r="Y98" s="85">
        <f t="shared" ref="Y98:AA98" si="100">Y2+Y14+Y26+Y38+Y50+Y62</f>
        <v>0</v>
      </c>
      <c r="Z98" s="10">
        <f t="shared" si="100"/>
        <v>0</v>
      </c>
      <c r="AA98" s="10">
        <f t="shared" si="100"/>
        <v>0</v>
      </c>
      <c r="AB98" s="86">
        <f t="shared" ref="AB98:AB105" si="112">AA98-Z98</f>
        <v>0</v>
      </c>
      <c r="AC98" s="87">
        <f t="shared" ref="AC98:AC104" si="113">AC2+AC14+AC26+AC38+AC50+AC62</f>
        <v>0</v>
      </c>
      <c r="AE98" s="9" t="s">
        <v>10</v>
      </c>
      <c r="AF98" s="85">
        <f t="shared" ref="AF98:AH98" si="101">AF2+AF14+AF26+AF38+AF50+AF62</f>
        <v>0</v>
      </c>
      <c r="AG98" s="10">
        <f t="shared" si="101"/>
        <v>0</v>
      </c>
      <c r="AH98" s="10">
        <f t="shared" si="101"/>
        <v>0</v>
      </c>
      <c r="AI98" s="86">
        <f t="shared" ref="AI98:AI105" si="115">AH98-AG98</f>
        <v>0</v>
      </c>
      <c r="AJ98" s="87">
        <f t="shared" ref="AJ98:AJ104" si="116">AJ2+AJ14+AJ26+AJ38+AJ50+AJ62</f>
        <v>0</v>
      </c>
    </row>
    <row r="99">
      <c r="C99" s="9" t="s">
        <v>12</v>
      </c>
      <c r="D99" s="85">
        <f t="shared" ref="D99:F99" si="102">D3+D15+D27+D39+D51+D63</f>
        <v>0</v>
      </c>
      <c r="E99" s="10">
        <f t="shared" si="102"/>
        <v>0</v>
      </c>
      <c r="F99" s="10">
        <f t="shared" si="102"/>
        <v>0</v>
      </c>
      <c r="G99" s="86">
        <f t="shared" si="103"/>
        <v>0</v>
      </c>
      <c r="H99" s="87">
        <f t="shared" si="104"/>
        <v>0</v>
      </c>
      <c r="J99" s="9" t="s">
        <v>12</v>
      </c>
      <c r="K99" s="85">
        <f t="shared" ref="K99:M99" si="105">K3+K15+K27+K39+K51+K63</f>
        <v>0</v>
      </c>
      <c r="L99" s="10">
        <f t="shared" si="105"/>
        <v>0</v>
      </c>
      <c r="M99" s="10">
        <f t="shared" si="105"/>
        <v>0</v>
      </c>
      <c r="N99" s="86">
        <f t="shared" si="106"/>
        <v>0</v>
      </c>
      <c r="O99" s="87">
        <f t="shared" si="107"/>
        <v>0</v>
      </c>
      <c r="Q99" s="9" t="s">
        <v>12</v>
      </c>
      <c r="R99" s="85">
        <f t="shared" ref="R99:T99" si="108">R3+R15+R27+R39+R51+R63</f>
        <v>0</v>
      </c>
      <c r="S99" s="10">
        <f t="shared" si="108"/>
        <v>0</v>
      </c>
      <c r="T99" s="10">
        <f t="shared" si="108"/>
        <v>0</v>
      </c>
      <c r="U99" s="86">
        <f t="shared" si="109"/>
        <v>0</v>
      </c>
      <c r="V99" s="87">
        <f t="shared" si="110"/>
        <v>0</v>
      </c>
      <c r="X99" s="9" t="s">
        <v>12</v>
      </c>
      <c r="Y99" s="85">
        <f t="shared" ref="Y99:AA99" si="111">Y3+Y15+Y27+Y39+Y51+Y63</f>
        <v>0</v>
      </c>
      <c r="Z99" s="10">
        <f t="shared" si="111"/>
        <v>0</v>
      </c>
      <c r="AA99" s="10">
        <f t="shared" si="111"/>
        <v>0</v>
      </c>
      <c r="AB99" s="86">
        <f t="shared" si="112"/>
        <v>0</v>
      </c>
      <c r="AC99" s="87">
        <f t="shared" si="113"/>
        <v>0</v>
      </c>
      <c r="AE99" s="9" t="s">
        <v>12</v>
      </c>
      <c r="AF99" s="85">
        <f t="shared" ref="AF99:AH99" si="114">AF3+AF15+AF27+AF39+AF51+AF63</f>
        <v>0</v>
      </c>
      <c r="AG99" s="10">
        <f t="shared" si="114"/>
        <v>0</v>
      </c>
      <c r="AH99" s="10">
        <f t="shared" si="114"/>
        <v>0</v>
      </c>
      <c r="AI99" s="86">
        <f t="shared" si="115"/>
        <v>0</v>
      </c>
      <c r="AJ99" s="87">
        <f t="shared" si="116"/>
        <v>0</v>
      </c>
    </row>
    <row r="100">
      <c r="C100" s="9" t="s">
        <v>14</v>
      </c>
      <c r="D100" s="85">
        <f t="shared" ref="D100:F100" si="117">D4+D16+D28+D40+D52+D64</f>
        <v>0</v>
      </c>
      <c r="E100" s="10">
        <f t="shared" si="117"/>
        <v>0</v>
      </c>
      <c r="F100" s="10">
        <f t="shared" si="117"/>
        <v>0</v>
      </c>
      <c r="G100" s="86">
        <f t="shared" si="103"/>
        <v>0</v>
      </c>
      <c r="H100" s="87">
        <f t="shared" si="104"/>
        <v>0</v>
      </c>
      <c r="J100" s="9" t="s">
        <v>14</v>
      </c>
      <c r="K100" s="85">
        <f t="shared" ref="K100:M100" si="118">K4+K16+K28+K40+K52+K64</f>
        <v>0</v>
      </c>
      <c r="L100" s="10">
        <f t="shared" si="118"/>
        <v>0</v>
      </c>
      <c r="M100" s="10">
        <f t="shared" si="118"/>
        <v>0</v>
      </c>
      <c r="N100" s="86">
        <f t="shared" si="106"/>
        <v>0</v>
      </c>
      <c r="O100" s="87">
        <f t="shared" si="107"/>
        <v>0</v>
      </c>
      <c r="Q100" s="9" t="s">
        <v>14</v>
      </c>
      <c r="R100" s="85">
        <f t="shared" ref="R100:T100" si="119">R4+R16+R28+R40+R52+R64</f>
        <v>0</v>
      </c>
      <c r="S100" s="10">
        <f t="shared" si="119"/>
        <v>0</v>
      </c>
      <c r="T100" s="10">
        <f t="shared" si="119"/>
        <v>0</v>
      </c>
      <c r="U100" s="86">
        <f t="shared" si="109"/>
        <v>0</v>
      </c>
      <c r="V100" s="87">
        <f t="shared" si="110"/>
        <v>0</v>
      </c>
      <c r="X100" s="9" t="s">
        <v>14</v>
      </c>
      <c r="Y100" s="85">
        <f t="shared" ref="Y100:AA100" si="120">Y4+Y16+Y28+Y40+Y52+Y64</f>
        <v>0</v>
      </c>
      <c r="Z100" s="10">
        <f t="shared" si="120"/>
        <v>0</v>
      </c>
      <c r="AA100" s="10">
        <f t="shared" si="120"/>
        <v>0</v>
      </c>
      <c r="AB100" s="86">
        <f t="shared" si="112"/>
        <v>0</v>
      </c>
      <c r="AC100" s="87">
        <f t="shared" si="113"/>
        <v>0</v>
      </c>
      <c r="AE100" s="9" t="s">
        <v>14</v>
      </c>
      <c r="AF100" s="85">
        <f t="shared" ref="AF100:AH100" si="121">AF4+AF16+AF28+AF40+AF52+AF64</f>
        <v>0</v>
      </c>
      <c r="AG100" s="10">
        <f t="shared" si="121"/>
        <v>0</v>
      </c>
      <c r="AH100" s="10">
        <f t="shared" si="121"/>
        <v>0</v>
      </c>
      <c r="AI100" s="86">
        <f t="shared" si="115"/>
        <v>0</v>
      </c>
      <c r="AJ100" s="87">
        <f t="shared" si="116"/>
        <v>0</v>
      </c>
    </row>
    <row r="101">
      <c r="C101" s="9" t="s">
        <v>16</v>
      </c>
      <c r="D101" s="85">
        <f t="shared" ref="D101:F101" si="122">D5+D17+D29+D41+D53+D65</f>
        <v>0</v>
      </c>
      <c r="E101" s="10">
        <f t="shared" si="122"/>
        <v>0</v>
      </c>
      <c r="F101" s="10">
        <f t="shared" si="122"/>
        <v>0</v>
      </c>
      <c r="G101" s="86">
        <f t="shared" si="103"/>
        <v>0</v>
      </c>
      <c r="H101" s="87">
        <f t="shared" si="104"/>
        <v>0</v>
      </c>
      <c r="J101" s="9" t="s">
        <v>16</v>
      </c>
      <c r="K101" s="85">
        <f t="shared" ref="K101:M101" si="123">K5+K17+K29+K41+K53+K65</f>
        <v>0</v>
      </c>
      <c r="L101" s="10">
        <f t="shared" si="123"/>
        <v>0</v>
      </c>
      <c r="M101" s="10">
        <f t="shared" si="123"/>
        <v>0</v>
      </c>
      <c r="N101" s="86">
        <f t="shared" si="106"/>
        <v>0</v>
      </c>
      <c r="O101" s="87">
        <f t="shared" si="107"/>
        <v>0</v>
      </c>
      <c r="Q101" s="9" t="s">
        <v>16</v>
      </c>
      <c r="R101" s="85">
        <f t="shared" ref="R101:T101" si="124">R5+R17+R29+R41+R53+R65</f>
        <v>0</v>
      </c>
      <c r="S101" s="10">
        <f t="shared" si="124"/>
        <v>0</v>
      </c>
      <c r="T101" s="10">
        <f t="shared" si="124"/>
        <v>0</v>
      </c>
      <c r="U101" s="86">
        <f t="shared" si="109"/>
        <v>0</v>
      </c>
      <c r="V101" s="87">
        <f t="shared" si="110"/>
        <v>0</v>
      </c>
      <c r="X101" s="9" t="s">
        <v>16</v>
      </c>
      <c r="Y101" s="85">
        <f t="shared" ref="Y101:AA101" si="125">Y5+Y17+Y29+Y41+Y53+Y65</f>
        <v>0</v>
      </c>
      <c r="Z101" s="10">
        <f t="shared" si="125"/>
        <v>0</v>
      </c>
      <c r="AA101" s="10">
        <f t="shared" si="125"/>
        <v>0</v>
      </c>
      <c r="AB101" s="86">
        <f t="shared" si="112"/>
        <v>0</v>
      </c>
      <c r="AC101" s="87">
        <f t="shared" si="113"/>
        <v>0</v>
      </c>
      <c r="AE101" s="9" t="s">
        <v>16</v>
      </c>
      <c r="AF101" s="85">
        <f t="shared" ref="AF101:AH101" si="126">AF5+AF17+AF29+AF41+AF53+AF65</f>
        <v>0</v>
      </c>
      <c r="AG101" s="10">
        <f t="shared" si="126"/>
        <v>0</v>
      </c>
      <c r="AH101" s="10">
        <f t="shared" si="126"/>
        <v>0</v>
      </c>
      <c r="AI101" s="86">
        <f t="shared" si="115"/>
        <v>0</v>
      </c>
      <c r="AJ101" s="87">
        <f t="shared" si="116"/>
        <v>0</v>
      </c>
    </row>
    <row r="102">
      <c r="C102" s="9" t="s">
        <v>17</v>
      </c>
      <c r="D102" s="85">
        <f t="shared" ref="D102:F102" si="127">D6+D18+D30+D42+D54+D66</f>
        <v>0</v>
      </c>
      <c r="E102" s="10">
        <f t="shared" si="127"/>
        <v>0</v>
      </c>
      <c r="F102" s="10">
        <f t="shared" si="127"/>
        <v>0</v>
      </c>
      <c r="G102" s="86">
        <f t="shared" si="103"/>
        <v>0</v>
      </c>
      <c r="H102" s="87">
        <f t="shared" si="104"/>
        <v>0</v>
      </c>
      <c r="J102" s="9" t="s">
        <v>17</v>
      </c>
      <c r="K102" s="85">
        <f t="shared" ref="K102:M102" si="128">K6+K18+K30+K42+K54+K66</f>
        <v>0</v>
      </c>
      <c r="L102" s="10">
        <f t="shared" si="128"/>
        <v>0</v>
      </c>
      <c r="M102" s="10">
        <f t="shared" si="128"/>
        <v>0</v>
      </c>
      <c r="N102" s="86">
        <f t="shared" si="106"/>
        <v>0</v>
      </c>
      <c r="O102" s="87">
        <f t="shared" si="107"/>
        <v>0</v>
      </c>
      <c r="Q102" s="9" t="s">
        <v>17</v>
      </c>
      <c r="R102" s="85">
        <f t="shared" ref="R102:T102" si="129">R6+R18+R30+R42+R54+R66</f>
        <v>0</v>
      </c>
      <c r="S102" s="10">
        <f t="shared" si="129"/>
        <v>0</v>
      </c>
      <c r="T102" s="10">
        <f t="shared" si="129"/>
        <v>0</v>
      </c>
      <c r="U102" s="86">
        <f t="shared" si="109"/>
        <v>0</v>
      </c>
      <c r="V102" s="87">
        <f t="shared" si="110"/>
        <v>0</v>
      </c>
      <c r="X102" s="9" t="s">
        <v>17</v>
      </c>
      <c r="Y102" s="85">
        <f t="shared" ref="Y102:AA102" si="130">Y6+Y18+Y30+Y42+Y54+Y66</f>
        <v>0</v>
      </c>
      <c r="Z102" s="10">
        <f t="shared" si="130"/>
        <v>0</v>
      </c>
      <c r="AA102" s="10">
        <f t="shared" si="130"/>
        <v>0</v>
      </c>
      <c r="AB102" s="86">
        <f t="shared" si="112"/>
        <v>0</v>
      </c>
      <c r="AC102" s="87">
        <f t="shared" si="113"/>
        <v>0</v>
      </c>
      <c r="AE102" s="9" t="s">
        <v>17</v>
      </c>
      <c r="AF102" s="85">
        <f t="shared" ref="AF102:AH102" si="131">AF6+AF18+AF30+AF42+AF54+AF66</f>
        <v>0</v>
      </c>
      <c r="AG102" s="10">
        <f t="shared" si="131"/>
        <v>0</v>
      </c>
      <c r="AH102" s="10">
        <f t="shared" si="131"/>
        <v>0</v>
      </c>
      <c r="AI102" s="86">
        <f t="shared" si="115"/>
        <v>0</v>
      </c>
      <c r="AJ102" s="87">
        <f t="shared" si="116"/>
        <v>0</v>
      </c>
    </row>
    <row r="103">
      <c r="C103" s="9" t="s">
        <v>18</v>
      </c>
      <c r="D103" s="85">
        <f t="shared" ref="D103:F103" si="132">D7+D19+D31+D43+D55+D67</f>
        <v>0</v>
      </c>
      <c r="E103" s="85">
        <f t="shared" si="132"/>
        <v>0</v>
      </c>
      <c r="F103" s="85">
        <f t="shared" si="132"/>
        <v>0</v>
      </c>
      <c r="G103" s="86">
        <f t="shared" si="103"/>
        <v>0</v>
      </c>
      <c r="H103" s="87">
        <f t="shared" si="104"/>
        <v>0</v>
      </c>
      <c r="J103" s="9" t="s">
        <v>18</v>
      </c>
      <c r="K103" s="85">
        <f t="shared" ref="K103:M103" si="133">K7+K19+K31+K43+K55+K67</f>
        <v>0</v>
      </c>
      <c r="L103" s="85">
        <f t="shared" si="133"/>
        <v>0</v>
      </c>
      <c r="M103" s="85">
        <f t="shared" si="133"/>
        <v>0</v>
      </c>
      <c r="N103" s="86">
        <f t="shared" si="106"/>
        <v>0</v>
      </c>
      <c r="O103" s="87">
        <f t="shared" si="107"/>
        <v>0</v>
      </c>
      <c r="Q103" s="9" t="s">
        <v>18</v>
      </c>
      <c r="R103" s="85">
        <f t="shared" ref="R103:T103" si="134">R7+R19+R31+R43+R55+R67</f>
        <v>0</v>
      </c>
      <c r="S103" s="85">
        <f t="shared" si="134"/>
        <v>0</v>
      </c>
      <c r="T103" s="85">
        <f t="shared" si="134"/>
        <v>0</v>
      </c>
      <c r="U103" s="86">
        <f t="shared" si="109"/>
        <v>0</v>
      </c>
      <c r="V103" s="87">
        <f t="shared" si="110"/>
        <v>0</v>
      </c>
      <c r="X103" s="9" t="s">
        <v>18</v>
      </c>
      <c r="Y103" s="85">
        <f t="shared" ref="Y103:AA103" si="135">Y7+Y19+Y31+Y43+Y55+Y67</f>
        <v>0</v>
      </c>
      <c r="Z103" s="85">
        <f t="shared" si="135"/>
        <v>0</v>
      </c>
      <c r="AA103" s="85">
        <f t="shared" si="135"/>
        <v>0</v>
      </c>
      <c r="AB103" s="86">
        <f t="shared" si="112"/>
        <v>0</v>
      </c>
      <c r="AC103" s="87">
        <f t="shared" si="113"/>
        <v>0</v>
      </c>
      <c r="AE103" s="9" t="s">
        <v>18</v>
      </c>
      <c r="AF103" s="85">
        <f t="shared" ref="AF103:AH103" si="136">AF7+AF19+AF31+AF43+AF55+AF67</f>
        <v>0</v>
      </c>
      <c r="AG103" s="85">
        <f t="shared" si="136"/>
        <v>0</v>
      </c>
      <c r="AH103" s="85">
        <f t="shared" si="136"/>
        <v>0</v>
      </c>
      <c r="AI103" s="86">
        <f t="shared" si="115"/>
        <v>0</v>
      </c>
      <c r="AJ103" s="87">
        <f t="shared" si="116"/>
        <v>0</v>
      </c>
    </row>
    <row r="104">
      <c r="C104" s="9" t="s">
        <v>19</v>
      </c>
      <c r="D104" s="85">
        <f t="shared" ref="D104:F104" si="137">D8+D20+D32+D44+D56+D68</f>
        <v>0</v>
      </c>
      <c r="E104" s="10">
        <f t="shared" si="137"/>
        <v>0</v>
      </c>
      <c r="F104" s="10">
        <f t="shared" si="137"/>
        <v>0</v>
      </c>
      <c r="G104" s="86">
        <f t="shared" si="103"/>
        <v>0</v>
      </c>
      <c r="H104" s="87">
        <f t="shared" si="104"/>
        <v>0</v>
      </c>
      <c r="J104" s="9" t="s">
        <v>19</v>
      </c>
      <c r="K104" s="85">
        <f t="shared" ref="K104:M104" si="138">K8+K20+K32+K44+K56+K68</f>
        <v>0</v>
      </c>
      <c r="L104" s="10">
        <f t="shared" si="138"/>
        <v>0</v>
      </c>
      <c r="M104" s="10">
        <f t="shared" si="138"/>
        <v>0</v>
      </c>
      <c r="N104" s="86">
        <f t="shared" si="106"/>
        <v>0</v>
      </c>
      <c r="O104" s="87">
        <f t="shared" si="107"/>
        <v>0</v>
      </c>
      <c r="Q104" s="9" t="s">
        <v>19</v>
      </c>
      <c r="R104" s="85">
        <f t="shared" ref="R104:T104" si="139">R8+R20+R32+R44+R56+R68</f>
        <v>0</v>
      </c>
      <c r="S104" s="10">
        <f t="shared" si="139"/>
        <v>0</v>
      </c>
      <c r="T104" s="10">
        <f t="shared" si="139"/>
        <v>0</v>
      </c>
      <c r="U104" s="86">
        <f t="shared" si="109"/>
        <v>0</v>
      </c>
      <c r="V104" s="87">
        <f t="shared" si="110"/>
        <v>0</v>
      </c>
      <c r="X104" s="9" t="s">
        <v>19</v>
      </c>
      <c r="Y104" s="85">
        <f t="shared" ref="Y104:AA104" si="140">Y8+Y20+Y32+Y44+Y56+Y68</f>
        <v>0</v>
      </c>
      <c r="Z104" s="10">
        <f t="shared" si="140"/>
        <v>0</v>
      </c>
      <c r="AA104" s="10">
        <f t="shared" si="140"/>
        <v>0</v>
      </c>
      <c r="AB104" s="86">
        <f t="shared" si="112"/>
        <v>0</v>
      </c>
      <c r="AC104" s="87">
        <f t="shared" si="113"/>
        <v>0</v>
      </c>
      <c r="AE104" s="9" t="s">
        <v>19</v>
      </c>
      <c r="AF104" s="85">
        <f t="shared" ref="AF104:AH104" si="141">AF8+AF20+AF32+AF44+AF56+AF68</f>
        <v>0</v>
      </c>
      <c r="AG104" s="10">
        <f t="shared" si="141"/>
        <v>0</v>
      </c>
      <c r="AH104" s="10">
        <f t="shared" si="141"/>
        <v>0</v>
      </c>
      <c r="AI104" s="86">
        <f t="shared" si="115"/>
        <v>0</v>
      </c>
      <c r="AJ104" s="87">
        <f t="shared" si="116"/>
        <v>0</v>
      </c>
    </row>
    <row r="105">
      <c r="C105" s="26" t="s">
        <v>21</v>
      </c>
      <c r="D105" s="85">
        <f t="shared" ref="D105:F105" si="142">D9+D21+D33+D45+D57+D69+D81</f>
        <v>0</v>
      </c>
      <c r="E105" s="10">
        <f t="shared" si="142"/>
        <v>0</v>
      </c>
      <c r="F105" s="10">
        <f t="shared" si="142"/>
        <v>0</v>
      </c>
      <c r="G105" s="86">
        <f t="shared" si="103"/>
        <v>0</v>
      </c>
      <c r="H105" s="87">
        <f>H9+H21+H33+H45+H57+H69+H81</f>
        <v>0</v>
      </c>
      <c r="J105" s="26" t="s">
        <v>21</v>
      </c>
      <c r="K105" s="85">
        <f t="shared" ref="K105:M105" si="143">K9+K21+K33+K45+K57+K69+K81</f>
        <v>0</v>
      </c>
      <c r="L105" s="10">
        <f t="shared" si="143"/>
        <v>0</v>
      </c>
      <c r="M105" s="10">
        <f t="shared" si="143"/>
        <v>0</v>
      </c>
      <c r="N105" s="86">
        <f t="shared" si="106"/>
        <v>0</v>
      </c>
      <c r="O105" s="87">
        <f>O9+O21+O33+O45+O57+O69+O81</f>
        <v>0</v>
      </c>
      <c r="Q105" s="26" t="s">
        <v>21</v>
      </c>
      <c r="R105" s="85">
        <f t="shared" ref="R105:T105" si="144">R9+R21+R33+R45+R57+R69+R81</f>
        <v>0</v>
      </c>
      <c r="S105" s="10">
        <f t="shared" si="144"/>
        <v>0</v>
      </c>
      <c r="T105" s="10">
        <f t="shared" si="144"/>
        <v>0</v>
      </c>
      <c r="U105" s="86">
        <f t="shared" si="109"/>
        <v>0</v>
      </c>
      <c r="V105" s="87">
        <f>V9+V21+V33+V45+V57+V69+V81</f>
        <v>0</v>
      </c>
      <c r="X105" s="26" t="s">
        <v>21</v>
      </c>
      <c r="Y105" s="85">
        <f t="shared" ref="Y105:AA105" si="145">Y9+Y21+Y33+Y45+Y57+Y69+Y81</f>
        <v>0</v>
      </c>
      <c r="Z105" s="10">
        <f t="shared" si="145"/>
        <v>0</v>
      </c>
      <c r="AA105" s="10">
        <f t="shared" si="145"/>
        <v>0</v>
      </c>
      <c r="AB105" s="86">
        <f t="shared" si="112"/>
        <v>0</v>
      </c>
      <c r="AC105" s="87">
        <f>AC9+AC21+AC33+AC45+AC57+AC69+AC81</f>
        <v>0</v>
      </c>
      <c r="AE105" s="26" t="s">
        <v>21</v>
      </c>
      <c r="AF105" s="85">
        <f t="shared" ref="AF105:AH105" si="146">AF9+AF21+AF33+AF45+AF57+AF69+AF81</f>
        <v>0</v>
      </c>
      <c r="AG105" s="10">
        <f t="shared" si="146"/>
        <v>0</v>
      </c>
      <c r="AH105" s="10">
        <f t="shared" si="146"/>
        <v>0</v>
      </c>
      <c r="AI105" s="86">
        <f t="shared" si="115"/>
        <v>0</v>
      </c>
      <c r="AJ105" s="87">
        <f>AJ9+AJ21+AJ33+AJ45+AJ57+AJ69+AJ81</f>
        <v>0</v>
      </c>
    </row>
    <row r="106">
      <c r="C106" s="88" t="s">
        <v>57</v>
      </c>
      <c r="D106" s="41">
        <f t="array" ref="D106">D98+D99+D100+D101+D102+D103+D104+D105</f>
        <v>0</v>
      </c>
      <c r="E106" s="42">
        <f t="array" ref="E106">E98+E99+E100+E101+E102+E103+E104+E105</f>
        <v>0</v>
      </c>
      <c r="F106" s="43">
        <f t="array" ref="F106">F98+F99+F100+F101+F102+F103+F104+F105</f>
        <v>0</v>
      </c>
      <c r="G106" s="89">
        <f t="array" ref="G106">G98+G99+G100+G101+G102+G103+G104+G105</f>
        <v>0</v>
      </c>
      <c r="H106" s="44">
        <f t="array" ref="H106">H98+H99+H100+H101+H102+H103+H104+H105</f>
        <v>0</v>
      </c>
      <c r="J106" s="88" t="s">
        <v>57</v>
      </c>
      <c r="K106" s="41">
        <f t="array" ref="K106">K98+K99+K100+K101+K102+K103+K104+K105</f>
        <v>0</v>
      </c>
      <c r="L106" s="42">
        <f t="array" ref="L106">L98+L99+L100+L101+L102+L103+L104+L105</f>
        <v>0</v>
      </c>
      <c r="M106" s="43">
        <f t="array" ref="M106">M98+M99+M100+M101+M102+M103+M104+M105</f>
        <v>0</v>
      </c>
      <c r="N106" s="89">
        <f t="array" ref="N106">N98+N99+N100+N101+N102+N103+N104+N105</f>
        <v>0</v>
      </c>
      <c r="O106" s="44">
        <f t="array" ref="O106">O98+O99+O100+O101+O102+O103+O104+O105</f>
        <v>0</v>
      </c>
      <c r="Q106" s="88" t="s">
        <v>57</v>
      </c>
      <c r="R106" s="41">
        <f t="array" ref="R106">R98+R99+R100+R101+R102+R103+R104+R105</f>
        <v>0</v>
      </c>
      <c r="S106" s="42">
        <f t="array" ref="S106">S98+S99+S100+S101+S102+S103+S104+S105</f>
        <v>0</v>
      </c>
      <c r="T106" s="43">
        <f t="array" ref="T106">T98+T99+T100+T101+T102+T103+T104+T105</f>
        <v>0</v>
      </c>
      <c r="U106" s="89">
        <f t="array" ref="U106">U98+U99+U100+U101+U102+U103+U104+U105</f>
        <v>0</v>
      </c>
      <c r="V106" s="44">
        <f t="array" ref="V106">V98+V99+V100+V101+V102+V103+V104+V105</f>
        <v>0</v>
      </c>
      <c r="X106" s="88" t="s">
        <v>57</v>
      </c>
      <c r="Y106" s="41">
        <f t="array" ref="Y106">Y98+Y99+Y100+Y101+Y102+Y103+Y104+Y105</f>
        <v>0</v>
      </c>
      <c r="Z106" s="42">
        <f t="array" ref="Z106">Z98+Z99+Z100+Z101+Z102+Z103+Z104+Z105</f>
        <v>0</v>
      </c>
      <c r="AA106" s="43">
        <f t="array" ref="AA106">AA98+AA99+AA100+AA101+AA102+AA103+AA104+AA105</f>
        <v>0</v>
      </c>
      <c r="AB106" s="89">
        <f t="array" ref="AB106">AB98+AB99+AB100+AB101+AB102+AB103+AB104+AB105</f>
        <v>0</v>
      </c>
      <c r="AC106" s="44">
        <f t="array" ref="AC106">AC98+AC99+AC100+AC101+AC102+AC103+AC104+AC105</f>
        <v>0</v>
      </c>
      <c r="AE106" s="88" t="s">
        <v>57</v>
      </c>
      <c r="AF106" s="41">
        <f t="array" ref="AF106">AF98+AF99+AF100+AF101+AF102+AF103+AF104+AF105</f>
        <v>0</v>
      </c>
      <c r="AG106" s="42">
        <f t="array" ref="AG106">AG98+AG99+AG100+AG101+AG102+AG103+AG104+AG105</f>
        <v>0</v>
      </c>
      <c r="AH106" s="43">
        <f t="array" ref="AH106">AH98+AH99+AH100+AH101+AH102+AH103+AH104+AH105</f>
        <v>0</v>
      </c>
      <c r="AI106" s="89">
        <f t="array" ref="AI106">AI98+AI99+AI100+AI101+AI102+AI103+AI104+AI105</f>
        <v>0</v>
      </c>
      <c r="AJ106" s="44">
        <f t="array" ref="AJ106">AJ98+AJ99+AJ100+AJ101+AJ102+AJ103+AJ104+AJ105</f>
        <v>0</v>
      </c>
    </row>
    <row r="107">
      <c r="A107" s="55"/>
      <c r="B107" s="55"/>
      <c r="C107" s="90" t="s">
        <v>58</v>
      </c>
      <c r="D107" s="91">
        <f t="shared" ref="D107:H107" si="147">D106/6</f>
        <v>0</v>
      </c>
      <c r="E107" s="92">
        <f t="shared" si="147"/>
        <v>0</v>
      </c>
      <c r="F107" s="93">
        <f t="shared" si="147"/>
        <v>0</v>
      </c>
      <c r="G107" s="89">
        <f t="shared" si="147"/>
        <v>0</v>
      </c>
      <c r="H107" s="94">
        <f t="shared" si="147"/>
        <v>0</v>
      </c>
      <c r="I107" s="55"/>
      <c r="J107" s="90" t="s">
        <v>58</v>
      </c>
      <c r="K107" s="91">
        <f t="shared" ref="K107:O107" si="148">K106/6</f>
        <v>0</v>
      </c>
      <c r="L107" s="92">
        <f t="shared" si="148"/>
        <v>0</v>
      </c>
      <c r="M107" s="93">
        <f t="shared" si="148"/>
        <v>0</v>
      </c>
      <c r="N107" s="89">
        <f t="shared" si="148"/>
        <v>0</v>
      </c>
      <c r="O107" s="94">
        <f t="shared" si="148"/>
        <v>0</v>
      </c>
      <c r="P107" s="55"/>
      <c r="Q107" s="90" t="s">
        <v>58</v>
      </c>
      <c r="R107" s="91">
        <f t="shared" ref="R107:V107" si="149">R106/6</f>
        <v>0</v>
      </c>
      <c r="S107" s="92">
        <f t="shared" si="149"/>
        <v>0</v>
      </c>
      <c r="T107" s="93">
        <f t="shared" si="149"/>
        <v>0</v>
      </c>
      <c r="U107" s="89">
        <f t="shared" si="149"/>
        <v>0</v>
      </c>
      <c r="V107" s="94">
        <f t="shared" si="149"/>
        <v>0</v>
      </c>
      <c r="W107" s="55"/>
      <c r="X107" s="90" t="s">
        <v>58</v>
      </c>
      <c r="Y107" s="91">
        <f t="shared" ref="Y107:AC107" si="150">Y106/6</f>
        <v>0</v>
      </c>
      <c r="Z107" s="92">
        <f t="shared" si="150"/>
        <v>0</v>
      </c>
      <c r="AA107" s="93">
        <f t="shared" si="150"/>
        <v>0</v>
      </c>
      <c r="AB107" s="89">
        <f t="shared" si="150"/>
        <v>0</v>
      </c>
      <c r="AC107" s="94">
        <f t="shared" si="150"/>
        <v>0</v>
      </c>
      <c r="AD107" s="55"/>
      <c r="AE107" s="90" t="s">
        <v>58</v>
      </c>
      <c r="AF107" s="91">
        <f t="shared" ref="AF107:AJ107" si="151">AF106/6</f>
        <v>0</v>
      </c>
      <c r="AG107" s="92">
        <f t="shared" si="151"/>
        <v>0</v>
      </c>
      <c r="AH107" s="93">
        <f t="shared" si="151"/>
        <v>0</v>
      </c>
      <c r="AI107" s="89">
        <f t="shared" si="151"/>
        <v>0</v>
      </c>
      <c r="AJ107" s="94">
        <f t="shared" si="151"/>
        <v>0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L124" s="96">
        <v>45777.0</v>
      </c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V126" s="55"/>
      <c r="AC126" s="55"/>
      <c r="AJ126" s="55"/>
    </row>
    <row r="127">
      <c r="C127" s="9" t="s">
        <v>10</v>
      </c>
      <c r="D127" s="100">
        <f t="shared" ref="D127:H127" si="152">D98+K98+R98+Y98+AF98</f>
        <v>0</v>
      </c>
      <c r="E127" s="101">
        <f t="shared" si="152"/>
        <v>0</v>
      </c>
      <c r="F127" s="102">
        <f t="shared" si="152"/>
        <v>0</v>
      </c>
      <c r="G127" s="86">
        <f t="shared" si="152"/>
        <v>0</v>
      </c>
      <c r="H127" s="103">
        <f t="shared" si="152"/>
        <v>0</v>
      </c>
      <c r="I127" s="104" t="s">
        <v>71</v>
      </c>
      <c r="J127" s="105">
        <f t="shared" ref="J127:J134" si="154">D98+K98+R98+Y98+AF98</f>
        <v>0</v>
      </c>
      <c r="K127" s="105"/>
      <c r="L127" s="106"/>
      <c r="M127" s="107">
        <f t="shared" ref="M127:M134" si="155">J127/25</f>
        <v>0</v>
      </c>
      <c r="N127" s="107">
        <f t="shared" ref="N127:N134" si="156">(M127*0)+J127</f>
        <v>0</v>
      </c>
      <c r="O127" s="55"/>
      <c r="V127" s="55"/>
      <c r="AC127" s="55"/>
      <c r="AJ127" s="55"/>
    </row>
    <row r="128">
      <c r="C128" s="9" t="s">
        <v>12</v>
      </c>
      <c r="D128" s="100">
        <f t="shared" ref="D128:H128" si="153">D99+K99+R99+Y99+AF99</f>
        <v>0</v>
      </c>
      <c r="E128" s="101">
        <f t="shared" si="153"/>
        <v>0</v>
      </c>
      <c r="F128" s="102">
        <f t="shared" si="153"/>
        <v>0</v>
      </c>
      <c r="G128" s="86">
        <f t="shared" si="153"/>
        <v>0</v>
      </c>
      <c r="H128" s="103">
        <f t="shared" si="153"/>
        <v>0</v>
      </c>
      <c r="I128" s="104" t="s">
        <v>72</v>
      </c>
      <c r="J128" s="105">
        <f t="shared" si="154"/>
        <v>0</v>
      </c>
      <c r="K128" s="105"/>
      <c r="L128" s="9"/>
      <c r="M128" s="107">
        <f t="shared" si="155"/>
        <v>0</v>
      </c>
      <c r="N128" s="107">
        <f t="shared" si="156"/>
        <v>0</v>
      </c>
      <c r="O128" s="55"/>
      <c r="V128" s="55"/>
      <c r="AC128" s="55"/>
      <c r="AJ128" s="55"/>
    </row>
    <row r="129">
      <c r="C129" s="9" t="s">
        <v>14</v>
      </c>
      <c r="D129" s="100">
        <f t="shared" ref="D129:H129" si="157">D100+K100+R100+Y100+AF100</f>
        <v>0</v>
      </c>
      <c r="E129" s="101">
        <f t="shared" si="157"/>
        <v>0</v>
      </c>
      <c r="F129" s="102">
        <f t="shared" si="157"/>
        <v>0</v>
      </c>
      <c r="G129" s="86">
        <f t="shared" si="157"/>
        <v>0</v>
      </c>
      <c r="H129" s="103">
        <f t="shared" si="157"/>
        <v>0</v>
      </c>
      <c r="I129" s="104" t="s">
        <v>73</v>
      </c>
      <c r="J129" s="105">
        <f t="shared" si="154"/>
        <v>0</v>
      </c>
      <c r="K129" s="105"/>
      <c r="L129" s="9"/>
      <c r="M129" s="107">
        <f t="shared" si="155"/>
        <v>0</v>
      </c>
      <c r="N129" s="107">
        <f t="shared" si="156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58">D101+K101+R101+Y101+AF101</f>
        <v>0</v>
      </c>
      <c r="E130" s="101">
        <f t="shared" si="158"/>
        <v>0</v>
      </c>
      <c r="F130" s="102">
        <f t="shared" si="158"/>
        <v>0</v>
      </c>
      <c r="G130" s="86">
        <f t="shared" si="158"/>
        <v>0</v>
      </c>
      <c r="H130" s="103">
        <f t="shared" si="158"/>
        <v>0</v>
      </c>
      <c r="I130" s="104" t="s">
        <v>74</v>
      </c>
      <c r="J130" s="105">
        <f t="shared" si="154"/>
        <v>0</v>
      </c>
      <c r="K130" s="105"/>
      <c r="L130" s="106"/>
      <c r="M130" s="107">
        <f t="shared" si="155"/>
        <v>0</v>
      </c>
      <c r="N130" s="107">
        <f t="shared" si="156"/>
        <v>0</v>
      </c>
      <c r="O130" s="55"/>
      <c r="V130" s="55"/>
      <c r="AC130" s="55"/>
      <c r="AJ130" s="55"/>
    </row>
    <row r="131">
      <c r="C131" s="9" t="s">
        <v>17</v>
      </c>
      <c r="D131" s="100">
        <f t="shared" ref="D131:H131" si="159">D102+K102+R102+Y102+AF102</f>
        <v>0</v>
      </c>
      <c r="E131" s="101">
        <f t="shared" si="159"/>
        <v>0</v>
      </c>
      <c r="F131" s="102">
        <f t="shared" si="159"/>
        <v>0</v>
      </c>
      <c r="G131" s="86">
        <f t="shared" si="159"/>
        <v>0</v>
      </c>
      <c r="H131" s="103">
        <f t="shared" si="159"/>
        <v>0</v>
      </c>
      <c r="I131" s="104" t="s">
        <v>75</v>
      </c>
      <c r="J131" s="105">
        <f t="shared" si="154"/>
        <v>0</v>
      </c>
      <c r="K131" s="105"/>
      <c r="L131" s="9"/>
      <c r="M131" s="107">
        <f t="shared" si="155"/>
        <v>0</v>
      </c>
      <c r="N131" s="107">
        <f t="shared" si="156"/>
        <v>0</v>
      </c>
      <c r="O131" s="55"/>
      <c r="V131" s="55"/>
      <c r="AC131" s="55"/>
      <c r="AJ131" s="55"/>
    </row>
    <row r="132">
      <c r="C132" s="9" t="s">
        <v>18</v>
      </c>
      <c r="D132" s="13">
        <f t="shared" ref="D132:H132" si="160">D103+K103+R103+Y103+AF103</f>
        <v>0</v>
      </c>
      <c r="E132" s="21">
        <f t="shared" si="160"/>
        <v>0</v>
      </c>
      <c r="F132" s="17">
        <f t="shared" si="160"/>
        <v>0</v>
      </c>
      <c r="G132" s="16">
        <f t="shared" si="160"/>
        <v>0</v>
      </c>
      <c r="H132" s="109">
        <f t="shared" si="160"/>
        <v>0</v>
      </c>
      <c r="I132" s="104" t="s">
        <v>76</v>
      </c>
      <c r="J132" s="105">
        <f t="shared" si="154"/>
        <v>0</v>
      </c>
      <c r="K132" s="105"/>
      <c r="L132" s="9"/>
      <c r="M132" s="107">
        <f t="shared" si="155"/>
        <v>0</v>
      </c>
      <c r="N132" s="107">
        <f t="shared" si="156"/>
        <v>0</v>
      </c>
      <c r="O132" s="55"/>
      <c r="V132" s="55"/>
      <c r="AC132" s="55"/>
      <c r="AJ132" s="55"/>
    </row>
    <row r="133">
      <c r="C133" s="9" t="s">
        <v>19</v>
      </c>
      <c r="D133" s="100">
        <f t="shared" ref="D133:H133" si="161">D104+K104+R104+Y104+AF104</f>
        <v>0</v>
      </c>
      <c r="E133" s="101">
        <f t="shared" si="161"/>
        <v>0</v>
      </c>
      <c r="F133" s="102">
        <f t="shared" si="161"/>
        <v>0</v>
      </c>
      <c r="G133" s="86">
        <f t="shared" si="161"/>
        <v>0</v>
      </c>
      <c r="H133" s="103">
        <f t="shared" si="161"/>
        <v>0</v>
      </c>
      <c r="I133" s="104" t="s">
        <v>77</v>
      </c>
      <c r="J133" s="105">
        <f t="shared" si="154"/>
        <v>0</v>
      </c>
      <c r="K133" s="105"/>
      <c r="L133" s="106"/>
      <c r="M133" s="107">
        <f t="shared" si="155"/>
        <v>0</v>
      </c>
      <c r="N133" s="107">
        <f t="shared" si="156"/>
        <v>0</v>
      </c>
      <c r="O133" s="55"/>
      <c r="V133" s="55"/>
      <c r="AC133" s="55"/>
      <c r="AJ133" s="55"/>
    </row>
    <row r="134">
      <c r="C134" s="26" t="s">
        <v>22</v>
      </c>
      <c r="D134" s="100">
        <f t="shared" ref="D134:H134" si="162">D105+K105+R105+Y105+AF105</f>
        <v>0</v>
      </c>
      <c r="E134" s="101">
        <f t="shared" si="162"/>
        <v>0</v>
      </c>
      <c r="F134" s="102">
        <f t="shared" si="162"/>
        <v>0</v>
      </c>
      <c r="G134" s="86">
        <f t="shared" si="162"/>
        <v>0</v>
      </c>
      <c r="H134" s="103">
        <f t="shared" si="162"/>
        <v>0</v>
      </c>
      <c r="I134" s="104" t="s">
        <v>78</v>
      </c>
      <c r="J134" s="105">
        <f t="shared" si="154"/>
        <v>0</v>
      </c>
      <c r="K134" s="105"/>
      <c r="L134" s="106"/>
      <c r="M134" s="107">
        <f t="shared" si="155"/>
        <v>0</v>
      </c>
      <c r="N134" s="107">
        <f t="shared" si="156"/>
        <v>0</v>
      </c>
      <c r="O134" s="55"/>
      <c r="V134" s="55"/>
      <c r="AC134" s="55"/>
      <c r="AJ134" s="55"/>
    </row>
    <row r="135">
      <c r="C135" s="78"/>
      <c r="I135" s="104" t="s">
        <v>79</v>
      </c>
      <c r="J135" s="105"/>
      <c r="K135" s="105"/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/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/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/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0</v>
      </c>
      <c r="K139" s="112">
        <f>SUM(K127+K128+K129+K130+K131+K132+K133+K134+K135+K136+K137+K138)</f>
        <v>0</v>
      </c>
      <c r="L139" s="113"/>
      <c r="M139" s="112">
        <f t="shared" ref="M139:N139" si="163">SUM(M127+M128+M129+M130+M131+M132+M133+M134)</f>
        <v>0</v>
      </c>
      <c r="N139" s="112">
        <f t="shared" si="163"/>
        <v>0</v>
      </c>
      <c r="O139" s="55"/>
      <c r="V139" s="55"/>
      <c r="AC139" s="55"/>
      <c r="AJ139" s="55"/>
    </row>
    <row r="140">
      <c r="O140" s="55"/>
      <c r="V140" s="55"/>
      <c r="AC140" s="55"/>
      <c r="AJ140" s="55"/>
    </row>
    <row r="141">
      <c r="O141" s="55"/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0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0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0</v>
      </c>
      <c r="E144" s="47"/>
      <c r="F144" s="47"/>
      <c r="G144" s="47"/>
      <c r="H144" s="48"/>
      <c r="L144" s="97" t="s">
        <v>87</v>
      </c>
      <c r="M144" s="114">
        <f>J139+(M139*0)</f>
        <v>0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0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0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0</v>
      </c>
      <c r="E147" s="47"/>
      <c r="F147" s="47"/>
      <c r="G147" s="47"/>
      <c r="H147" s="48"/>
      <c r="L147" s="153">
        <f>8000*25</f>
        <v>200000</v>
      </c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0</v>
      </c>
      <c r="E148" s="47"/>
      <c r="F148" s="47"/>
      <c r="G148" s="47"/>
      <c r="H148" s="48"/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0</v>
      </c>
      <c r="E151" s="47"/>
      <c r="F151" s="47"/>
      <c r="G151" s="47"/>
      <c r="H151" s="48"/>
      <c r="O151" s="55"/>
      <c r="V151" s="55"/>
      <c r="AC151" s="55"/>
      <c r="AJ151" s="55"/>
    </row>
    <row r="152"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0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0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0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D143:G143/25</f>
        <v>0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29"/>
      <c r="Q203" s="9" t="s">
        <v>10</v>
      </c>
      <c r="R203" s="120"/>
      <c r="S203" s="49"/>
      <c r="T203" s="49"/>
      <c r="U203" s="49"/>
      <c r="V203" s="51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9">
        <v>202.0</v>
      </c>
      <c r="R204" s="122"/>
      <c r="S204" s="49"/>
      <c r="T204" s="49"/>
      <c r="U204" s="49"/>
      <c r="V204" s="51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9">
        <v>213.0</v>
      </c>
      <c r="R205" s="122"/>
      <c r="S205" s="49"/>
      <c r="T205" s="49"/>
      <c r="U205" s="49"/>
      <c r="V205" s="51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9">
        <v>307.0</v>
      </c>
      <c r="R206" s="122"/>
      <c r="S206" s="49"/>
      <c r="T206" s="49"/>
      <c r="U206" s="49"/>
      <c r="V206" s="51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9">
        <v>313.0</v>
      </c>
      <c r="R207" s="122"/>
      <c r="S207" s="49"/>
      <c r="T207" s="49"/>
      <c r="U207" s="49"/>
      <c r="V207" s="51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9" t="s">
        <v>19</v>
      </c>
      <c r="R208" s="122"/>
      <c r="S208" s="49"/>
      <c r="T208" s="49"/>
      <c r="U208" s="49"/>
      <c r="V208" s="51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9" t="s">
        <v>22</v>
      </c>
      <c r="R209" s="123"/>
      <c r="S209" s="48"/>
      <c r="T209" s="120"/>
      <c r="U209" s="49"/>
      <c r="V209" s="51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0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0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4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R209:S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2" t="s">
        <v>1</v>
      </c>
      <c r="Y1" s="4" t="s">
        <v>7</v>
      </c>
      <c r="Z1" s="2" t="s">
        <v>3</v>
      </c>
      <c r="AA1" s="2" t="s">
        <v>4</v>
      </c>
      <c r="AB1" s="2" t="s">
        <v>5</v>
      </c>
      <c r="AC1" s="5" t="s">
        <v>6</v>
      </c>
      <c r="AD1" s="2" t="s">
        <v>0</v>
      </c>
      <c r="AE1" s="2" t="s">
        <v>1</v>
      </c>
      <c r="AF1" s="4" t="s">
        <v>7</v>
      </c>
      <c r="AG1" s="2" t="s">
        <v>3</v>
      </c>
      <c r="AH1" s="2" t="s">
        <v>4</v>
      </c>
      <c r="AI1" s="2" t="s">
        <v>5</v>
      </c>
      <c r="AJ1" s="5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/>
      <c r="C2" s="9" t="s">
        <v>10</v>
      </c>
      <c r="D2" s="10"/>
      <c r="E2" s="10"/>
      <c r="F2" s="10"/>
      <c r="G2" s="10"/>
      <c r="H2" s="11"/>
      <c r="I2" s="12">
        <v>45782.0</v>
      </c>
      <c r="J2" s="9" t="s">
        <v>10</v>
      </c>
      <c r="K2" s="10"/>
      <c r="L2" s="10"/>
      <c r="M2" s="10"/>
      <c r="N2" s="10"/>
      <c r="O2" s="11"/>
      <c r="P2" s="12">
        <v>45789.0</v>
      </c>
      <c r="Q2" s="9" t="s">
        <v>10</v>
      </c>
      <c r="R2" s="10"/>
      <c r="S2" s="10"/>
      <c r="T2" s="10"/>
      <c r="U2" s="10"/>
      <c r="V2" s="11"/>
      <c r="W2" s="8">
        <v>45796.0</v>
      </c>
      <c r="X2" s="9" t="s">
        <v>10</v>
      </c>
      <c r="Y2" s="10"/>
      <c r="Z2" s="10"/>
      <c r="AA2" s="10"/>
      <c r="AB2" s="10"/>
      <c r="AC2" s="11"/>
      <c r="AD2" s="8">
        <v>45803.0</v>
      </c>
      <c r="AE2" s="9" t="s">
        <v>10</v>
      </c>
      <c r="AF2" s="10"/>
      <c r="AG2" s="10"/>
      <c r="AH2" s="10"/>
      <c r="AI2" s="10"/>
      <c r="AJ2" s="11"/>
      <c r="AL2" s="18" t="s">
        <v>11</v>
      </c>
      <c r="AM2" s="9" t="s">
        <v>10</v>
      </c>
      <c r="AN2" s="10">
        <f t="shared" ref="AN2:AP2" si="1">D2+K2+R2+Y2+AF2</f>
        <v>0</v>
      </c>
      <c r="AO2" s="10">
        <f t="shared" si="1"/>
        <v>0</v>
      </c>
      <c r="AP2" s="10">
        <f t="shared" si="1"/>
        <v>0</v>
      </c>
      <c r="AQ2" s="11">
        <f t="shared" ref="AQ2:AQ9" si="3">H2+O2+V2+AC2+AJ2</f>
        <v>0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9" t="s">
        <v>12</v>
      </c>
      <c r="K3" s="10"/>
      <c r="L3" s="10"/>
      <c r="M3" s="10"/>
      <c r="N3" s="10"/>
      <c r="O3" s="11"/>
      <c r="P3" s="19"/>
      <c r="Q3" s="9" t="s">
        <v>12</v>
      </c>
      <c r="R3" s="10"/>
      <c r="S3" s="10"/>
      <c r="T3" s="10"/>
      <c r="U3" s="10"/>
      <c r="V3" s="11"/>
      <c r="W3" s="19"/>
      <c r="X3" s="9" t="s">
        <v>12</v>
      </c>
      <c r="Y3" s="10"/>
      <c r="Z3" s="10"/>
      <c r="AA3" s="10"/>
      <c r="AB3" s="10"/>
      <c r="AC3" s="11"/>
      <c r="AD3" s="19"/>
      <c r="AE3" s="9" t="s">
        <v>12</v>
      </c>
      <c r="AF3" s="10"/>
      <c r="AG3" s="10"/>
      <c r="AH3" s="10"/>
      <c r="AI3" s="10"/>
      <c r="AJ3" s="11"/>
      <c r="AL3" s="19"/>
      <c r="AM3" s="9" t="s">
        <v>12</v>
      </c>
      <c r="AN3" s="10">
        <f t="shared" ref="AN3:AP3" si="2">D3+K3+R3+Y3+AF3</f>
        <v>0</v>
      </c>
      <c r="AO3" s="10">
        <f t="shared" si="2"/>
        <v>0</v>
      </c>
      <c r="AP3" s="10">
        <f t="shared" si="2"/>
        <v>0</v>
      </c>
      <c r="AQ3" s="11">
        <f t="shared" si="3"/>
        <v>0</v>
      </c>
    </row>
    <row r="4">
      <c r="B4" s="19"/>
      <c r="C4" s="9" t="s">
        <v>14</v>
      </c>
      <c r="D4" s="10"/>
      <c r="E4" s="10"/>
      <c r="F4" s="10"/>
      <c r="G4" s="10"/>
      <c r="H4" s="11"/>
      <c r="I4" s="19"/>
      <c r="J4" s="290" t="s">
        <v>14</v>
      </c>
      <c r="K4" s="10"/>
      <c r="L4" s="10"/>
      <c r="M4" s="10"/>
      <c r="N4" s="10"/>
      <c r="O4" s="11"/>
      <c r="P4" s="19"/>
      <c r="Q4" s="290" t="s">
        <v>14</v>
      </c>
      <c r="R4" s="291"/>
      <c r="S4" s="10"/>
      <c r="T4" s="10"/>
      <c r="U4" s="10"/>
      <c r="V4" s="11"/>
      <c r="W4" s="19"/>
      <c r="X4" s="290" t="s">
        <v>14</v>
      </c>
      <c r="Y4" s="291"/>
      <c r="Z4" s="10"/>
      <c r="AA4" s="10"/>
      <c r="AB4" s="10"/>
      <c r="AC4" s="11"/>
      <c r="AD4" s="19"/>
      <c r="AE4" s="290" t="s">
        <v>14</v>
      </c>
      <c r="AF4" s="291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10"/>
      <c r="H5" s="11"/>
      <c r="I5" s="19"/>
      <c r="J5" s="15" t="s">
        <v>16</v>
      </c>
      <c r="K5" s="10"/>
      <c r="L5" s="10"/>
      <c r="M5" s="10"/>
      <c r="N5" s="10"/>
      <c r="O5" s="11"/>
      <c r="P5" s="19"/>
      <c r="Q5" s="9" t="s">
        <v>16</v>
      </c>
      <c r="R5" s="10"/>
      <c r="S5" s="10"/>
      <c r="T5" s="10"/>
      <c r="U5" s="10"/>
      <c r="V5" s="163"/>
      <c r="W5" s="19"/>
      <c r="X5" s="9" t="s">
        <v>16</v>
      </c>
      <c r="Y5" s="10"/>
      <c r="Z5" s="10"/>
      <c r="AA5" s="10"/>
      <c r="AB5" s="10"/>
      <c r="AC5" s="163"/>
      <c r="AD5" s="19"/>
      <c r="AE5" s="9" t="s">
        <v>16</v>
      </c>
      <c r="AF5" s="10"/>
      <c r="AG5" s="10"/>
      <c r="AH5" s="10"/>
      <c r="AI5" s="10"/>
      <c r="AJ5" s="11"/>
      <c r="AL5" s="19"/>
      <c r="AM5" s="9" t="s">
        <v>16</v>
      </c>
      <c r="AN5" s="10">
        <f t="shared" ref="AN5:AP5" si="5">D5+K5+R5+Y5+AF5</f>
        <v>0</v>
      </c>
      <c r="AO5" s="10">
        <f t="shared" si="5"/>
        <v>0</v>
      </c>
      <c r="AP5" s="10">
        <f t="shared" si="5"/>
        <v>0</v>
      </c>
      <c r="AQ5" s="11">
        <f t="shared" si="3"/>
        <v>0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10"/>
      <c r="L6" s="10"/>
      <c r="M6" s="10"/>
      <c r="N6" s="10"/>
      <c r="O6" s="11"/>
      <c r="P6" s="19"/>
      <c r="Q6" s="9" t="s">
        <v>17</v>
      </c>
      <c r="R6" s="10"/>
      <c r="S6" s="10"/>
      <c r="T6" s="10"/>
      <c r="U6" s="10"/>
      <c r="V6" s="11"/>
      <c r="W6" s="19"/>
      <c r="X6" s="9" t="s">
        <v>17</v>
      </c>
      <c r="Y6" s="10"/>
      <c r="Z6" s="10"/>
      <c r="AA6" s="10"/>
      <c r="AB6" s="10"/>
      <c r="AC6" s="11"/>
      <c r="AD6" s="19"/>
      <c r="AE6" s="9" t="s">
        <v>17</v>
      </c>
      <c r="AF6" s="10"/>
      <c r="AG6" s="10"/>
      <c r="AH6" s="10"/>
      <c r="AI6" s="10"/>
      <c r="AJ6" s="11"/>
      <c r="AL6" s="19"/>
      <c r="AM6" s="9" t="s">
        <v>17</v>
      </c>
      <c r="AN6" s="10">
        <f t="shared" ref="AN6:AP6" si="6">D6+K6+R6+Y6+AF6</f>
        <v>0</v>
      </c>
      <c r="AO6" s="10">
        <f t="shared" si="6"/>
        <v>0</v>
      </c>
      <c r="AP6" s="10">
        <f t="shared" si="6"/>
        <v>0</v>
      </c>
      <c r="AQ6" s="11">
        <f t="shared" si="3"/>
        <v>0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9" t="s">
        <v>18</v>
      </c>
      <c r="K7" s="10"/>
      <c r="L7" s="10"/>
      <c r="M7" s="10"/>
      <c r="N7" s="10"/>
      <c r="O7" s="11"/>
      <c r="P7" s="19"/>
      <c r="Q7" s="9" t="s">
        <v>18</v>
      </c>
      <c r="R7" s="10"/>
      <c r="S7" s="10"/>
      <c r="T7" s="10"/>
      <c r="U7" s="10"/>
      <c r="V7" s="11"/>
      <c r="W7" s="19"/>
      <c r="X7" s="9" t="s">
        <v>18</v>
      </c>
      <c r="Y7" s="10"/>
      <c r="Z7" s="10"/>
      <c r="AA7" s="10"/>
      <c r="AB7" s="10"/>
      <c r="AC7" s="11"/>
      <c r="AD7" s="19"/>
      <c r="AE7" s="9" t="s">
        <v>18</v>
      </c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0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9" t="s">
        <v>20</v>
      </c>
      <c r="K8" s="10"/>
      <c r="L8" s="10"/>
      <c r="M8" s="10"/>
      <c r="N8" s="10"/>
      <c r="O8" s="11"/>
      <c r="P8" s="19"/>
      <c r="Q8" s="9" t="s">
        <v>19</v>
      </c>
      <c r="R8" s="10"/>
      <c r="S8" s="10"/>
      <c r="T8" s="10"/>
      <c r="U8" s="10"/>
      <c r="V8" s="11"/>
      <c r="W8" s="19"/>
      <c r="X8" s="9" t="s">
        <v>19</v>
      </c>
      <c r="Y8" s="10"/>
      <c r="Z8" s="10"/>
      <c r="AA8" s="10"/>
      <c r="AB8" s="10"/>
      <c r="AC8" s="11"/>
      <c r="AD8" s="19"/>
      <c r="AE8" s="9" t="s">
        <v>19</v>
      </c>
      <c r="AF8" s="10"/>
      <c r="AG8" s="10"/>
      <c r="AH8" s="10"/>
      <c r="AI8" s="10"/>
      <c r="AJ8" s="11"/>
      <c r="AL8" s="19"/>
      <c r="AM8" s="9" t="s">
        <v>19</v>
      </c>
      <c r="AN8" s="10">
        <f t="shared" ref="AN8:AP8" si="8">D8+K8+R8+Y8+AF8</f>
        <v>0</v>
      </c>
      <c r="AO8" s="10">
        <f t="shared" si="8"/>
        <v>0</v>
      </c>
      <c r="AP8" s="10">
        <f t="shared" si="8"/>
        <v>0</v>
      </c>
      <c r="AQ8" s="11">
        <f t="shared" si="3"/>
        <v>0</v>
      </c>
    </row>
    <row r="9">
      <c r="B9" s="19"/>
      <c r="C9" s="26" t="s">
        <v>21</v>
      </c>
      <c r="D9" s="10"/>
      <c r="E9" s="10"/>
      <c r="F9" s="10"/>
      <c r="G9" s="10"/>
      <c r="H9" s="11"/>
      <c r="I9" s="19"/>
      <c r="J9" s="26" t="s">
        <v>22</v>
      </c>
      <c r="K9" s="10"/>
      <c r="L9" s="10"/>
      <c r="M9" s="10"/>
      <c r="N9" s="10"/>
      <c r="O9" s="11"/>
      <c r="P9" s="19"/>
      <c r="Q9" s="26" t="s">
        <v>21</v>
      </c>
      <c r="R9" s="10"/>
      <c r="S9" s="10"/>
      <c r="T9" s="10"/>
      <c r="U9" s="10"/>
      <c r="V9" s="11"/>
      <c r="W9" s="19"/>
      <c r="X9" s="26" t="s">
        <v>21</v>
      </c>
      <c r="Y9" s="10"/>
      <c r="Z9" s="10"/>
      <c r="AA9" s="10"/>
      <c r="AB9" s="10"/>
      <c r="AC9" s="11"/>
      <c r="AD9" s="19"/>
      <c r="AE9" s="26" t="s">
        <v>21</v>
      </c>
      <c r="AF9" s="10"/>
      <c r="AG9" s="10"/>
      <c r="AH9" s="10"/>
      <c r="AI9" s="10"/>
      <c r="AJ9" s="11"/>
      <c r="AL9" s="19"/>
      <c r="AM9" s="26" t="s">
        <v>21</v>
      </c>
      <c r="AN9" s="10">
        <f t="shared" ref="AN9:AP9" si="9">D9+K9+R9+Y9+AF9</f>
        <v>0</v>
      </c>
      <c r="AO9" s="10">
        <f t="shared" si="9"/>
        <v>0</v>
      </c>
      <c r="AP9" s="10">
        <f t="shared" si="9"/>
        <v>0</v>
      </c>
      <c r="AQ9" s="11">
        <f t="shared" si="3"/>
        <v>0</v>
      </c>
    </row>
    <row r="10">
      <c r="B10" s="19"/>
      <c r="C10" s="28" t="s">
        <v>23</v>
      </c>
      <c r="D10" s="29">
        <f t="shared" ref="D10:H10" si="10">D2+D3+D4+D5+D6+D7+D8+D9</f>
        <v>0</v>
      </c>
      <c r="E10" s="30">
        <f t="shared" si="10"/>
        <v>0</v>
      </c>
      <c r="F10" s="31">
        <f t="shared" si="10"/>
        <v>0</v>
      </c>
      <c r="G10" s="32">
        <f t="shared" si="10"/>
        <v>0</v>
      </c>
      <c r="H10" s="33">
        <f t="shared" si="10"/>
        <v>0</v>
      </c>
      <c r="I10" s="19"/>
      <c r="J10" s="28" t="s">
        <v>23</v>
      </c>
      <c r="K10" s="298">
        <f t="shared" ref="K10:O10" si="11">K2+K3+K4+K5+K6+K7+K8+K9</f>
        <v>0</v>
      </c>
      <c r="L10" s="30">
        <f t="shared" si="11"/>
        <v>0</v>
      </c>
      <c r="M10" s="31">
        <f t="shared" si="11"/>
        <v>0</v>
      </c>
      <c r="N10" s="299">
        <f t="shared" si="11"/>
        <v>0</v>
      </c>
      <c r="O10" s="38">
        <f t="shared" si="11"/>
        <v>0</v>
      </c>
      <c r="P10" s="19"/>
      <c r="Q10" s="28" t="s">
        <v>23</v>
      </c>
      <c r="R10" s="61">
        <f t="shared" ref="R10:V10" si="12">R2+R3+R4+R5+R6+R7+R8+R9</f>
        <v>0</v>
      </c>
      <c r="S10" s="40">
        <f t="shared" si="12"/>
        <v>0</v>
      </c>
      <c r="T10" s="31">
        <f t="shared" si="12"/>
        <v>0</v>
      </c>
      <c r="U10" s="37">
        <f t="shared" si="12"/>
        <v>0</v>
      </c>
      <c r="V10" s="33">
        <f t="shared" si="12"/>
        <v>0</v>
      </c>
      <c r="W10" s="19"/>
      <c r="X10" s="28" t="s">
        <v>23</v>
      </c>
      <c r="Y10" s="34">
        <f t="shared" ref="Y10:AC10" si="13">Y2+Y3+Y4+Y5+Y6+Y7+Y8+Y9</f>
        <v>0</v>
      </c>
      <c r="Z10" s="35">
        <f t="shared" si="13"/>
        <v>0</v>
      </c>
      <c r="AA10" s="36">
        <f t="shared" si="13"/>
        <v>0</v>
      </c>
      <c r="AB10" s="37">
        <f t="shared" si="13"/>
        <v>0</v>
      </c>
      <c r="AC10" s="33">
        <f t="shared" si="13"/>
        <v>0</v>
      </c>
      <c r="AD10" s="19"/>
      <c r="AE10" s="28" t="s">
        <v>23</v>
      </c>
      <c r="AF10" s="61">
        <f t="shared" ref="AF10:AJ10" si="14">AF2+AF3+AF4+AF5+AF6+AF7+AF8+AF9</f>
        <v>0</v>
      </c>
      <c r="AG10" s="40">
        <f t="shared" si="14"/>
        <v>0</v>
      </c>
      <c r="AH10" s="31">
        <f t="shared" si="14"/>
        <v>0</v>
      </c>
      <c r="AI10" s="37">
        <f t="shared" si="14"/>
        <v>0</v>
      </c>
      <c r="AJ10" s="33">
        <f t="shared" si="14"/>
        <v>0</v>
      </c>
      <c r="AL10" s="19"/>
      <c r="AM10" s="28" t="s">
        <v>23</v>
      </c>
      <c r="AN10" s="41">
        <f t="shared" ref="AN10:AQ10" si="15">AN2+AN3+AN4+AN5+AN6+AN7+AN8+AN9</f>
        <v>0</v>
      </c>
      <c r="AO10" s="42">
        <f t="shared" si="15"/>
        <v>0</v>
      </c>
      <c r="AP10" s="43">
        <f t="shared" si="15"/>
        <v>0</v>
      </c>
      <c r="AQ10" s="44">
        <f t="shared" si="15"/>
        <v>0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0</v>
      </c>
      <c r="L11" s="47"/>
      <c r="M11" s="48"/>
      <c r="N11" s="51"/>
      <c r="O11" s="52"/>
      <c r="P11" s="19"/>
      <c r="Q11" s="45" t="s">
        <v>24</v>
      </c>
      <c r="R11" s="50">
        <f>R10-S10</f>
        <v>0</v>
      </c>
      <c r="S11" s="47"/>
      <c r="T11" s="48"/>
      <c r="U11" s="51"/>
      <c r="V11" s="52"/>
      <c r="W11" s="19"/>
      <c r="X11" s="45" t="s">
        <v>24</v>
      </c>
      <c r="Y11" s="50">
        <f>Y10-Z10</f>
        <v>0</v>
      </c>
      <c r="Z11" s="47"/>
      <c r="AA11" s="48"/>
      <c r="AB11" s="51"/>
      <c r="AC11" s="52"/>
      <c r="AD11" s="19"/>
      <c r="AE11" s="45" t="s">
        <v>24</v>
      </c>
      <c r="AF11" s="50">
        <f>AF10-AG10</f>
        <v>0</v>
      </c>
      <c r="AG11" s="47"/>
      <c r="AH11" s="48"/>
      <c r="AI11" s="51"/>
      <c r="AJ11" s="52"/>
      <c r="AL11" s="53"/>
      <c r="AM11" s="45" t="s">
        <v>25</v>
      </c>
      <c r="AN11" s="50">
        <f>AN10-AO10</f>
        <v>0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0</v>
      </c>
      <c r="L12" s="47"/>
      <c r="M12" s="48"/>
      <c r="N12" s="51"/>
      <c r="O12" s="52"/>
      <c r="P12" s="53"/>
      <c r="Q12" s="56" t="s">
        <v>26</v>
      </c>
      <c r="R12" s="57">
        <f>T10-S10</f>
        <v>0</v>
      </c>
      <c r="S12" s="47"/>
      <c r="T12" s="48"/>
      <c r="U12" s="51"/>
      <c r="V12" s="52"/>
      <c r="W12" s="53"/>
      <c r="X12" s="56" t="s">
        <v>26</v>
      </c>
      <c r="Y12" s="57">
        <f>AA10-Z10</f>
        <v>0</v>
      </c>
      <c r="Z12" s="47"/>
      <c r="AA12" s="48"/>
      <c r="AB12" s="51"/>
      <c r="AC12" s="52"/>
      <c r="AD12" s="53"/>
      <c r="AE12" s="56" t="s">
        <v>26</v>
      </c>
      <c r="AF12" s="57">
        <f>AH10-AG10</f>
        <v>0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2" t="s">
        <v>1</v>
      </c>
      <c r="Y13" s="4" t="s">
        <v>7</v>
      </c>
      <c r="Z13" s="2" t="s">
        <v>3</v>
      </c>
      <c r="AA13" s="2" t="s">
        <v>4</v>
      </c>
      <c r="AB13" s="2" t="s">
        <v>5</v>
      </c>
      <c r="AC13" s="5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/>
      <c r="C14" s="9" t="s">
        <v>10</v>
      </c>
      <c r="D14" s="10"/>
      <c r="E14" s="10"/>
      <c r="F14" s="10"/>
      <c r="G14" s="10"/>
      <c r="H14" s="11"/>
      <c r="I14" s="12">
        <v>45783.0</v>
      </c>
      <c r="J14" s="9" t="s">
        <v>10</v>
      </c>
      <c r="K14" s="10"/>
      <c r="L14" s="10"/>
      <c r="M14" s="10"/>
      <c r="N14" s="10"/>
      <c r="O14" s="11"/>
      <c r="P14" s="8">
        <v>45790.0</v>
      </c>
      <c r="Q14" s="9" t="s">
        <v>10</v>
      </c>
      <c r="R14" s="10"/>
      <c r="S14" s="10"/>
      <c r="T14" s="10"/>
      <c r="U14" s="10"/>
      <c r="V14" s="11"/>
      <c r="W14" s="8">
        <v>45797.0</v>
      </c>
      <c r="X14" s="9" t="s">
        <v>10</v>
      </c>
      <c r="Y14" s="10"/>
      <c r="Z14" s="10"/>
      <c r="AA14" s="10"/>
      <c r="AB14" s="10"/>
      <c r="AC14" s="11"/>
      <c r="AD14" s="8">
        <v>45804.0</v>
      </c>
      <c r="AE14" s="9" t="s">
        <v>10</v>
      </c>
      <c r="AF14" s="10"/>
      <c r="AG14" s="10"/>
      <c r="AH14" s="10"/>
      <c r="AI14" s="10"/>
      <c r="AJ14" s="11"/>
      <c r="AL14" s="18" t="s">
        <v>28</v>
      </c>
      <c r="AM14" s="9" t="s">
        <v>10</v>
      </c>
      <c r="AN14" s="10">
        <f t="shared" ref="AN14:AP14" si="16">D14+K14+R14+Y14+AF14</f>
        <v>0</v>
      </c>
      <c r="AO14" s="10">
        <f t="shared" si="16"/>
        <v>0</v>
      </c>
      <c r="AP14" s="10">
        <f t="shared" si="16"/>
        <v>0</v>
      </c>
      <c r="AQ14" s="11">
        <f t="shared" ref="AQ14:AQ21" si="18">H14+O14+V14+AC14+AJ14</f>
        <v>0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15" t="s">
        <v>12</v>
      </c>
      <c r="K15" s="10"/>
      <c r="L15" s="10"/>
      <c r="M15" s="10"/>
      <c r="N15" s="10"/>
      <c r="O15" s="11"/>
      <c r="P15" s="19"/>
      <c r="Q15" s="9" t="s">
        <v>12</v>
      </c>
      <c r="R15" s="10"/>
      <c r="S15" s="10"/>
      <c r="T15" s="10"/>
      <c r="U15" s="10"/>
      <c r="V15" s="11"/>
      <c r="W15" s="19"/>
      <c r="X15" s="9" t="s">
        <v>12</v>
      </c>
      <c r="Y15" s="10"/>
      <c r="Z15" s="10"/>
      <c r="AA15" s="10"/>
      <c r="AB15" s="10"/>
      <c r="AC15" s="11"/>
      <c r="AD15" s="19"/>
      <c r="AE15" s="9" t="s">
        <v>12</v>
      </c>
      <c r="AF15" s="10"/>
      <c r="AG15" s="10"/>
      <c r="AH15" s="10"/>
      <c r="AI15" s="10"/>
      <c r="AJ15" s="11"/>
      <c r="AL15" s="19"/>
      <c r="AM15" s="9" t="s">
        <v>12</v>
      </c>
      <c r="AN15" s="10">
        <f t="shared" ref="AN15:AP15" si="17">D15+K15+R15+Y15+AF15</f>
        <v>0</v>
      </c>
      <c r="AO15" s="10">
        <f t="shared" si="17"/>
        <v>0</v>
      </c>
      <c r="AP15" s="10">
        <f t="shared" si="17"/>
        <v>0</v>
      </c>
      <c r="AQ15" s="11">
        <f t="shared" si="18"/>
        <v>0</v>
      </c>
    </row>
    <row r="16">
      <c r="A16" s="19"/>
      <c r="B16" s="19"/>
      <c r="C16" s="9" t="s">
        <v>14</v>
      </c>
      <c r="D16" s="10"/>
      <c r="E16" s="10"/>
      <c r="F16" s="10"/>
      <c r="G16" s="10"/>
      <c r="H16" s="11"/>
      <c r="I16" s="19"/>
      <c r="J16" s="290" t="s">
        <v>14</v>
      </c>
      <c r="K16" s="291"/>
      <c r="L16" s="10"/>
      <c r="M16" s="10"/>
      <c r="N16" s="10"/>
      <c r="O16" s="11"/>
      <c r="P16" s="19"/>
      <c r="Q16" s="290" t="s">
        <v>14</v>
      </c>
      <c r="R16" s="291"/>
      <c r="S16" s="10"/>
      <c r="T16" s="10"/>
      <c r="U16" s="10"/>
      <c r="V16" s="11"/>
      <c r="W16" s="19"/>
      <c r="X16" s="290" t="s">
        <v>14</v>
      </c>
      <c r="Y16" s="291"/>
      <c r="Z16" s="10"/>
      <c r="AA16" s="10"/>
      <c r="AB16" s="10"/>
      <c r="AC16" s="11"/>
      <c r="AD16" s="19"/>
      <c r="AE16" s="290" t="s">
        <v>14</v>
      </c>
      <c r="AF16" s="291"/>
      <c r="AG16" s="10"/>
      <c r="AH16" s="10"/>
      <c r="AI16" s="10"/>
      <c r="AJ16" s="11"/>
      <c r="AL16" s="19"/>
      <c r="AM16" s="9" t="s">
        <v>14</v>
      </c>
      <c r="AN16" s="10">
        <f t="shared" ref="AN16:AP16" si="19">D16+K16+R16+Y16+AF16</f>
        <v>0</v>
      </c>
      <c r="AO16" s="10">
        <f t="shared" si="19"/>
        <v>0</v>
      </c>
      <c r="AP16" s="10">
        <f t="shared" si="19"/>
        <v>0</v>
      </c>
      <c r="AQ16" s="11">
        <f t="shared" si="18"/>
        <v>0</v>
      </c>
    </row>
    <row r="17">
      <c r="A17" s="19"/>
      <c r="B17" s="19"/>
      <c r="C17" s="9" t="s">
        <v>16</v>
      </c>
      <c r="D17" s="10"/>
      <c r="E17" s="10"/>
      <c r="F17" s="10"/>
      <c r="G17" s="10"/>
      <c r="H17" s="11"/>
      <c r="I17" s="19"/>
      <c r="J17" s="9" t="s">
        <v>16</v>
      </c>
      <c r="K17" s="10"/>
      <c r="L17" s="10"/>
      <c r="M17" s="10"/>
      <c r="N17" s="10"/>
      <c r="O17" s="11"/>
      <c r="P17" s="19"/>
      <c r="Q17" s="9" t="s">
        <v>15</v>
      </c>
      <c r="R17" s="10"/>
      <c r="S17" s="10"/>
      <c r="T17" s="10"/>
      <c r="U17" s="10"/>
      <c r="V17" s="11"/>
      <c r="W17" s="19"/>
      <c r="X17" s="9" t="s">
        <v>16</v>
      </c>
      <c r="Y17" s="10"/>
      <c r="Z17" s="10"/>
      <c r="AA17" s="10"/>
      <c r="AB17" s="10"/>
      <c r="AC17" s="11"/>
      <c r="AD17" s="19"/>
      <c r="AE17" s="9" t="s">
        <v>16</v>
      </c>
      <c r="AF17" s="10"/>
      <c r="AG17" s="10"/>
      <c r="AH17" s="10"/>
      <c r="AI17" s="10"/>
      <c r="AJ17" s="11"/>
      <c r="AL17" s="19"/>
      <c r="AM17" s="9" t="s">
        <v>16</v>
      </c>
      <c r="AN17" s="10">
        <f t="shared" ref="AN17:AP17" si="20">D17+K17+R17+Y17+AF17</f>
        <v>0</v>
      </c>
      <c r="AO17" s="10">
        <f t="shared" si="20"/>
        <v>0</v>
      </c>
      <c r="AP17" s="10">
        <f t="shared" si="20"/>
        <v>0</v>
      </c>
      <c r="AQ17" s="11">
        <f t="shared" si="18"/>
        <v>0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9" t="s">
        <v>17</v>
      </c>
      <c r="K18" s="10"/>
      <c r="L18" s="10"/>
      <c r="M18" s="10"/>
      <c r="N18" s="10"/>
      <c r="O18" s="11"/>
      <c r="P18" s="19"/>
      <c r="Q18" s="9" t="s">
        <v>17</v>
      </c>
      <c r="R18" s="10"/>
      <c r="S18" s="10"/>
      <c r="T18" s="10"/>
      <c r="U18" s="10"/>
      <c r="V18" s="11"/>
      <c r="W18" s="19"/>
      <c r="X18" s="9" t="s">
        <v>17</v>
      </c>
      <c r="Y18" s="10"/>
      <c r="Z18" s="10"/>
      <c r="AA18" s="10"/>
      <c r="AB18" s="10"/>
      <c r="AC18" s="11"/>
      <c r="AD18" s="19"/>
      <c r="AE18" s="9" t="s">
        <v>17</v>
      </c>
      <c r="AF18" s="10"/>
      <c r="AG18" s="10"/>
      <c r="AH18" s="10"/>
      <c r="AI18" s="10"/>
      <c r="AJ18" s="11"/>
      <c r="AL18" s="19"/>
      <c r="AM18" s="9" t="s">
        <v>17</v>
      </c>
      <c r="AN18" s="10">
        <f t="shared" ref="AN18:AP18" si="21">D18+K18+R18+Y18+AF18</f>
        <v>0</v>
      </c>
      <c r="AO18" s="10">
        <f t="shared" si="21"/>
        <v>0</v>
      </c>
      <c r="AP18" s="10">
        <f t="shared" si="21"/>
        <v>0</v>
      </c>
      <c r="AQ18" s="11">
        <f t="shared" si="18"/>
        <v>0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9" t="s">
        <v>18</v>
      </c>
      <c r="K19" s="10"/>
      <c r="L19" s="10"/>
      <c r="M19" s="10"/>
      <c r="N19" s="10"/>
      <c r="O19" s="11"/>
      <c r="P19" s="19"/>
      <c r="Q19" s="9" t="s">
        <v>18</v>
      </c>
      <c r="R19" s="10"/>
      <c r="S19" s="10"/>
      <c r="T19" s="10"/>
      <c r="U19" s="10"/>
      <c r="V19" s="11"/>
      <c r="W19" s="19"/>
      <c r="X19" s="9" t="s">
        <v>18</v>
      </c>
      <c r="Y19" s="10"/>
      <c r="Z19" s="10"/>
      <c r="AA19" s="10"/>
      <c r="AB19" s="10"/>
      <c r="AC19" s="11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2">D19+K19+R19+Y19+AF19</f>
        <v>0</v>
      </c>
      <c r="AO19" s="10">
        <f t="shared" si="22"/>
        <v>0</v>
      </c>
      <c r="AP19" s="10">
        <f t="shared" si="22"/>
        <v>0</v>
      </c>
      <c r="AQ19" s="11">
        <f t="shared" si="18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0"/>
      <c r="L20" s="10"/>
      <c r="M20" s="10"/>
      <c r="N20" s="10"/>
      <c r="O20" s="11"/>
      <c r="P20" s="19"/>
      <c r="Q20" s="9" t="s">
        <v>19</v>
      </c>
      <c r="R20" s="10"/>
      <c r="S20" s="10"/>
      <c r="T20" s="10"/>
      <c r="U20" s="10"/>
      <c r="V20" s="11"/>
      <c r="W20" s="19"/>
      <c r="X20" s="9" t="s">
        <v>19</v>
      </c>
      <c r="Y20" s="10"/>
      <c r="Z20" s="10"/>
      <c r="AA20" s="10"/>
      <c r="AB20" s="10"/>
      <c r="AC20" s="11"/>
      <c r="AD20" s="19"/>
      <c r="AE20" s="9" t="s">
        <v>19</v>
      </c>
      <c r="AF20" s="10"/>
      <c r="AG20" s="10"/>
      <c r="AH20" s="10"/>
      <c r="AI20" s="10"/>
      <c r="AJ20" s="11"/>
      <c r="AL20" s="19"/>
      <c r="AM20" s="9" t="s">
        <v>19</v>
      </c>
      <c r="AN20" s="10">
        <f t="shared" ref="AN20:AP20" si="23">D20+K20+R20+Y20+AF20</f>
        <v>0</v>
      </c>
      <c r="AO20" s="10">
        <f t="shared" si="23"/>
        <v>0</v>
      </c>
      <c r="AP20" s="10">
        <f t="shared" si="23"/>
        <v>0</v>
      </c>
      <c r="AQ20" s="11">
        <f t="shared" si="18"/>
        <v>0</v>
      </c>
    </row>
    <row r="21">
      <c r="A21" s="19"/>
      <c r="B21" s="19"/>
      <c r="C21" s="26" t="s">
        <v>21</v>
      </c>
      <c r="D21" s="10"/>
      <c r="E21" s="10"/>
      <c r="F21" s="10"/>
      <c r="G21" s="10"/>
      <c r="H21" s="11"/>
      <c r="I21" s="19"/>
      <c r="J21" s="26" t="s">
        <v>22</v>
      </c>
      <c r="K21" s="10"/>
      <c r="L21" s="10"/>
      <c r="M21" s="10"/>
      <c r="N21" s="10"/>
      <c r="O21" s="11"/>
      <c r="P21" s="19"/>
      <c r="Q21" s="26" t="s">
        <v>21</v>
      </c>
      <c r="R21" s="10"/>
      <c r="S21" s="10"/>
      <c r="T21" s="10"/>
      <c r="U21" s="10"/>
      <c r="V21" s="11"/>
      <c r="W21" s="19"/>
      <c r="X21" s="26" t="s">
        <v>21</v>
      </c>
      <c r="Y21" s="10"/>
      <c r="Z21" s="10"/>
      <c r="AA21" s="10"/>
      <c r="AB21" s="10"/>
      <c r="AC21" s="11"/>
      <c r="AD21" s="19"/>
      <c r="AE21" s="26" t="s">
        <v>21</v>
      </c>
      <c r="AF21" s="10"/>
      <c r="AG21" s="10"/>
      <c r="AH21" s="10"/>
      <c r="AI21" s="10"/>
      <c r="AJ21" s="11"/>
      <c r="AL21" s="19"/>
      <c r="AM21" s="26" t="s">
        <v>21</v>
      </c>
      <c r="AN21" s="10">
        <f t="shared" ref="AN21:AP21" si="24">D21+K21+R21+Y21+AF21</f>
        <v>0</v>
      </c>
      <c r="AO21" s="10">
        <f t="shared" si="24"/>
        <v>0</v>
      </c>
      <c r="AP21" s="10">
        <f t="shared" si="24"/>
        <v>0</v>
      </c>
      <c r="AQ21" s="11">
        <f t="shared" si="18"/>
        <v>0</v>
      </c>
    </row>
    <row r="22">
      <c r="A22" s="19"/>
      <c r="B22" s="19"/>
      <c r="C22" s="28" t="s">
        <v>23</v>
      </c>
      <c r="D22" s="29">
        <f t="shared" ref="D22:H22" si="25">D14+D15+D16+D17+D18+D19+D20+D21</f>
        <v>0</v>
      </c>
      <c r="E22" s="35">
        <f t="shared" si="25"/>
        <v>0</v>
      </c>
      <c r="F22" s="31">
        <f t="shared" si="25"/>
        <v>0</v>
      </c>
      <c r="G22" s="37">
        <f t="shared" si="25"/>
        <v>0</v>
      </c>
      <c r="H22" s="33">
        <f t="shared" si="25"/>
        <v>0</v>
      </c>
      <c r="I22" s="19"/>
      <c r="J22" s="28" t="s">
        <v>23</v>
      </c>
      <c r="K22" s="29">
        <f t="shared" ref="K22:O22" si="26">K14+K15+K16+K17+K18+K19+K20+K21</f>
        <v>0</v>
      </c>
      <c r="L22" s="40">
        <f t="shared" si="26"/>
        <v>0</v>
      </c>
      <c r="M22" s="31">
        <f t="shared" si="26"/>
        <v>0</v>
      </c>
      <c r="N22" s="37">
        <f t="shared" si="26"/>
        <v>0</v>
      </c>
      <c r="O22" s="33">
        <f t="shared" si="26"/>
        <v>0</v>
      </c>
      <c r="P22" s="19"/>
      <c r="Q22" s="28" t="s">
        <v>23</v>
      </c>
      <c r="R22" s="61">
        <f t="shared" ref="R22:V22" si="27">R14+R15+R16+R17+R18+R19+R20+R21</f>
        <v>0</v>
      </c>
      <c r="S22" s="30">
        <f t="shared" si="27"/>
        <v>0</v>
      </c>
      <c r="T22" s="36">
        <f t="shared" si="27"/>
        <v>0</v>
      </c>
      <c r="U22" s="37">
        <f t="shared" si="27"/>
        <v>0</v>
      </c>
      <c r="V22" s="33">
        <f t="shared" si="27"/>
        <v>0</v>
      </c>
      <c r="W22" s="19"/>
      <c r="X22" s="28" t="s">
        <v>23</v>
      </c>
      <c r="Y22" s="61">
        <f t="shared" ref="Y22:AC22" si="28">Y14+Y15+Y16+Y17+Y18+Y19+Y20+Y21</f>
        <v>0</v>
      </c>
      <c r="Z22" s="30">
        <f t="shared" si="28"/>
        <v>0</v>
      </c>
      <c r="AA22" s="31">
        <f t="shared" si="28"/>
        <v>0</v>
      </c>
      <c r="AB22" s="37">
        <f t="shared" si="28"/>
        <v>0</v>
      </c>
      <c r="AC22" s="33">
        <f t="shared" si="28"/>
        <v>0</v>
      </c>
      <c r="AD22" s="19"/>
      <c r="AE22" s="28" t="s">
        <v>23</v>
      </c>
      <c r="AF22" s="29">
        <f t="shared" ref="AF22:AJ22" si="29">AF14+AF15+AF16+AF17+AF18+AF19+AF20+AF21</f>
        <v>0</v>
      </c>
      <c r="AG22" s="30">
        <f t="shared" si="29"/>
        <v>0</v>
      </c>
      <c r="AH22" s="31">
        <f t="shared" si="29"/>
        <v>0</v>
      </c>
      <c r="AI22" s="37">
        <f t="shared" si="29"/>
        <v>0</v>
      </c>
      <c r="AJ22" s="33">
        <f t="shared" si="29"/>
        <v>0</v>
      </c>
      <c r="AL22" s="19"/>
      <c r="AM22" s="28" t="s">
        <v>23</v>
      </c>
      <c r="AN22" s="41">
        <f t="shared" ref="AN22:AQ22" si="30">AN14+AN15+AN16+AN17+AN18+AN19+AN20+AN21</f>
        <v>0</v>
      </c>
      <c r="AO22" s="42">
        <f t="shared" si="30"/>
        <v>0</v>
      </c>
      <c r="AP22" s="43">
        <f t="shared" si="30"/>
        <v>0</v>
      </c>
      <c r="AQ22" s="44">
        <f t="shared" si="30"/>
        <v>0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0</v>
      </c>
      <c r="L23" s="47"/>
      <c r="M23" s="48"/>
      <c r="N23" s="51"/>
      <c r="O23" s="51"/>
      <c r="P23" s="19"/>
      <c r="Q23" s="45" t="s">
        <v>24</v>
      </c>
      <c r="R23" s="50">
        <f>R22-S22</f>
        <v>0</v>
      </c>
      <c r="S23" s="47"/>
      <c r="T23" s="48"/>
      <c r="U23" s="51"/>
      <c r="V23" s="51"/>
      <c r="W23" s="19"/>
      <c r="X23" s="45" t="s">
        <v>24</v>
      </c>
      <c r="Y23" s="50">
        <f>Y22-Z22</f>
        <v>0</v>
      </c>
      <c r="Z23" s="47"/>
      <c r="AA23" s="48"/>
      <c r="AB23" s="51"/>
      <c r="AC23" s="51"/>
      <c r="AD23" s="19"/>
      <c r="AE23" s="45" t="s">
        <v>24</v>
      </c>
      <c r="AF23" s="50">
        <f>AF22-AG22</f>
        <v>0</v>
      </c>
      <c r="AG23" s="47"/>
      <c r="AH23" s="48"/>
      <c r="AI23" s="51"/>
      <c r="AJ23" s="51"/>
      <c r="AL23" s="53"/>
      <c r="AM23" s="45" t="s">
        <v>25</v>
      </c>
      <c r="AN23" s="50">
        <f>AN22-AO22</f>
        <v>0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0</v>
      </c>
      <c r="L24" s="47"/>
      <c r="M24" s="48"/>
      <c r="N24" s="51"/>
      <c r="O24" s="51"/>
      <c r="P24" s="53"/>
      <c r="Q24" s="56" t="s">
        <v>26</v>
      </c>
      <c r="R24" s="57">
        <f>T22-S22</f>
        <v>0</v>
      </c>
      <c r="S24" s="47"/>
      <c r="T24" s="48"/>
      <c r="U24" s="51"/>
      <c r="V24" s="51"/>
      <c r="W24" s="53"/>
      <c r="X24" s="56" t="s">
        <v>26</v>
      </c>
      <c r="Y24" s="57">
        <f>AA22-Z22</f>
        <v>0</v>
      </c>
      <c r="Z24" s="47"/>
      <c r="AA24" s="48"/>
      <c r="AB24" s="51"/>
      <c r="AC24" s="51"/>
      <c r="AD24" s="53"/>
      <c r="AE24" s="56" t="s">
        <v>26</v>
      </c>
      <c r="AF24" s="57">
        <f>AH22-AG22</f>
        <v>0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2" t="s">
        <v>1</v>
      </c>
      <c r="K25" s="4" t="s">
        <v>7</v>
      </c>
      <c r="L25" s="2" t="s">
        <v>3</v>
      </c>
      <c r="M25" s="2" t="s">
        <v>4</v>
      </c>
      <c r="N25" s="2" t="s">
        <v>5</v>
      </c>
      <c r="O25" s="5" t="s">
        <v>6</v>
      </c>
      <c r="P25" s="2" t="s">
        <v>0</v>
      </c>
      <c r="Q25" s="2" t="s">
        <v>1</v>
      </c>
      <c r="R25" s="4" t="s">
        <v>7</v>
      </c>
      <c r="S25" s="2" t="s">
        <v>3</v>
      </c>
      <c r="T25" s="2" t="s">
        <v>4</v>
      </c>
      <c r="U25" s="2" t="s">
        <v>5</v>
      </c>
      <c r="V25" s="5" t="s">
        <v>6</v>
      </c>
      <c r="W25" s="2" t="s">
        <v>0</v>
      </c>
      <c r="X25" s="2" t="s">
        <v>1</v>
      </c>
      <c r="Y25" s="4" t="s">
        <v>7</v>
      </c>
      <c r="Z25" s="2" t="s">
        <v>3</v>
      </c>
      <c r="AA25" s="2" t="s">
        <v>4</v>
      </c>
      <c r="AB25" s="2" t="s">
        <v>5</v>
      </c>
      <c r="AC25" s="5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168"/>
      <c r="C26" s="9" t="s">
        <v>10</v>
      </c>
      <c r="D26" s="10"/>
      <c r="E26" s="10"/>
      <c r="F26" s="10"/>
      <c r="G26" s="10"/>
      <c r="H26" s="11"/>
      <c r="I26" s="12">
        <v>45784.0</v>
      </c>
      <c r="J26" s="15" t="s">
        <v>10</v>
      </c>
      <c r="K26" s="10"/>
      <c r="L26" s="10"/>
      <c r="M26" s="10"/>
      <c r="N26" s="10"/>
      <c r="O26" s="11"/>
      <c r="P26" s="8">
        <v>45791.0</v>
      </c>
      <c r="Q26" s="9" t="s">
        <v>10</v>
      </c>
      <c r="R26" s="10"/>
      <c r="S26" s="10"/>
      <c r="T26" s="10"/>
      <c r="U26" s="10"/>
      <c r="V26" s="11"/>
      <c r="W26" s="8">
        <v>45798.0</v>
      </c>
      <c r="X26" s="9" t="s">
        <v>10</v>
      </c>
      <c r="Y26" s="10"/>
      <c r="Z26" s="10"/>
      <c r="AA26" s="10"/>
      <c r="AB26" s="10"/>
      <c r="AC26" s="11"/>
      <c r="AD26" s="8">
        <v>45805.0</v>
      </c>
      <c r="AE26" s="9" t="s">
        <v>10</v>
      </c>
      <c r="AF26" s="10"/>
      <c r="AG26" s="10"/>
      <c r="AH26" s="10"/>
      <c r="AI26" s="10"/>
      <c r="AJ26" s="11"/>
      <c r="AL26" s="18" t="s">
        <v>31</v>
      </c>
      <c r="AM26" s="9" t="s">
        <v>10</v>
      </c>
      <c r="AN26" s="10">
        <f t="shared" ref="AN26:AP26" si="31">D26+K26+R26+Y26+AF26</f>
        <v>0</v>
      </c>
      <c r="AO26" s="10">
        <f t="shared" si="31"/>
        <v>0</v>
      </c>
      <c r="AP26" s="10">
        <f t="shared" si="31"/>
        <v>0</v>
      </c>
      <c r="AQ26" s="11">
        <f t="shared" ref="AQ26:AQ33" si="33">H26+O26+V26+AC26+AJ26</f>
        <v>0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0"/>
      <c r="L27" s="10"/>
      <c r="M27" s="10"/>
      <c r="N27" s="10"/>
      <c r="O27" s="11"/>
      <c r="P27" s="19"/>
      <c r="Q27" s="9" t="s">
        <v>12</v>
      </c>
      <c r="R27" s="10"/>
      <c r="S27" s="10"/>
      <c r="T27" s="10"/>
      <c r="U27" s="10"/>
      <c r="V27" s="11"/>
      <c r="W27" s="19"/>
      <c r="X27" s="9" t="s">
        <v>12</v>
      </c>
      <c r="Y27" s="10"/>
      <c r="Z27" s="10"/>
      <c r="AA27" s="10"/>
      <c r="AB27" s="10"/>
      <c r="AC27" s="11"/>
      <c r="AD27" s="19"/>
      <c r="AE27" s="9" t="s">
        <v>12</v>
      </c>
      <c r="AF27" s="10"/>
      <c r="AG27" s="10"/>
      <c r="AH27" s="10"/>
      <c r="AI27" s="10"/>
      <c r="AJ27" s="11"/>
      <c r="AL27" s="19"/>
      <c r="AM27" s="9" t="s">
        <v>12</v>
      </c>
      <c r="AN27" s="10">
        <f t="shared" ref="AN27:AP27" si="32">D27+K27+R27+Y27+AF27</f>
        <v>0</v>
      </c>
      <c r="AO27" s="10">
        <f t="shared" si="32"/>
        <v>0</v>
      </c>
      <c r="AP27" s="10">
        <f t="shared" si="32"/>
        <v>0</v>
      </c>
      <c r="AQ27" s="11">
        <f t="shared" si="33"/>
        <v>0</v>
      </c>
    </row>
    <row r="28">
      <c r="A28" s="19"/>
      <c r="B28" s="19"/>
      <c r="C28" s="9" t="s">
        <v>14</v>
      </c>
      <c r="D28" s="10"/>
      <c r="E28" s="10"/>
      <c r="F28" s="10"/>
      <c r="G28" s="10"/>
      <c r="H28" s="11"/>
      <c r="I28" s="19"/>
      <c r="J28" s="290" t="s">
        <v>14</v>
      </c>
      <c r="K28" s="291"/>
      <c r="L28" s="10"/>
      <c r="M28" s="10"/>
      <c r="N28" s="10"/>
      <c r="O28" s="11"/>
      <c r="P28" s="19"/>
      <c r="Q28" s="290" t="s">
        <v>33</v>
      </c>
      <c r="R28" s="291"/>
      <c r="S28" s="10"/>
      <c r="T28" s="10"/>
      <c r="U28" s="10"/>
      <c r="V28" s="11"/>
      <c r="W28" s="19"/>
      <c r="X28" s="290" t="s">
        <v>14</v>
      </c>
      <c r="Y28" s="291"/>
      <c r="Z28" s="10"/>
      <c r="AA28" s="10"/>
      <c r="AB28" s="10"/>
      <c r="AC28" s="11"/>
      <c r="AD28" s="19"/>
      <c r="AE28" s="300" t="s">
        <v>14</v>
      </c>
      <c r="AF28" s="301"/>
      <c r="AG28" s="10"/>
      <c r="AH28" s="10"/>
      <c r="AI28" s="10"/>
      <c r="AJ28" s="11"/>
      <c r="AL28" s="19"/>
      <c r="AM28" s="9" t="s">
        <v>14</v>
      </c>
      <c r="AN28" s="10">
        <f t="shared" ref="AN28:AP28" si="34">D28+K28+R28+Y28+AF28</f>
        <v>0</v>
      </c>
      <c r="AO28" s="10">
        <f t="shared" si="34"/>
        <v>0</v>
      </c>
      <c r="AP28" s="10">
        <f t="shared" si="34"/>
        <v>0</v>
      </c>
      <c r="AQ28" s="11">
        <f t="shared" si="33"/>
        <v>0</v>
      </c>
    </row>
    <row r="29">
      <c r="A29" s="19"/>
      <c r="B29" s="19"/>
      <c r="C29" s="9" t="s">
        <v>15</v>
      </c>
      <c r="D29" s="10"/>
      <c r="E29" s="10"/>
      <c r="F29" s="10"/>
      <c r="G29" s="10"/>
      <c r="H29" s="11"/>
      <c r="I29" s="19"/>
      <c r="J29" s="9" t="s">
        <v>15</v>
      </c>
      <c r="K29" s="10"/>
      <c r="L29" s="10"/>
      <c r="M29" s="10"/>
      <c r="N29" s="10"/>
      <c r="O29" s="11"/>
      <c r="P29" s="19"/>
      <c r="Q29" s="9" t="s">
        <v>15</v>
      </c>
      <c r="R29" s="10"/>
      <c r="S29" s="10"/>
      <c r="T29" s="10"/>
      <c r="U29" s="10"/>
      <c r="V29" s="11"/>
      <c r="W29" s="19"/>
      <c r="X29" s="9" t="s">
        <v>16</v>
      </c>
      <c r="Y29" s="10"/>
      <c r="Z29" s="10"/>
      <c r="AA29" s="10"/>
      <c r="AB29" s="10"/>
      <c r="AC29" s="11"/>
      <c r="AD29" s="19"/>
      <c r="AE29" s="9" t="s">
        <v>16</v>
      </c>
      <c r="AF29" s="10"/>
      <c r="AG29" s="10"/>
      <c r="AH29" s="10"/>
      <c r="AI29" s="10"/>
      <c r="AJ29" s="11"/>
      <c r="AL29" s="19"/>
      <c r="AM29" s="9" t="s">
        <v>16</v>
      </c>
      <c r="AN29" s="10">
        <f t="shared" ref="AN29:AP29" si="35">D29+K29+R29+Y29+AF29</f>
        <v>0</v>
      </c>
      <c r="AO29" s="10">
        <f t="shared" si="35"/>
        <v>0</v>
      </c>
      <c r="AP29" s="10">
        <f t="shared" si="35"/>
        <v>0</v>
      </c>
      <c r="AQ29" s="11">
        <f t="shared" si="33"/>
        <v>0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9" t="s">
        <v>17</v>
      </c>
      <c r="K30" s="10"/>
      <c r="L30" s="10"/>
      <c r="M30" s="10"/>
      <c r="N30" s="10"/>
      <c r="O30" s="11"/>
      <c r="P30" s="19"/>
      <c r="Q30" s="9" t="s">
        <v>17</v>
      </c>
      <c r="R30" s="10"/>
      <c r="S30" s="10"/>
      <c r="T30" s="10"/>
      <c r="U30" s="10"/>
      <c r="V30" s="11"/>
      <c r="W30" s="19"/>
      <c r="X30" s="9" t="s">
        <v>17</v>
      </c>
      <c r="Y30" s="10"/>
      <c r="Z30" s="10"/>
      <c r="AA30" s="10"/>
      <c r="AB30" s="10"/>
      <c r="AC30" s="11"/>
      <c r="AD30" s="19"/>
      <c r="AE30" s="9" t="s">
        <v>17</v>
      </c>
      <c r="AF30" s="10"/>
      <c r="AG30" s="10"/>
      <c r="AH30" s="10"/>
      <c r="AI30" s="10"/>
      <c r="AJ30" s="11"/>
      <c r="AL30" s="19"/>
      <c r="AM30" s="9" t="s">
        <v>17</v>
      </c>
      <c r="AN30" s="10">
        <f t="shared" ref="AN30:AP30" si="36">D30+K30+R30+Y30+AF30</f>
        <v>0</v>
      </c>
      <c r="AO30" s="10">
        <f t="shared" si="36"/>
        <v>0</v>
      </c>
      <c r="AP30" s="10">
        <f t="shared" si="36"/>
        <v>0</v>
      </c>
      <c r="AQ30" s="11">
        <f t="shared" si="33"/>
        <v>0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9" t="s">
        <v>29</v>
      </c>
      <c r="K31" s="10"/>
      <c r="L31" s="10"/>
      <c r="M31" s="10"/>
      <c r="N31" s="10"/>
      <c r="O31" s="11"/>
      <c r="P31" s="19"/>
      <c r="Q31" s="9" t="s">
        <v>18</v>
      </c>
      <c r="R31" s="10"/>
      <c r="S31" s="10"/>
      <c r="T31" s="10"/>
      <c r="U31" s="10"/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7">D31+K31+R31+Y31+AF31</f>
        <v>0</v>
      </c>
      <c r="AO31" s="10">
        <f t="shared" si="37"/>
        <v>0</v>
      </c>
      <c r="AP31" s="10">
        <f t="shared" si="37"/>
        <v>0</v>
      </c>
      <c r="AQ31" s="11">
        <f t="shared" si="33"/>
        <v>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9" t="s">
        <v>19</v>
      </c>
      <c r="K32" s="10"/>
      <c r="L32" s="10"/>
      <c r="M32" s="10"/>
      <c r="N32" s="10"/>
      <c r="O32" s="11"/>
      <c r="P32" s="19"/>
      <c r="Q32" s="9" t="s">
        <v>19</v>
      </c>
      <c r="R32" s="10"/>
      <c r="S32" s="10"/>
      <c r="T32" s="10"/>
      <c r="U32" s="10"/>
      <c r="V32" s="11"/>
      <c r="W32" s="19"/>
      <c r="X32" s="9" t="s">
        <v>19</v>
      </c>
      <c r="Y32" s="10"/>
      <c r="Z32" s="10"/>
      <c r="AA32" s="10"/>
      <c r="AB32" s="10"/>
      <c r="AC32" s="11"/>
      <c r="AD32" s="19"/>
      <c r="AE32" s="9" t="s">
        <v>19</v>
      </c>
      <c r="AF32" s="10"/>
      <c r="AG32" s="10"/>
      <c r="AH32" s="10"/>
      <c r="AI32" s="10"/>
      <c r="AJ32" s="11"/>
      <c r="AL32" s="19"/>
      <c r="AM32" s="9" t="s">
        <v>19</v>
      </c>
      <c r="AN32" s="10">
        <f t="shared" ref="AN32:AP32" si="38">D32+K32+R32+Y32+AF32</f>
        <v>0</v>
      </c>
      <c r="AO32" s="10">
        <f t="shared" si="38"/>
        <v>0</v>
      </c>
      <c r="AP32" s="10">
        <f t="shared" si="38"/>
        <v>0</v>
      </c>
      <c r="AQ32" s="11">
        <f t="shared" si="33"/>
        <v>0</v>
      </c>
    </row>
    <row r="33">
      <c r="A33" s="19"/>
      <c r="B33" s="19"/>
      <c r="C33" s="26" t="s">
        <v>21</v>
      </c>
      <c r="D33" s="10"/>
      <c r="E33" s="10"/>
      <c r="F33" s="10"/>
      <c r="G33" s="10"/>
      <c r="H33" s="11"/>
      <c r="I33" s="19"/>
      <c r="J33" s="26" t="s">
        <v>21</v>
      </c>
      <c r="K33" s="10"/>
      <c r="L33" s="10"/>
      <c r="M33" s="10"/>
      <c r="N33" s="10"/>
      <c r="O33" s="11"/>
      <c r="P33" s="19"/>
      <c r="Q33" s="26" t="s">
        <v>22</v>
      </c>
      <c r="R33" s="10"/>
      <c r="S33" s="10"/>
      <c r="T33" s="10"/>
      <c r="U33" s="10"/>
      <c r="V33" s="11"/>
      <c r="W33" s="19"/>
      <c r="X33" s="26" t="s">
        <v>21</v>
      </c>
      <c r="Y33" s="10"/>
      <c r="Z33" s="10"/>
      <c r="AA33" s="10"/>
      <c r="AB33" s="10"/>
      <c r="AC33" s="11"/>
      <c r="AD33" s="19"/>
      <c r="AE33" s="26" t="s">
        <v>21</v>
      </c>
      <c r="AF33" s="10"/>
      <c r="AG33" s="10"/>
      <c r="AH33" s="10"/>
      <c r="AI33" s="10"/>
      <c r="AJ33" s="11"/>
      <c r="AL33" s="19"/>
      <c r="AM33" s="26" t="s">
        <v>21</v>
      </c>
      <c r="AN33" s="10">
        <f t="shared" ref="AN33:AP33" si="39">D33+K33+R33+Y33+AF33</f>
        <v>0</v>
      </c>
      <c r="AO33" s="10">
        <f t="shared" si="39"/>
        <v>0</v>
      </c>
      <c r="AP33" s="10">
        <f t="shared" si="39"/>
        <v>0</v>
      </c>
      <c r="AQ33" s="11">
        <f t="shared" si="33"/>
        <v>0</v>
      </c>
    </row>
    <row r="34">
      <c r="A34" s="19"/>
      <c r="B34" s="19"/>
      <c r="C34" s="28" t="s">
        <v>23</v>
      </c>
      <c r="D34" s="29">
        <f t="shared" ref="D34:H34" si="40">D26+D27+D28+D29+D30+D31+D32+D33</f>
        <v>0</v>
      </c>
      <c r="E34" s="30">
        <f t="shared" si="40"/>
        <v>0</v>
      </c>
      <c r="F34" s="31">
        <f t="shared" si="40"/>
        <v>0</v>
      </c>
      <c r="G34" s="32">
        <f t="shared" si="40"/>
        <v>0</v>
      </c>
      <c r="H34" s="33">
        <f t="shared" si="40"/>
        <v>0</v>
      </c>
      <c r="I34" s="19"/>
      <c r="J34" s="28" t="s">
        <v>23</v>
      </c>
      <c r="K34" s="34">
        <f t="shared" ref="K34:O34" si="41">K26+K27+K28+K29+K30+K31+K32+K33</f>
        <v>0</v>
      </c>
      <c r="L34" s="35">
        <f t="shared" si="41"/>
        <v>0</v>
      </c>
      <c r="M34" s="31">
        <f t="shared" si="41"/>
        <v>0</v>
      </c>
      <c r="N34" s="37">
        <f t="shared" si="41"/>
        <v>0</v>
      </c>
      <c r="O34" s="38">
        <f t="shared" si="41"/>
        <v>0</v>
      </c>
      <c r="P34" s="19"/>
      <c r="Q34" s="28" t="s">
        <v>23</v>
      </c>
      <c r="R34" s="29">
        <f t="shared" ref="R34:V34" si="42">R26+R27+R28+R29+R30+R31+R32+R33</f>
        <v>0</v>
      </c>
      <c r="S34" s="30">
        <f t="shared" si="42"/>
        <v>0</v>
      </c>
      <c r="T34" s="36">
        <f t="shared" si="42"/>
        <v>0</v>
      </c>
      <c r="U34" s="37">
        <f t="shared" si="42"/>
        <v>0</v>
      </c>
      <c r="V34" s="33">
        <f t="shared" si="42"/>
        <v>0</v>
      </c>
      <c r="W34" s="19"/>
      <c r="X34" s="28" t="s">
        <v>23</v>
      </c>
      <c r="Y34" s="61">
        <f t="shared" ref="Y34:AC34" si="43">Y26+Y27+Y28+Y29+Y30+Y31+Y32+Y33</f>
        <v>0</v>
      </c>
      <c r="Z34" s="30">
        <f t="shared" si="43"/>
        <v>0</v>
      </c>
      <c r="AA34" s="31">
        <f t="shared" si="43"/>
        <v>0</v>
      </c>
      <c r="AB34" s="37">
        <f t="shared" si="43"/>
        <v>0</v>
      </c>
      <c r="AC34" s="33">
        <f t="shared" si="43"/>
        <v>0</v>
      </c>
      <c r="AD34" s="19"/>
      <c r="AE34" s="28" t="s">
        <v>23</v>
      </c>
      <c r="AF34" s="29">
        <f t="shared" ref="AF34:AJ34" si="44">AF26+AF27+AF28+AF29+AF30+AF31+AF32+AF33</f>
        <v>0</v>
      </c>
      <c r="AG34" s="30">
        <f t="shared" si="44"/>
        <v>0</v>
      </c>
      <c r="AH34" s="31">
        <f t="shared" si="44"/>
        <v>0</v>
      </c>
      <c r="AI34" s="37">
        <f t="shared" si="44"/>
        <v>0</v>
      </c>
      <c r="AJ34" s="33">
        <f t="shared" si="44"/>
        <v>0</v>
      </c>
      <c r="AL34" s="19"/>
      <c r="AM34" s="28" t="s">
        <v>23</v>
      </c>
      <c r="AN34" s="41">
        <f t="shared" ref="AN34:AQ34" si="45">AN26+AN27+AN28+AN29+AN30+AN31+AN32+AN33</f>
        <v>0</v>
      </c>
      <c r="AO34" s="42">
        <f t="shared" si="45"/>
        <v>0</v>
      </c>
      <c r="AP34" s="43">
        <f t="shared" si="45"/>
        <v>0</v>
      </c>
      <c r="AQ34" s="44">
        <f t="shared" si="45"/>
        <v>0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0</v>
      </c>
      <c r="L35" s="47"/>
      <c r="M35" s="48"/>
      <c r="N35" s="51"/>
      <c r="O35" s="51"/>
      <c r="P35" s="19"/>
      <c r="Q35" s="45" t="s">
        <v>24</v>
      </c>
      <c r="R35" s="50">
        <f>R34-S34</f>
        <v>0</v>
      </c>
      <c r="S35" s="47"/>
      <c r="T35" s="48"/>
      <c r="U35" s="51"/>
      <c r="V35" s="51"/>
      <c r="W35" s="19"/>
      <c r="X35" s="45" t="s">
        <v>24</v>
      </c>
      <c r="Y35" s="50">
        <f>Y34-Z34</f>
        <v>0</v>
      </c>
      <c r="Z35" s="47"/>
      <c r="AA35" s="48"/>
      <c r="AB35" s="51"/>
      <c r="AC35" s="51"/>
      <c r="AD35" s="19"/>
      <c r="AE35" s="45" t="s">
        <v>24</v>
      </c>
      <c r="AF35" s="50">
        <f>AF34-AG34</f>
        <v>0</v>
      </c>
      <c r="AG35" s="47"/>
      <c r="AH35" s="48"/>
      <c r="AI35" s="51"/>
      <c r="AJ35" s="51"/>
      <c r="AL35" s="53"/>
      <c r="AM35" s="45" t="s">
        <v>25</v>
      </c>
      <c r="AN35" s="50">
        <f>AN34-AO34</f>
        <v>0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0</v>
      </c>
      <c r="L36" s="47"/>
      <c r="M36" s="48"/>
      <c r="N36" s="51"/>
      <c r="O36" s="51"/>
      <c r="P36" s="53"/>
      <c r="Q36" s="56" t="s">
        <v>26</v>
      </c>
      <c r="R36" s="57">
        <f>T34-S34</f>
        <v>0</v>
      </c>
      <c r="S36" s="47"/>
      <c r="T36" s="48"/>
      <c r="U36" s="51"/>
      <c r="V36" s="51"/>
      <c r="W36" s="53"/>
      <c r="X36" s="56" t="s">
        <v>26</v>
      </c>
      <c r="Y36" s="57">
        <f>AA34-Z34</f>
        <v>0</v>
      </c>
      <c r="Z36" s="47"/>
      <c r="AA36" s="48"/>
      <c r="AB36" s="51"/>
      <c r="AC36" s="51"/>
      <c r="AD36" s="53"/>
      <c r="AE36" s="56" t="s">
        <v>26</v>
      </c>
      <c r="AF36" s="57">
        <f>AH34-AG34</f>
        <v>0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2" t="s">
        <v>1</v>
      </c>
      <c r="K37" s="4" t="s">
        <v>7</v>
      </c>
      <c r="L37" s="2" t="s">
        <v>3</v>
      </c>
      <c r="M37" s="2" t="s">
        <v>4</v>
      </c>
      <c r="N37" s="2" t="s">
        <v>5</v>
      </c>
      <c r="O37" s="5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2" t="s">
        <v>1</v>
      </c>
      <c r="Y37" s="4" t="s">
        <v>7</v>
      </c>
      <c r="Z37" s="2" t="s">
        <v>3</v>
      </c>
      <c r="AA37" s="2" t="s">
        <v>4</v>
      </c>
      <c r="AB37" s="2" t="s">
        <v>5</v>
      </c>
      <c r="AC37" s="5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302">
        <v>45778.0</v>
      </c>
      <c r="C38" s="303" t="s">
        <v>10</v>
      </c>
      <c r="D38" s="304"/>
      <c r="E38" s="304"/>
      <c r="F38" s="304"/>
      <c r="G38" s="304"/>
      <c r="H38" s="109"/>
      <c r="I38" s="12">
        <v>45785.0</v>
      </c>
      <c r="J38" s="9" t="s">
        <v>10</v>
      </c>
      <c r="K38" s="10"/>
      <c r="L38" s="10"/>
      <c r="M38" s="10"/>
      <c r="N38" s="10"/>
      <c r="O38" s="11"/>
      <c r="P38" s="8">
        <v>45792.0</v>
      </c>
      <c r="Q38" s="9" t="s">
        <v>10</v>
      </c>
      <c r="R38" s="10"/>
      <c r="S38" s="10"/>
      <c r="T38" s="10"/>
      <c r="U38" s="10"/>
      <c r="V38" s="11"/>
      <c r="W38" s="8">
        <v>45799.0</v>
      </c>
      <c r="X38" s="9" t="s">
        <v>10</v>
      </c>
      <c r="Y38" s="10"/>
      <c r="Z38" s="10"/>
      <c r="AA38" s="10"/>
      <c r="AB38" s="10"/>
      <c r="AC38" s="11"/>
      <c r="AD38" s="8">
        <v>45805.0</v>
      </c>
      <c r="AE38" s="9" t="s">
        <v>10</v>
      </c>
      <c r="AF38" s="10"/>
      <c r="AG38" s="10"/>
      <c r="AH38" s="10"/>
      <c r="AI38" s="10"/>
      <c r="AJ38" s="11"/>
      <c r="AL38" s="18" t="s">
        <v>36</v>
      </c>
      <c r="AM38" s="9" t="s">
        <v>10</v>
      </c>
      <c r="AN38" s="10">
        <f t="shared" ref="AN38:AP38" si="46">D38+K38+R38+Y38+AF38</f>
        <v>0</v>
      </c>
      <c r="AO38" s="10">
        <f t="shared" si="46"/>
        <v>0</v>
      </c>
      <c r="AP38" s="10">
        <f t="shared" si="46"/>
        <v>0</v>
      </c>
      <c r="AQ38" s="11">
        <f t="shared" ref="AQ38:AQ45" si="48">H38+O38+V38+AC38+AJ38</f>
        <v>0</v>
      </c>
    </row>
    <row r="39">
      <c r="A39" s="19"/>
      <c r="B39" s="19"/>
      <c r="C39" s="303" t="s">
        <v>12</v>
      </c>
      <c r="D39" s="304"/>
      <c r="E39" s="304"/>
      <c r="F39" s="304"/>
      <c r="G39" s="304"/>
      <c r="H39" s="109"/>
      <c r="I39" s="19"/>
      <c r="J39" s="9" t="s">
        <v>12</v>
      </c>
      <c r="K39" s="10"/>
      <c r="L39" s="10"/>
      <c r="M39" s="10"/>
      <c r="N39" s="10"/>
      <c r="O39" s="11"/>
      <c r="P39" s="19"/>
      <c r="Q39" s="9" t="s">
        <v>12</v>
      </c>
      <c r="R39" s="10"/>
      <c r="S39" s="10"/>
      <c r="T39" s="10"/>
      <c r="U39" s="10"/>
      <c r="V39" s="11"/>
      <c r="W39" s="19"/>
      <c r="X39" s="9" t="s">
        <v>12</v>
      </c>
      <c r="Y39" s="10"/>
      <c r="Z39" s="10"/>
      <c r="AA39" s="10"/>
      <c r="AB39" s="10"/>
      <c r="AC39" s="11"/>
      <c r="AD39" s="19"/>
      <c r="AE39" s="9" t="s">
        <v>12</v>
      </c>
      <c r="AF39" s="10"/>
      <c r="AG39" s="10"/>
      <c r="AH39" s="10"/>
      <c r="AI39" s="10"/>
      <c r="AJ39" s="11"/>
      <c r="AL39" s="19"/>
      <c r="AM39" s="9" t="s">
        <v>12</v>
      </c>
      <c r="AN39" s="10">
        <f t="shared" ref="AN39:AP39" si="47">D39+K39+R39+Y39+AF39</f>
        <v>0</v>
      </c>
      <c r="AO39" s="10">
        <f t="shared" si="47"/>
        <v>0</v>
      </c>
      <c r="AP39" s="10">
        <f t="shared" si="47"/>
        <v>0</v>
      </c>
      <c r="AQ39" s="11">
        <f t="shared" si="48"/>
        <v>0</v>
      </c>
    </row>
    <row r="40">
      <c r="A40" s="19"/>
      <c r="B40" s="19"/>
      <c r="C40" s="303" t="s">
        <v>14</v>
      </c>
      <c r="D40" s="304"/>
      <c r="E40" s="304"/>
      <c r="F40" s="304"/>
      <c r="G40" s="304"/>
      <c r="H40" s="109"/>
      <c r="I40" s="19"/>
      <c r="J40" s="290" t="s">
        <v>14</v>
      </c>
      <c r="K40" s="291"/>
      <c r="L40" s="10"/>
      <c r="M40" s="10"/>
      <c r="N40" s="10"/>
      <c r="O40" s="11"/>
      <c r="P40" s="19"/>
      <c r="Q40" s="290" t="s">
        <v>14</v>
      </c>
      <c r="R40" s="291"/>
      <c r="S40" s="10"/>
      <c r="T40" s="10"/>
      <c r="U40" s="10"/>
      <c r="V40" s="11"/>
      <c r="W40" s="19"/>
      <c r="X40" s="290" t="s">
        <v>14</v>
      </c>
      <c r="Y40" s="291"/>
      <c r="Z40" s="10"/>
      <c r="AA40" s="10"/>
      <c r="AB40" s="10"/>
      <c r="AC40" s="11"/>
      <c r="AD40" s="19"/>
      <c r="AE40" s="290" t="s">
        <v>14</v>
      </c>
      <c r="AF40" s="291"/>
      <c r="AG40" s="10"/>
      <c r="AH40" s="10"/>
      <c r="AI40" s="10"/>
      <c r="AJ40" s="11"/>
      <c r="AL40" s="19"/>
      <c r="AM40" s="9" t="s">
        <v>14</v>
      </c>
      <c r="AN40" s="10">
        <f t="shared" ref="AN40:AP40" si="49">D40+K40+R40+Y40+AF40</f>
        <v>0</v>
      </c>
      <c r="AO40" s="10">
        <f t="shared" si="49"/>
        <v>0</v>
      </c>
      <c r="AP40" s="10">
        <f t="shared" si="49"/>
        <v>0</v>
      </c>
      <c r="AQ40" s="11">
        <f t="shared" si="48"/>
        <v>0</v>
      </c>
    </row>
    <row r="41">
      <c r="A41" s="19"/>
      <c r="B41" s="19"/>
      <c r="C41" s="303" t="s">
        <v>16</v>
      </c>
      <c r="D41" s="304"/>
      <c r="E41" s="304"/>
      <c r="F41" s="304"/>
      <c r="G41" s="304"/>
      <c r="H41" s="109"/>
      <c r="I41" s="19"/>
      <c r="J41" s="9" t="s">
        <v>16</v>
      </c>
      <c r="K41" s="10"/>
      <c r="L41" s="10"/>
      <c r="M41" s="10"/>
      <c r="N41" s="10"/>
      <c r="O41" s="11"/>
      <c r="P41" s="19"/>
      <c r="Q41" s="9" t="s">
        <v>16</v>
      </c>
      <c r="R41" s="10"/>
      <c r="S41" s="10"/>
      <c r="T41" s="10"/>
      <c r="U41" s="10"/>
      <c r="V41" s="11"/>
      <c r="W41" s="19"/>
      <c r="X41" s="9" t="s">
        <v>16</v>
      </c>
      <c r="Y41" s="10"/>
      <c r="Z41" s="10"/>
      <c r="AA41" s="10"/>
      <c r="AB41" s="10"/>
      <c r="AC41" s="11"/>
      <c r="AD41" s="19"/>
      <c r="AE41" s="9" t="s">
        <v>16</v>
      </c>
      <c r="AF41" s="10"/>
      <c r="AG41" s="10"/>
      <c r="AH41" s="10"/>
      <c r="AI41" s="10"/>
      <c r="AJ41" s="11"/>
      <c r="AL41" s="19"/>
      <c r="AM41" s="9" t="s">
        <v>16</v>
      </c>
      <c r="AN41" s="10">
        <f t="shared" ref="AN41:AP41" si="50">D41+K41+R41+Y41+AF41</f>
        <v>0</v>
      </c>
      <c r="AO41" s="10">
        <f t="shared" si="50"/>
        <v>0</v>
      </c>
      <c r="AP41" s="10">
        <f t="shared" si="50"/>
        <v>0</v>
      </c>
      <c r="AQ41" s="11">
        <f t="shared" si="48"/>
        <v>0</v>
      </c>
    </row>
    <row r="42">
      <c r="A42" s="19"/>
      <c r="B42" s="19"/>
      <c r="C42" s="303" t="s">
        <v>17</v>
      </c>
      <c r="D42" s="304"/>
      <c r="E42" s="304"/>
      <c r="F42" s="304"/>
      <c r="G42" s="304"/>
      <c r="H42" s="109"/>
      <c r="I42" s="19"/>
      <c r="J42" s="9" t="s">
        <v>17</v>
      </c>
      <c r="K42" s="10"/>
      <c r="L42" s="10"/>
      <c r="M42" s="10"/>
      <c r="N42" s="10"/>
      <c r="O42" s="11"/>
      <c r="P42" s="19"/>
      <c r="Q42" s="9" t="s">
        <v>17</v>
      </c>
      <c r="R42" s="10"/>
      <c r="S42" s="10"/>
      <c r="T42" s="10"/>
      <c r="U42" s="10"/>
      <c r="V42" s="11"/>
      <c r="W42" s="19"/>
      <c r="X42" s="9" t="s">
        <v>17</v>
      </c>
      <c r="Y42" s="10"/>
      <c r="Z42" s="10"/>
      <c r="AA42" s="10"/>
      <c r="AB42" s="10"/>
      <c r="AC42" s="11"/>
      <c r="AD42" s="19"/>
      <c r="AE42" s="9" t="s">
        <v>17</v>
      </c>
      <c r="AF42" s="10"/>
      <c r="AG42" s="10"/>
      <c r="AH42" s="10"/>
      <c r="AI42" s="10"/>
      <c r="AJ42" s="11"/>
      <c r="AL42" s="19"/>
      <c r="AM42" s="9" t="s">
        <v>17</v>
      </c>
      <c r="AN42" s="10">
        <f t="shared" ref="AN42:AP42" si="51">D42+K42+R42+Y42+AF42</f>
        <v>0</v>
      </c>
      <c r="AO42" s="10">
        <f t="shared" si="51"/>
        <v>0</v>
      </c>
      <c r="AP42" s="10">
        <f t="shared" si="51"/>
        <v>0</v>
      </c>
      <c r="AQ42" s="11">
        <f t="shared" si="48"/>
        <v>0</v>
      </c>
    </row>
    <row r="43">
      <c r="A43" s="19"/>
      <c r="B43" s="19"/>
      <c r="C43" s="303" t="s">
        <v>18</v>
      </c>
      <c r="D43" s="304"/>
      <c r="E43" s="304"/>
      <c r="F43" s="304"/>
      <c r="G43" s="304"/>
      <c r="H43" s="109"/>
      <c r="I43" s="19"/>
      <c r="J43" s="15" t="s">
        <v>18</v>
      </c>
      <c r="K43" s="10"/>
      <c r="L43" s="10"/>
      <c r="M43" s="10"/>
      <c r="N43" s="10"/>
      <c r="O43" s="11"/>
      <c r="P43" s="19"/>
      <c r="Q43" s="9" t="s">
        <v>18</v>
      </c>
      <c r="R43" s="10"/>
      <c r="S43" s="10"/>
      <c r="T43" s="10"/>
      <c r="U43" s="10"/>
      <c r="V43" s="11"/>
      <c r="W43" s="19"/>
      <c r="X43" s="9" t="s">
        <v>18</v>
      </c>
      <c r="Y43" s="10"/>
      <c r="Z43" s="10"/>
      <c r="AA43" s="10"/>
      <c r="AB43" s="10"/>
      <c r="AC43" s="11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2">D43+K43+R43+Y43+AF43</f>
        <v>0</v>
      </c>
      <c r="AO43" s="10">
        <f t="shared" si="52"/>
        <v>0</v>
      </c>
      <c r="AP43" s="10">
        <f t="shared" si="52"/>
        <v>0</v>
      </c>
      <c r="AQ43" s="11">
        <f t="shared" si="48"/>
        <v>0</v>
      </c>
    </row>
    <row r="44">
      <c r="A44" s="19"/>
      <c r="B44" s="19"/>
      <c r="C44" s="303" t="s">
        <v>20</v>
      </c>
      <c r="D44" s="304"/>
      <c r="E44" s="304"/>
      <c r="F44" s="304"/>
      <c r="G44" s="304"/>
      <c r="H44" s="109"/>
      <c r="I44" s="19"/>
      <c r="J44" s="9" t="s">
        <v>19</v>
      </c>
      <c r="K44" s="10"/>
      <c r="L44" s="10"/>
      <c r="M44" s="10"/>
      <c r="N44" s="10"/>
      <c r="O44" s="11"/>
      <c r="P44" s="19"/>
      <c r="Q44" s="9" t="s">
        <v>19</v>
      </c>
      <c r="R44" s="10"/>
      <c r="S44" s="10"/>
      <c r="T44" s="10"/>
      <c r="U44" s="10"/>
      <c r="V44" s="11"/>
      <c r="W44" s="19"/>
      <c r="X44" s="9" t="s">
        <v>19</v>
      </c>
      <c r="Y44" s="10"/>
      <c r="Z44" s="10"/>
      <c r="AA44" s="10"/>
      <c r="AB44" s="10"/>
      <c r="AC44" s="11"/>
      <c r="AD44" s="19"/>
      <c r="AE44" s="9" t="s">
        <v>19</v>
      </c>
      <c r="AF44" s="10"/>
      <c r="AG44" s="10"/>
      <c r="AH44" s="10"/>
      <c r="AI44" s="10"/>
      <c r="AJ44" s="11"/>
      <c r="AL44" s="19"/>
      <c r="AM44" s="9" t="s">
        <v>19</v>
      </c>
      <c r="AN44" s="10">
        <f t="shared" ref="AN44:AP44" si="53">D44+K44+R44+Y44+AF44</f>
        <v>0</v>
      </c>
      <c r="AO44" s="10">
        <f t="shared" si="53"/>
        <v>0</v>
      </c>
      <c r="AP44" s="10">
        <f t="shared" si="53"/>
        <v>0</v>
      </c>
      <c r="AQ44" s="11">
        <f t="shared" si="48"/>
        <v>0</v>
      </c>
    </row>
    <row r="45">
      <c r="A45" s="19"/>
      <c r="B45" s="19"/>
      <c r="C45" s="305" t="s">
        <v>21</v>
      </c>
      <c r="D45" s="304"/>
      <c r="E45" s="304"/>
      <c r="F45" s="304"/>
      <c r="G45" s="304"/>
      <c r="H45" s="109"/>
      <c r="I45" s="19"/>
      <c r="J45" s="27" t="s">
        <v>21</v>
      </c>
      <c r="K45" s="10"/>
      <c r="L45" s="10"/>
      <c r="M45" s="10"/>
      <c r="N45" s="10"/>
      <c r="O45" s="11"/>
      <c r="P45" s="19"/>
      <c r="Q45" s="26" t="s">
        <v>21</v>
      </c>
      <c r="R45" s="10"/>
      <c r="S45" s="10"/>
      <c r="T45" s="10"/>
      <c r="U45" s="10"/>
      <c r="V45" s="11"/>
      <c r="W45" s="19"/>
      <c r="X45" s="26" t="s">
        <v>22</v>
      </c>
      <c r="Y45" s="10"/>
      <c r="Z45" s="10"/>
      <c r="AA45" s="10"/>
      <c r="AB45" s="10"/>
      <c r="AC45" s="11"/>
      <c r="AD45" s="19"/>
      <c r="AE45" s="26" t="s">
        <v>21</v>
      </c>
      <c r="AF45" s="10"/>
      <c r="AG45" s="10"/>
      <c r="AH45" s="10"/>
      <c r="AI45" s="10"/>
      <c r="AJ45" s="11"/>
      <c r="AL45" s="19"/>
      <c r="AM45" s="26" t="s">
        <v>21</v>
      </c>
      <c r="AN45" s="10">
        <f t="shared" ref="AN45:AP45" si="54">D45+K45+R45+Y45+AF45</f>
        <v>0</v>
      </c>
      <c r="AO45" s="10">
        <f t="shared" si="54"/>
        <v>0</v>
      </c>
      <c r="AP45" s="10">
        <f t="shared" si="54"/>
        <v>0</v>
      </c>
      <c r="AQ45" s="11">
        <f t="shared" si="48"/>
        <v>0</v>
      </c>
    </row>
    <row r="46">
      <c r="A46" s="19"/>
      <c r="B46" s="19"/>
      <c r="C46" s="28" t="s">
        <v>23</v>
      </c>
      <c r="D46" s="29">
        <f t="shared" ref="D46:H46" si="55">D38+D39+D40+D41+D42+D43+D44+D45</f>
        <v>0</v>
      </c>
      <c r="E46" s="30">
        <f t="shared" si="55"/>
        <v>0</v>
      </c>
      <c r="F46" s="31">
        <f t="shared" si="55"/>
        <v>0</v>
      </c>
      <c r="G46" s="32">
        <f t="shared" si="55"/>
        <v>0</v>
      </c>
      <c r="H46" s="33">
        <f t="shared" si="55"/>
        <v>0</v>
      </c>
      <c r="I46" s="19"/>
      <c r="J46" s="28" t="s">
        <v>23</v>
      </c>
      <c r="K46" s="34">
        <f t="shared" ref="K46:O46" si="56">K38+K39+K40+K41+K42+K43+K44+K45</f>
        <v>0</v>
      </c>
      <c r="L46" s="40">
        <f t="shared" si="56"/>
        <v>0</v>
      </c>
      <c r="M46" s="36">
        <f t="shared" si="56"/>
        <v>0</v>
      </c>
      <c r="N46" s="37">
        <f t="shared" si="56"/>
        <v>0</v>
      </c>
      <c r="O46" s="38">
        <f t="shared" si="56"/>
        <v>0</v>
      </c>
      <c r="P46" s="19"/>
      <c r="Q46" s="28" t="s">
        <v>23</v>
      </c>
      <c r="R46" s="29">
        <f t="shared" ref="R46:V46" si="57">R38+R39+R40+R41+R42+R43+R44+R45</f>
        <v>0</v>
      </c>
      <c r="S46" s="30">
        <f t="shared" si="57"/>
        <v>0</v>
      </c>
      <c r="T46" s="31">
        <f t="shared" si="57"/>
        <v>0</v>
      </c>
      <c r="U46" s="37">
        <f t="shared" si="57"/>
        <v>0</v>
      </c>
      <c r="V46" s="33">
        <f t="shared" si="57"/>
        <v>0</v>
      </c>
      <c r="W46" s="19"/>
      <c r="X46" s="66" t="s">
        <v>23</v>
      </c>
      <c r="Y46" s="29">
        <f t="shared" ref="Y46:AC46" si="58">Y38+Y39+Y40+Y41+Y42+Y43+Y44+Y45</f>
        <v>0</v>
      </c>
      <c r="Z46" s="40">
        <f t="shared" si="58"/>
        <v>0</v>
      </c>
      <c r="AA46" s="36">
        <f t="shared" si="58"/>
        <v>0</v>
      </c>
      <c r="AB46" s="37">
        <f t="shared" si="58"/>
        <v>0</v>
      </c>
      <c r="AC46" s="33">
        <f t="shared" si="58"/>
        <v>0</v>
      </c>
      <c r="AD46" s="19"/>
      <c r="AE46" s="28" t="s">
        <v>23</v>
      </c>
      <c r="AF46" s="29">
        <f t="shared" ref="AF46:AJ46" si="59">AF38+AF39+AF40+AF41+AF42+AF43+AF44+AF45</f>
        <v>0</v>
      </c>
      <c r="AG46" s="30">
        <f t="shared" si="59"/>
        <v>0</v>
      </c>
      <c r="AH46" s="36">
        <f t="shared" si="59"/>
        <v>0</v>
      </c>
      <c r="AI46" s="37">
        <f t="shared" si="59"/>
        <v>0</v>
      </c>
      <c r="AJ46" s="33">
        <f t="shared" si="59"/>
        <v>0</v>
      </c>
      <c r="AL46" s="19"/>
      <c r="AM46" s="28" t="s">
        <v>23</v>
      </c>
      <c r="AN46" s="41">
        <f t="shared" ref="AN46:AQ46" si="60">AN38+AN39+AN40+AN41+AN42+AN43+AN44+AN45</f>
        <v>0</v>
      </c>
      <c r="AO46" s="42">
        <f t="shared" si="60"/>
        <v>0</v>
      </c>
      <c r="AP46" s="43">
        <f t="shared" si="60"/>
        <v>0</v>
      </c>
      <c r="AQ46" s="44">
        <f t="shared" si="60"/>
        <v>0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0</v>
      </c>
      <c r="L47" s="47"/>
      <c r="M47" s="48"/>
      <c r="N47" s="51"/>
      <c r="O47" s="51"/>
      <c r="P47" s="19"/>
      <c r="Q47" s="45" t="s">
        <v>24</v>
      </c>
      <c r="R47" s="50">
        <f>R46-S46</f>
        <v>0</v>
      </c>
      <c r="S47" s="47"/>
      <c r="T47" s="48"/>
      <c r="U47" s="51"/>
      <c r="V47" s="51"/>
      <c r="W47" s="19"/>
      <c r="X47" s="45" t="s">
        <v>24</v>
      </c>
      <c r="Y47" s="50">
        <f>Y46-Z46</f>
        <v>0</v>
      </c>
      <c r="Z47" s="47"/>
      <c r="AA47" s="48"/>
      <c r="AB47" s="51"/>
      <c r="AC47" s="51"/>
      <c r="AD47" s="19"/>
      <c r="AE47" s="45" t="s">
        <v>24</v>
      </c>
      <c r="AF47" s="50">
        <f>AF46-AG46</f>
        <v>0</v>
      </c>
      <c r="AG47" s="47"/>
      <c r="AH47" s="48"/>
      <c r="AI47" s="51"/>
      <c r="AJ47" s="51"/>
      <c r="AL47" s="53"/>
      <c r="AM47" s="45" t="s">
        <v>25</v>
      </c>
      <c r="AN47" s="50">
        <f>AN46-AO46</f>
        <v>0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0</v>
      </c>
      <c r="L48" s="47"/>
      <c r="M48" s="48"/>
      <c r="N48" s="51"/>
      <c r="O48" s="51"/>
      <c r="P48" s="53"/>
      <c r="Q48" s="56" t="s">
        <v>26</v>
      </c>
      <c r="R48" s="57">
        <f>T46-S46</f>
        <v>0</v>
      </c>
      <c r="S48" s="47"/>
      <c r="T48" s="48"/>
      <c r="U48" s="51"/>
      <c r="V48" s="51"/>
      <c r="W48" s="53"/>
      <c r="X48" s="56" t="s">
        <v>26</v>
      </c>
      <c r="Y48" s="57">
        <f>AA46-Z46</f>
        <v>0</v>
      </c>
      <c r="Z48" s="47"/>
      <c r="AA48" s="48"/>
      <c r="AB48" s="51"/>
      <c r="AC48" s="51"/>
      <c r="AD48" s="53"/>
      <c r="AE48" s="56" t="s">
        <v>26</v>
      </c>
      <c r="AF48" s="57">
        <f>AH46-AG46</f>
        <v>0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2" t="s">
        <v>1</v>
      </c>
      <c r="D49" s="3" t="s">
        <v>2</v>
      </c>
      <c r="E49" s="2" t="s">
        <v>3</v>
      </c>
      <c r="F49" s="2" t="s">
        <v>4</v>
      </c>
      <c r="G49" s="2" t="s">
        <v>5</v>
      </c>
      <c r="H49" s="5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2" t="s">
        <v>1</v>
      </c>
      <c r="R49" s="4" t="s">
        <v>7</v>
      </c>
      <c r="S49" s="2" t="s">
        <v>3</v>
      </c>
      <c r="T49" s="2" t="s">
        <v>4</v>
      </c>
      <c r="U49" s="2" t="s">
        <v>5</v>
      </c>
      <c r="V49" s="5" t="s">
        <v>6</v>
      </c>
      <c r="W49" s="68" t="s">
        <v>0</v>
      </c>
      <c r="X49" s="2" t="s">
        <v>1</v>
      </c>
      <c r="Y49" s="4" t="s">
        <v>7</v>
      </c>
      <c r="Z49" s="2" t="s">
        <v>3</v>
      </c>
      <c r="AA49" s="2" t="s">
        <v>4</v>
      </c>
      <c r="AB49" s="2" t="s">
        <v>5</v>
      </c>
      <c r="AC49" s="5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>
        <v>45779.0</v>
      </c>
      <c r="C50" s="9" t="s">
        <v>10</v>
      </c>
      <c r="D50" s="10"/>
      <c r="E50" s="10"/>
      <c r="F50" s="10"/>
      <c r="G50" s="10"/>
      <c r="H50" s="11"/>
      <c r="I50" s="12">
        <v>45786.0</v>
      </c>
      <c r="J50" s="9" t="s">
        <v>10</v>
      </c>
      <c r="K50" s="10"/>
      <c r="L50" s="10"/>
      <c r="M50" s="10"/>
      <c r="N50" s="10"/>
      <c r="O50" s="11"/>
      <c r="P50" s="8">
        <v>45793.0</v>
      </c>
      <c r="Q50" s="9" t="s">
        <v>10</v>
      </c>
      <c r="R50" s="10"/>
      <c r="S50" s="10"/>
      <c r="T50" s="10"/>
      <c r="U50" s="10"/>
      <c r="V50" s="11"/>
      <c r="W50" s="8">
        <v>45739.0</v>
      </c>
      <c r="X50" s="9" t="s">
        <v>10</v>
      </c>
      <c r="Y50" s="10"/>
      <c r="Z50" s="10"/>
      <c r="AA50" s="10"/>
      <c r="AB50" s="10"/>
      <c r="AC50" s="11"/>
      <c r="AD50" s="8">
        <v>45806.0</v>
      </c>
      <c r="AE50" s="9" t="s">
        <v>10</v>
      </c>
      <c r="AF50" s="10"/>
      <c r="AG50" s="10"/>
      <c r="AH50" s="10"/>
      <c r="AI50" s="10"/>
      <c r="AJ50" s="11"/>
      <c r="AL50" s="18" t="s">
        <v>38</v>
      </c>
      <c r="AM50" s="9" t="s">
        <v>10</v>
      </c>
      <c r="AN50" s="10">
        <f t="shared" ref="AN50:AP50" si="61">D50+K50+R50+Y50+AF50</f>
        <v>0</v>
      </c>
      <c r="AO50" s="10">
        <f t="shared" si="61"/>
        <v>0</v>
      </c>
      <c r="AP50" s="10">
        <f t="shared" si="61"/>
        <v>0</v>
      </c>
      <c r="AQ50" s="11">
        <f t="shared" ref="AQ50:AQ57" si="63">H50+O50+V50+AC50+AJ50</f>
        <v>0</v>
      </c>
    </row>
    <row r="51">
      <c r="A51" s="19"/>
      <c r="B51" s="19"/>
      <c r="C51" s="9" t="s">
        <v>12</v>
      </c>
      <c r="D51" s="10"/>
      <c r="E51" s="10"/>
      <c r="F51" s="10"/>
      <c r="G51" s="10"/>
      <c r="H51" s="11"/>
      <c r="I51" s="19"/>
      <c r="J51" s="9" t="s">
        <v>12</v>
      </c>
      <c r="K51" s="10"/>
      <c r="L51" s="10"/>
      <c r="M51" s="10"/>
      <c r="N51" s="10"/>
      <c r="O51" s="11"/>
      <c r="P51" s="19"/>
      <c r="Q51" s="9" t="s">
        <v>32</v>
      </c>
      <c r="R51" s="10"/>
      <c r="S51" s="10"/>
      <c r="T51" s="10"/>
      <c r="U51" s="10"/>
      <c r="V51" s="11"/>
      <c r="W51" s="19"/>
      <c r="X51" s="9" t="s">
        <v>12</v>
      </c>
      <c r="Y51" s="10"/>
      <c r="Z51" s="10"/>
      <c r="AA51" s="10"/>
      <c r="AB51" s="10"/>
      <c r="AC51" s="11"/>
      <c r="AD51" s="19"/>
      <c r="AE51" s="9" t="s">
        <v>12</v>
      </c>
      <c r="AF51" s="10"/>
      <c r="AG51" s="10"/>
      <c r="AH51" s="10"/>
      <c r="AI51" s="10"/>
      <c r="AJ51" s="11"/>
      <c r="AL51" s="19"/>
      <c r="AM51" s="9" t="s">
        <v>12</v>
      </c>
      <c r="AN51" s="10">
        <f t="shared" ref="AN51:AP51" si="62">D51+K51+R51+Y51+AF51</f>
        <v>0</v>
      </c>
      <c r="AO51" s="10">
        <f t="shared" si="62"/>
        <v>0</v>
      </c>
      <c r="AP51" s="10">
        <f t="shared" si="62"/>
        <v>0</v>
      </c>
      <c r="AQ51" s="11">
        <f t="shared" si="63"/>
        <v>0</v>
      </c>
    </row>
    <row r="52">
      <c r="A52" s="19"/>
      <c r="B52" s="19"/>
      <c r="C52" s="290" t="s">
        <v>14</v>
      </c>
      <c r="D52" s="291"/>
      <c r="E52" s="10"/>
      <c r="F52" s="10"/>
      <c r="G52" s="10"/>
      <c r="H52" s="11"/>
      <c r="I52" s="19"/>
      <c r="J52" s="290" t="s">
        <v>14</v>
      </c>
      <c r="K52" s="291"/>
      <c r="L52" s="10"/>
      <c r="M52" s="10"/>
      <c r="N52" s="10"/>
      <c r="O52" s="11"/>
      <c r="P52" s="19"/>
      <c r="Q52" s="290" t="s">
        <v>14</v>
      </c>
      <c r="R52" s="291"/>
      <c r="S52" s="10"/>
      <c r="T52" s="10"/>
      <c r="U52" s="10"/>
      <c r="V52" s="11"/>
      <c r="W52" s="19"/>
      <c r="X52" s="290" t="s">
        <v>14</v>
      </c>
      <c r="Y52" s="291"/>
      <c r="Z52" s="10"/>
      <c r="AA52" s="10"/>
      <c r="AB52" s="10"/>
      <c r="AC52" s="11"/>
      <c r="AD52" s="19"/>
      <c r="AE52" s="290" t="s">
        <v>14</v>
      </c>
      <c r="AF52" s="291"/>
      <c r="AG52" s="10"/>
      <c r="AH52" s="10"/>
      <c r="AI52" s="10"/>
      <c r="AJ52" s="11"/>
      <c r="AL52" s="19"/>
      <c r="AM52" s="9" t="s">
        <v>14</v>
      </c>
      <c r="AN52" s="10">
        <f t="shared" ref="AN52:AP52" si="64">D52+K52+R52+Y52+AF52</f>
        <v>0</v>
      </c>
      <c r="AO52" s="10">
        <f t="shared" si="64"/>
        <v>0</v>
      </c>
      <c r="AP52" s="10">
        <f t="shared" si="64"/>
        <v>0</v>
      </c>
      <c r="AQ52" s="11">
        <f t="shared" si="63"/>
        <v>0</v>
      </c>
    </row>
    <row r="53">
      <c r="A53" s="19"/>
      <c r="B53" s="19"/>
      <c r="C53" s="9" t="s">
        <v>16</v>
      </c>
      <c r="D53" s="10"/>
      <c r="E53" s="10"/>
      <c r="F53" s="10"/>
      <c r="G53" s="10"/>
      <c r="H53" s="11"/>
      <c r="I53" s="19"/>
      <c r="J53" s="9" t="s">
        <v>15</v>
      </c>
      <c r="K53" s="10"/>
      <c r="L53" s="10"/>
      <c r="M53" s="10"/>
      <c r="N53" s="10"/>
      <c r="O53" s="11"/>
      <c r="P53" s="19"/>
      <c r="Q53" s="9" t="s">
        <v>16</v>
      </c>
      <c r="R53" s="10"/>
      <c r="S53" s="10"/>
      <c r="T53" s="10"/>
      <c r="U53" s="10"/>
      <c r="V53" s="11"/>
      <c r="W53" s="19"/>
      <c r="X53" s="9" t="s">
        <v>16</v>
      </c>
      <c r="Y53" s="10"/>
      <c r="Z53" s="10"/>
      <c r="AA53" s="10"/>
      <c r="AB53" s="10"/>
      <c r="AC53" s="11"/>
      <c r="AD53" s="19"/>
      <c r="AE53" s="9" t="s">
        <v>16</v>
      </c>
      <c r="AF53" s="10"/>
      <c r="AG53" s="10"/>
      <c r="AH53" s="10"/>
      <c r="AI53" s="10"/>
      <c r="AJ53" s="11"/>
      <c r="AL53" s="19"/>
      <c r="AM53" s="9" t="s">
        <v>16</v>
      </c>
      <c r="AN53" s="10">
        <f t="shared" ref="AN53:AP53" si="65">D53+K53+R53+Y53+AF53</f>
        <v>0</v>
      </c>
      <c r="AO53" s="10">
        <f t="shared" si="65"/>
        <v>0</v>
      </c>
      <c r="AP53" s="10">
        <f t="shared" si="65"/>
        <v>0</v>
      </c>
      <c r="AQ53" s="11">
        <f t="shared" si="63"/>
        <v>0</v>
      </c>
    </row>
    <row r="54">
      <c r="A54" s="19"/>
      <c r="B54" s="19"/>
      <c r="C54" s="9" t="s">
        <v>17</v>
      </c>
      <c r="D54" s="10"/>
      <c r="E54" s="10"/>
      <c r="F54" s="10"/>
      <c r="G54" s="10"/>
      <c r="H54" s="11"/>
      <c r="I54" s="19"/>
      <c r="J54" s="9" t="s">
        <v>17</v>
      </c>
      <c r="K54" s="10"/>
      <c r="L54" s="10"/>
      <c r="M54" s="10"/>
      <c r="N54" s="10"/>
      <c r="O54" s="11"/>
      <c r="P54" s="19"/>
      <c r="Q54" s="9" t="s">
        <v>17</v>
      </c>
      <c r="R54" s="10"/>
      <c r="S54" s="10"/>
      <c r="T54" s="10"/>
      <c r="U54" s="10"/>
      <c r="V54" s="11"/>
      <c r="W54" s="19"/>
      <c r="X54" s="9" t="s">
        <v>17</v>
      </c>
      <c r="Y54" s="10"/>
      <c r="Z54" s="10"/>
      <c r="AA54" s="10"/>
      <c r="AB54" s="10"/>
      <c r="AC54" s="11"/>
      <c r="AD54" s="19"/>
      <c r="AE54" s="9" t="s">
        <v>17</v>
      </c>
      <c r="AF54" s="10"/>
      <c r="AG54" s="10"/>
      <c r="AH54" s="10"/>
      <c r="AI54" s="10"/>
      <c r="AJ54" s="11"/>
      <c r="AL54" s="19"/>
      <c r="AM54" s="9" t="s">
        <v>17</v>
      </c>
      <c r="AN54" s="10">
        <f t="shared" ref="AN54:AP54" si="66">D54+K54+R54+Y54+AF54</f>
        <v>0</v>
      </c>
      <c r="AO54" s="10">
        <f t="shared" si="66"/>
        <v>0</v>
      </c>
      <c r="AP54" s="10">
        <f t="shared" si="66"/>
        <v>0</v>
      </c>
      <c r="AQ54" s="11">
        <f t="shared" si="63"/>
        <v>0</v>
      </c>
    </row>
    <row r="55">
      <c r="A55" s="19"/>
      <c r="B55" s="19"/>
      <c r="C55" s="9" t="s">
        <v>18</v>
      </c>
      <c r="D55" s="10"/>
      <c r="E55" s="10"/>
      <c r="F55" s="10"/>
      <c r="G55" s="10"/>
      <c r="H55" s="11"/>
      <c r="I55" s="19"/>
      <c r="J55" s="9" t="s">
        <v>18</v>
      </c>
      <c r="K55" s="10"/>
      <c r="L55" s="10"/>
      <c r="M55" s="10"/>
      <c r="N55" s="10"/>
      <c r="O55" s="11"/>
      <c r="P55" s="19"/>
      <c r="Q55" s="9" t="s">
        <v>29</v>
      </c>
      <c r="R55" s="10"/>
      <c r="S55" s="10"/>
      <c r="T55" s="10"/>
      <c r="U55" s="10"/>
      <c r="V55" s="11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7">D55+K55+R55+Y55+AF55</f>
        <v>0</v>
      </c>
      <c r="AO55" s="10">
        <f t="shared" si="67"/>
        <v>0</v>
      </c>
      <c r="AP55" s="10">
        <f t="shared" si="67"/>
        <v>0</v>
      </c>
      <c r="AQ55" s="11">
        <f t="shared" si="63"/>
        <v>0</v>
      </c>
    </row>
    <row r="56">
      <c r="A56" s="19"/>
      <c r="B56" s="19"/>
      <c r="C56" s="9" t="s">
        <v>20</v>
      </c>
      <c r="D56" s="10"/>
      <c r="E56" s="10"/>
      <c r="F56" s="10"/>
      <c r="G56" s="10"/>
      <c r="H56" s="11"/>
      <c r="I56" s="19"/>
      <c r="J56" s="9" t="s">
        <v>19</v>
      </c>
      <c r="K56" s="10"/>
      <c r="L56" s="10"/>
      <c r="M56" s="10"/>
      <c r="N56" s="10"/>
      <c r="O56" s="11"/>
      <c r="P56" s="19"/>
      <c r="Q56" s="9" t="s">
        <v>19</v>
      </c>
      <c r="R56" s="10"/>
      <c r="S56" s="10"/>
      <c r="T56" s="10"/>
      <c r="U56" s="10"/>
      <c r="V56" s="11"/>
      <c r="W56" s="19"/>
      <c r="X56" s="9" t="s">
        <v>19</v>
      </c>
      <c r="Y56" s="10"/>
      <c r="Z56" s="10"/>
      <c r="AA56" s="10"/>
      <c r="AB56" s="10"/>
      <c r="AC56" s="11"/>
      <c r="AD56" s="19"/>
      <c r="AE56" s="9" t="s">
        <v>19</v>
      </c>
      <c r="AF56" s="10"/>
      <c r="AG56" s="10"/>
      <c r="AH56" s="10"/>
      <c r="AI56" s="10"/>
      <c r="AJ56" s="11"/>
      <c r="AL56" s="19"/>
      <c r="AM56" s="9" t="s">
        <v>19</v>
      </c>
      <c r="AN56" s="10">
        <f t="shared" ref="AN56:AP56" si="68">D56+K56+R56+Y56+AF56</f>
        <v>0</v>
      </c>
      <c r="AO56" s="10">
        <f t="shared" si="68"/>
        <v>0</v>
      </c>
      <c r="AP56" s="10">
        <f t="shared" si="68"/>
        <v>0</v>
      </c>
      <c r="AQ56" s="11">
        <f t="shared" si="63"/>
        <v>0</v>
      </c>
    </row>
    <row r="57">
      <c r="A57" s="19"/>
      <c r="B57" s="19"/>
      <c r="C57" s="26" t="s">
        <v>21</v>
      </c>
      <c r="D57" s="10"/>
      <c r="E57" s="10"/>
      <c r="F57" s="10"/>
      <c r="G57" s="10"/>
      <c r="H57" s="11"/>
      <c r="I57" s="19"/>
      <c r="J57" s="26" t="s">
        <v>21</v>
      </c>
      <c r="K57" s="10"/>
      <c r="L57" s="10"/>
      <c r="M57" s="10"/>
      <c r="N57" s="10"/>
      <c r="O57" s="11"/>
      <c r="P57" s="19"/>
      <c r="Q57" s="26" t="s">
        <v>21</v>
      </c>
      <c r="R57" s="10"/>
      <c r="S57" s="10"/>
      <c r="T57" s="10"/>
      <c r="U57" s="10"/>
      <c r="V57" s="11"/>
      <c r="W57" s="19"/>
      <c r="X57" s="26" t="s">
        <v>21</v>
      </c>
      <c r="Y57" s="10"/>
      <c r="Z57" s="10"/>
      <c r="AA57" s="10"/>
      <c r="AB57" s="10"/>
      <c r="AC57" s="11"/>
      <c r="AD57" s="19"/>
      <c r="AE57" s="26" t="s">
        <v>21</v>
      </c>
      <c r="AF57" s="10"/>
      <c r="AG57" s="10"/>
      <c r="AH57" s="10"/>
      <c r="AI57" s="10"/>
      <c r="AJ57" s="11"/>
      <c r="AL57" s="19"/>
      <c r="AM57" s="26" t="s">
        <v>21</v>
      </c>
      <c r="AN57" s="10">
        <f t="shared" ref="AN57:AP57" si="69">D57+K57+R57+Y57+AF57</f>
        <v>0</v>
      </c>
      <c r="AO57" s="10">
        <f t="shared" si="69"/>
        <v>0</v>
      </c>
      <c r="AP57" s="10">
        <f t="shared" si="69"/>
        <v>0</v>
      </c>
      <c r="AQ57" s="11">
        <f t="shared" si="63"/>
        <v>0</v>
      </c>
    </row>
    <row r="58">
      <c r="A58" s="19"/>
      <c r="B58" s="19"/>
      <c r="C58" s="28" t="s">
        <v>23</v>
      </c>
      <c r="D58" s="298">
        <f t="shared" ref="D58:H58" si="70">D50+D51+D52+D53+D54+D55+D56+D57</f>
        <v>0</v>
      </c>
      <c r="E58" s="30">
        <f t="shared" si="70"/>
        <v>0</v>
      </c>
      <c r="F58" s="31">
        <f t="shared" si="70"/>
        <v>0</v>
      </c>
      <c r="G58" s="37">
        <f t="shared" si="70"/>
        <v>0</v>
      </c>
      <c r="H58" s="38">
        <f t="shared" si="70"/>
        <v>0</v>
      </c>
      <c r="I58" s="19"/>
      <c r="J58" s="28" t="s">
        <v>23</v>
      </c>
      <c r="K58" s="34">
        <f t="shared" ref="K58:O58" si="71">K50+K51+K52+K53+K54+K55+K56+K57</f>
        <v>0</v>
      </c>
      <c r="L58" s="40">
        <f t="shared" si="71"/>
        <v>0</v>
      </c>
      <c r="M58" s="31">
        <f t="shared" si="71"/>
        <v>0</v>
      </c>
      <c r="N58" s="306">
        <f t="shared" si="71"/>
        <v>0</v>
      </c>
      <c r="O58" s="33">
        <f t="shared" si="71"/>
        <v>0</v>
      </c>
      <c r="P58" s="19"/>
      <c r="Q58" s="28" t="s">
        <v>23</v>
      </c>
      <c r="R58" s="61">
        <f t="shared" ref="R58:V58" si="72">R50+R51+R52+R53+R54+R55+R56+R57</f>
        <v>0</v>
      </c>
      <c r="S58" s="35">
        <f t="shared" si="72"/>
        <v>0</v>
      </c>
      <c r="T58" s="39">
        <f t="shared" si="72"/>
        <v>0</v>
      </c>
      <c r="U58" s="37">
        <f t="shared" si="72"/>
        <v>0</v>
      </c>
      <c r="V58" s="33">
        <f t="shared" si="72"/>
        <v>0</v>
      </c>
      <c r="W58" s="19"/>
      <c r="X58" s="28" t="s">
        <v>23</v>
      </c>
      <c r="Y58" s="61">
        <f t="shared" ref="Y58:AC58" si="73">Y50+Y51+Y52+Y53+Y54+Y55+Y56+Y57</f>
        <v>0</v>
      </c>
      <c r="Z58" s="35">
        <f t="shared" si="73"/>
        <v>0</v>
      </c>
      <c r="AA58" s="36">
        <f t="shared" si="73"/>
        <v>0</v>
      </c>
      <c r="AB58" s="37">
        <f t="shared" si="73"/>
        <v>0</v>
      </c>
      <c r="AC58" s="33">
        <f t="shared" si="73"/>
        <v>0</v>
      </c>
      <c r="AD58" s="19"/>
      <c r="AE58" s="28" t="s">
        <v>23</v>
      </c>
      <c r="AF58" s="61">
        <f t="shared" ref="AF58:AJ58" si="74">AF50+AF51+AF52+AF53+AF54+AF55+AF56+AF57</f>
        <v>0</v>
      </c>
      <c r="AG58" s="30">
        <f t="shared" si="74"/>
        <v>0</v>
      </c>
      <c r="AH58" s="36">
        <f t="shared" si="74"/>
        <v>0</v>
      </c>
      <c r="AI58" s="40">
        <f t="shared" si="74"/>
        <v>0</v>
      </c>
      <c r="AJ58" s="33">
        <f t="shared" si="74"/>
        <v>0</v>
      </c>
      <c r="AL58" s="19"/>
      <c r="AM58" s="28" t="s">
        <v>23</v>
      </c>
      <c r="AN58" s="41">
        <f t="shared" ref="AN58:AQ58" si="75">AN50+AN51+AN52+AN53+AN54+AN55+AN56+AN57</f>
        <v>0</v>
      </c>
      <c r="AO58" s="42">
        <f t="shared" si="75"/>
        <v>0</v>
      </c>
      <c r="AP58" s="43">
        <f t="shared" si="75"/>
        <v>0</v>
      </c>
      <c r="AQ58" s="44">
        <f t="shared" si="75"/>
        <v>0</v>
      </c>
    </row>
    <row r="59" hidden="1">
      <c r="A59" s="19"/>
      <c r="B59" s="19"/>
      <c r="C59" s="45" t="s">
        <v>24</v>
      </c>
      <c r="D59" s="50">
        <f>D58-E58</f>
        <v>0</v>
      </c>
      <c r="E59" s="47"/>
      <c r="F59" s="48"/>
      <c r="G59" s="51"/>
      <c r="H59" s="51"/>
      <c r="I59" s="19"/>
      <c r="J59" s="45" t="s">
        <v>24</v>
      </c>
      <c r="K59" s="50">
        <f>K58-L58</f>
        <v>0</v>
      </c>
      <c r="L59" s="47"/>
      <c r="M59" s="48"/>
      <c r="N59" s="51"/>
      <c r="O59" s="51"/>
      <c r="P59" s="19"/>
      <c r="Q59" s="45" t="s">
        <v>24</v>
      </c>
      <c r="R59" s="50">
        <f>R58-S58</f>
        <v>0</v>
      </c>
      <c r="S59" s="47"/>
      <c r="T59" s="48"/>
      <c r="U59" s="51"/>
      <c r="V59" s="51"/>
      <c r="W59" s="19"/>
      <c r="X59" s="45" t="s">
        <v>24</v>
      </c>
      <c r="Y59" s="50">
        <f>Y58-Z58</f>
        <v>0</v>
      </c>
      <c r="Z59" s="47"/>
      <c r="AA59" s="48"/>
      <c r="AB59" s="51"/>
      <c r="AC59" s="51"/>
      <c r="AD59" s="19"/>
      <c r="AE59" s="45" t="s">
        <v>24</v>
      </c>
      <c r="AF59" s="50">
        <f>AF58-AG58</f>
        <v>0</v>
      </c>
      <c r="AG59" s="47"/>
      <c r="AH59" s="48"/>
      <c r="AI59" s="51"/>
      <c r="AJ59" s="51"/>
      <c r="AL59" s="53"/>
      <c r="AM59" s="45" t="s">
        <v>25</v>
      </c>
      <c r="AN59" s="50">
        <f>AN58-AO58</f>
        <v>0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0</v>
      </c>
      <c r="E60" s="47"/>
      <c r="F60" s="48"/>
      <c r="G60" s="67"/>
      <c r="H60" s="51"/>
      <c r="I60" s="53"/>
      <c r="J60" s="56" t="s">
        <v>26</v>
      </c>
      <c r="K60" s="57">
        <f>M58-L58</f>
        <v>0</v>
      </c>
      <c r="L60" s="47"/>
      <c r="M60" s="48"/>
      <c r="N60" s="51"/>
      <c r="O60" s="51"/>
      <c r="P60" s="53"/>
      <c r="Q60" s="56" t="s">
        <v>26</v>
      </c>
      <c r="R60" s="57">
        <f>T58-S58</f>
        <v>0</v>
      </c>
      <c r="S60" s="47"/>
      <c r="T60" s="48"/>
      <c r="U60" s="51"/>
      <c r="V60" s="51"/>
      <c r="W60" s="53"/>
      <c r="X60" s="56" t="s">
        <v>26</v>
      </c>
      <c r="Y60" s="57">
        <f>AA58-Z58</f>
        <v>0</v>
      </c>
      <c r="Z60" s="47"/>
      <c r="AA60" s="48"/>
      <c r="AB60" s="51"/>
      <c r="AC60" s="51"/>
      <c r="AD60" s="53"/>
      <c r="AE60" s="56" t="s">
        <v>26</v>
      </c>
      <c r="AF60" s="57">
        <f>AH58-AG58</f>
        <v>0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2" t="s">
        <v>1</v>
      </c>
      <c r="K61" s="4" t="s">
        <v>7</v>
      </c>
      <c r="L61" s="2" t="s">
        <v>3</v>
      </c>
      <c r="M61" s="2" t="s">
        <v>4</v>
      </c>
      <c r="N61" s="2" t="s">
        <v>5</v>
      </c>
      <c r="O61" s="5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2" t="s">
        <v>1</v>
      </c>
      <c r="Y61" s="4" t="s">
        <v>7</v>
      </c>
      <c r="Z61" s="2" t="s">
        <v>3</v>
      </c>
      <c r="AA61" s="2" t="s">
        <v>4</v>
      </c>
      <c r="AB61" s="2" t="s">
        <v>5</v>
      </c>
      <c r="AC61" s="5" t="s">
        <v>6</v>
      </c>
      <c r="AD61" s="2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>
        <v>45780.0</v>
      </c>
      <c r="C62" s="9" t="s">
        <v>10</v>
      </c>
      <c r="D62" s="10"/>
      <c r="E62" s="10"/>
      <c r="F62" s="10"/>
      <c r="G62" s="10"/>
      <c r="H62" s="11"/>
      <c r="I62" s="12">
        <v>45787.0</v>
      </c>
      <c r="J62" s="15" t="s">
        <v>10</v>
      </c>
      <c r="K62" s="10"/>
      <c r="L62" s="10"/>
      <c r="M62" s="10"/>
      <c r="N62" s="10"/>
      <c r="O62" s="11"/>
      <c r="P62" s="8">
        <v>45794.0</v>
      </c>
      <c r="Q62" s="9" t="s">
        <v>10</v>
      </c>
      <c r="R62" s="10"/>
      <c r="S62" s="10"/>
      <c r="T62" s="10"/>
      <c r="U62" s="10"/>
      <c r="V62" s="11"/>
      <c r="W62" s="8">
        <v>45801.0</v>
      </c>
      <c r="X62" s="9" t="s">
        <v>10</v>
      </c>
      <c r="Y62" s="10"/>
      <c r="Z62" s="10"/>
      <c r="AA62" s="10"/>
      <c r="AB62" s="10"/>
      <c r="AC62" s="11"/>
      <c r="AD62" s="12">
        <v>45807.0</v>
      </c>
      <c r="AE62" s="9" t="s">
        <v>10</v>
      </c>
      <c r="AF62" s="10"/>
      <c r="AG62" s="10"/>
      <c r="AH62" s="10"/>
      <c r="AI62" s="10"/>
      <c r="AJ62" s="11"/>
      <c r="AL62" s="18" t="s">
        <v>40</v>
      </c>
      <c r="AM62" s="9" t="s">
        <v>10</v>
      </c>
      <c r="AN62" s="10">
        <f t="shared" ref="AN62:AP62" si="76">D62+K62+R62+Y62+AF62</f>
        <v>0</v>
      </c>
      <c r="AO62" s="10">
        <f t="shared" si="76"/>
        <v>0</v>
      </c>
      <c r="AP62" s="10">
        <f t="shared" si="76"/>
        <v>0</v>
      </c>
      <c r="AQ62" s="11">
        <f t="shared" ref="AQ62:AQ69" si="78">H62+O62+V62+AC62+AJ62</f>
        <v>0</v>
      </c>
    </row>
    <row r="63">
      <c r="A63" s="19"/>
      <c r="B63" s="19"/>
      <c r="C63" s="9" t="s">
        <v>12</v>
      </c>
      <c r="D63" s="10"/>
      <c r="E63" s="10"/>
      <c r="F63" s="10"/>
      <c r="G63" s="10"/>
      <c r="H63" s="11"/>
      <c r="I63" s="19"/>
      <c r="J63" s="9" t="s">
        <v>12</v>
      </c>
      <c r="K63" s="10"/>
      <c r="L63" s="10"/>
      <c r="M63" s="10"/>
      <c r="N63" s="10"/>
      <c r="O63" s="11"/>
      <c r="P63" s="19"/>
      <c r="Q63" s="9" t="s">
        <v>12</v>
      </c>
      <c r="R63" s="72"/>
      <c r="S63" s="10"/>
      <c r="T63" s="72"/>
      <c r="U63" s="10"/>
      <c r="V63" s="11"/>
      <c r="W63" s="19"/>
      <c r="X63" s="9" t="s">
        <v>12</v>
      </c>
      <c r="Y63" s="10"/>
      <c r="Z63" s="10"/>
      <c r="AA63" s="10"/>
      <c r="AB63" s="10"/>
      <c r="AC63" s="11"/>
      <c r="AD63" s="19"/>
      <c r="AE63" s="9" t="s">
        <v>12</v>
      </c>
      <c r="AF63" s="10"/>
      <c r="AG63" s="10"/>
      <c r="AH63" s="10"/>
      <c r="AI63" s="10"/>
      <c r="AJ63" s="11"/>
      <c r="AL63" s="19"/>
      <c r="AM63" s="9" t="s">
        <v>12</v>
      </c>
      <c r="AN63" s="10">
        <f t="shared" ref="AN63:AP63" si="77">D63+K63+R63+Y63+AF63</f>
        <v>0</v>
      </c>
      <c r="AO63" s="10">
        <f t="shared" si="77"/>
        <v>0</v>
      </c>
      <c r="AP63" s="10">
        <f t="shared" si="77"/>
        <v>0</v>
      </c>
      <c r="AQ63" s="11">
        <f t="shared" si="78"/>
        <v>0</v>
      </c>
    </row>
    <row r="64">
      <c r="A64" s="19"/>
      <c r="B64" s="19"/>
      <c r="C64" s="290" t="s">
        <v>14</v>
      </c>
      <c r="D64" s="291"/>
      <c r="E64" s="10"/>
      <c r="F64" s="10"/>
      <c r="G64" s="10"/>
      <c r="H64" s="11"/>
      <c r="I64" s="19"/>
      <c r="J64" s="290" t="s">
        <v>14</v>
      </c>
      <c r="K64" s="291"/>
      <c r="L64" s="10"/>
      <c r="M64" s="10"/>
      <c r="N64" s="10"/>
      <c r="O64" s="11"/>
      <c r="P64" s="19"/>
      <c r="Q64" s="290" t="s">
        <v>14</v>
      </c>
      <c r="R64" s="291"/>
      <c r="S64" s="10"/>
      <c r="T64" s="10"/>
      <c r="U64" s="10"/>
      <c r="V64" s="11"/>
      <c r="W64" s="19"/>
      <c r="X64" s="290" t="s">
        <v>14</v>
      </c>
      <c r="Y64" s="291"/>
      <c r="Z64" s="10"/>
      <c r="AA64" s="10"/>
      <c r="AB64" s="10"/>
      <c r="AC64" s="11"/>
      <c r="AD64" s="19"/>
      <c r="AE64" s="290" t="s">
        <v>14</v>
      </c>
      <c r="AF64" s="291"/>
      <c r="AG64" s="10"/>
      <c r="AH64" s="10"/>
      <c r="AI64" s="10"/>
      <c r="AJ64" s="11"/>
      <c r="AL64" s="19"/>
      <c r="AM64" s="9" t="s">
        <v>14</v>
      </c>
      <c r="AN64" s="10">
        <f t="shared" ref="AN64:AP64" si="79">D64+K64+R64+Y64+AF64</f>
        <v>0</v>
      </c>
      <c r="AO64" s="10">
        <f t="shared" si="79"/>
        <v>0</v>
      </c>
      <c r="AP64" s="10">
        <f t="shared" si="79"/>
        <v>0</v>
      </c>
      <c r="AQ64" s="11">
        <f t="shared" si="78"/>
        <v>0</v>
      </c>
    </row>
    <row r="65">
      <c r="A65" s="19"/>
      <c r="B65" s="19"/>
      <c r="C65" s="9" t="s">
        <v>16</v>
      </c>
      <c r="D65" s="10"/>
      <c r="E65" s="10"/>
      <c r="F65" s="10"/>
      <c r="G65" s="10"/>
      <c r="H65" s="11"/>
      <c r="I65" s="19"/>
      <c r="J65" s="9" t="s">
        <v>16</v>
      </c>
      <c r="K65" s="10"/>
      <c r="L65" s="10"/>
      <c r="M65" s="10"/>
      <c r="N65" s="10"/>
      <c r="O65" s="11"/>
      <c r="P65" s="19"/>
      <c r="Q65" s="9" t="s">
        <v>16</v>
      </c>
      <c r="R65" s="10"/>
      <c r="S65" s="10"/>
      <c r="T65" s="10"/>
      <c r="U65" s="10"/>
      <c r="V65" s="11"/>
      <c r="W65" s="19"/>
      <c r="X65" s="9" t="s">
        <v>16</v>
      </c>
      <c r="Y65" s="10"/>
      <c r="Z65" s="10"/>
      <c r="AA65" s="10"/>
      <c r="AB65" s="10"/>
      <c r="AC65" s="11"/>
      <c r="AD65" s="19"/>
      <c r="AE65" s="9" t="s">
        <v>16</v>
      </c>
      <c r="AF65" s="10"/>
      <c r="AG65" s="10"/>
      <c r="AH65" s="10"/>
      <c r="AI65" s="10"/>
      <c r="AJ65" s="11"/>
      <c r="AL65" s="19"/>
      <c r="AM65" s="9" t="s">
        <v>16</v>
      </c>
      <c r="AN65" s="10">
        <f t="shared" ref="AN65:AP65" si="80">D65+K65+R65+Y65+AF65</f>
        <v>0</v>
      </c>
      <c r="AO65" s="10">
        <f t="shared" si="80"/>
        <v>0</v>
      </c>
      <c r="AP65" s="10">
        <f t="shared" si="80"/>
        <v>0</v>
      </c>
      <c r="AQ65" s="11">
        <f t="shared" si="78"/>
        <v>0</v>
      </c>
    </row>
    <row r="66">
      <c r="A66" s="19"/>
      <c r="B66" s="19"/>
      <c r="C66" s="9" t="s">
        <v>17</v>
      </c>
      <c r="D66" s="10"/>
      <c r="E66" s="10"/>
      <c r="F66" s="10"/>
      <c r="G66" s="10"/>
      <c r="H66" s="11"/>
      <c r="I66" s="19"/>
      <c r="J66" s="9" t="s">
        <v>17</v>
      </c>
      <c r="K66" s="10"/>
      <c r="L66" s="10"/>
      <c r="M66" s="10"/>
      <c r="N66" s="10"/>
      <c r="O66" s="11"/>
      <c r="P66" s="19"/>
      <c r="Q66" s="9" t="s">
        <v>17</v>
      </c>
      <c r="R66" s="10"/>
      <c r="S66" s="10"/>
      <c r="T66" s="10"/>
      <c r="U66" s="10"/>
      <c r="V66" s="11"/>
      <c r="W66" s="19"/>
      <c r="X66" s="9" t="s">
        <v>17</v>
      </c>
      <c r="Y66" s="10"/>
      <c r="Z66" s="10"/>
      <c r="AA66" s="10"/>
      <c r="AB66" s="10"/>
      <c r="AC66" s="11"/>
      <c r="AD66" s="19"/>
      <c r="AE66" s="9" t="s">
        <v>17</v>
      </c>
      <c r="AF66" s="10"/>
      <c r="AG66" s="10"/>
      <c r="AH66" s="10"/>
      <c r="AI66" s="10"/>
      <c r="AJ66" s="11"/>
      <c r="AL66" s="19"/>
      <c r="AM66" s="9" t="s">
        <v>17</v>
      </c>
      <c r="AN66" s="10">
        <f t="shared" ref="AN66:AP66" si="81">D66+K66+R66+Y66+AF66</f>
        <v>0</v>
      </c>
      <c r="AO66" s="10">
        <f t="shared" si="81"/>
        <v>0</v>
      </c>
      <c r="AP66" s="10">
        <f t="shared" si="81"/>
        <v>0</v>
      </c>
      <c r="AQ66" s="11">
        <f t="shared" si="78"/>
        <v>0</v>
      </c>
    </row>
    <row r="67">
      <c r="A67" s="19"/>
      <c r="B67" s="19"/>
      <c r="C67" s="9" t="s">
        <v>18</v>
      </c>
      <c r="D67" s="10"/>
      <c r="E67" s="10"/>
      <c r="F67" s="10"/>
      <c r="G67" s="10"/>
      <c r="H67" s="11"/>
      <c r="I67" s="19"/>
      <c r="J67" s="15" t="s">
        <v>18</v>
      </c>
      <c r="K67" s="10"/>
      <c r="L67" s="10"/>
      <c r="M67" s="10"/>
      <c r="N67" s="10"/>
      <c r="O67" s="11"/>
      <c r="P67" s="19"/>
      <c r="Q67" s="9" t="s">
        <v>18</v>
      </c>
      <c r="R67" s="10"/>
      <c r="S67" s="10"/>
      <c r="T67" s="10"/>
      <c r="U67" s="10"/>
      <c r="V67" s="11"/>
      <c r="W67" s="19"/>
      <c r="X67" s="9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2">D67+K67+R67+Y67+AF67</f>
        <v>0</v>
      </c>
      <c r="AO67" s="10">
        <f t="shared" si="82"/>
        <v>0</v>
      </c>
      <c r="AP67" s="10">
        <f t="shared" si="82"/>
        <v>0</v>
      </c>
      <c r="AQ67" s="11">
        <f t="shared" si="78"/>
        <v>0</v>
      </c>
    </row>
    <row r="68">
      <c r="A68" s="19"/>
      <c r="B68" s="19"/>
      <c r="C68" s="9" t="s">
        <v>20</v>
      </c>
      <c r="D68" s="10"/>
      <c r="E68" s="10"/>
      <c r="F68" s="10"/>
      <c r="G68" s="10"/>
      <c r="H68" s="11"/>
      <c r="I68" s="19"/>
      <c r="J68" s="9" t="s">
        <v>20</v>
      </c>
      <c r="K68" s="10"/>
      <c r="L68" s="10"/>
      <c r="M68" s="10"/>
      <c r="N68" s="10"/>
      <c r="O68" s="11"/>
      <c r="P68" s="19"/>
      <c r="Q68" s="9" t="s">
        <v>19</v>
      </c>
      <c r="R68" s="10"/>
      <c r="S68" s="10"/>
      <c r="T68" s="10"/>
      <c r="U68" s="10"/>
      <c r="V68" s="11"/>
      <c r="W68" s="19"/>
      <c r="X68" s="9" t="s">
        <v>19</v>
      </c>
      <c r="Y68" s="10"/>
      <c r="Z68" s="10"/>
      <c r="AA68" s="10"/>
      <c r="AB68" s="10"/>
      <c r="AC68" s="11"/>
      <c r="AD68" s="19"/>
      <c r="AE68" s="9" t="s">
        <v>19</v>
      </c>
      <c r="AF68" s="10"/>
      <c r="AG68" s="10"/>
      <c r="AH68" s="10"/>
      <c r="AI68" s="10"/>
      <c r="AJ68" s="11"/>
      <c r="AL68" s="19"/>
      <c r="AM68" s="9" t="s">
        <v>19</v>
      </c>
      <c r="AN68" s="10">
        <f t="shared" ref="AN68:AP68" si="83">D68+K68+R68+Y68+AF68</f>
        <v>0</v>
      </c>
      <c r="AO68" s="10">
        <f t="shared" si="83"/>
        <v>0</v>
      </c>
      <c r="AP68" s="10">
        <f t="shared" si="83"/>
        <v>0</v>
      </c>
      <c r="AQ68" s="11">
        <f t="shared" si="78"/>
        <v>0</v>
      </c>
    </row>
    <row r="69">
      <c r="A69" s="19"/>
      <c r="B69" s="19"/>
      <c r="C69" s="26" t="s">
        <v>21</v>
      </c>
      <c r="D69" s="10"/>
      <c r="E69" s="10"/>
      <c r="F69" s="10"/>
      <c r="G69" s="10"/>
      <c r="H69" s="11"/>
      <c r="I69" s="19"/>
      <c r="J69" s="26" t="s">
        <v>21</v>
      </c>
      <c r="K69" s="10"/>
      <c r="L69" s="10"/>
      <c r="M69" s="10"/>
      <c r="N69" s="10"/>
      <c r="O69" s="11"/>
      <c r="P69" s="19"/>
      <c r="Q69" s="26" t="s">
        <v>21</v>
      </c>
      <c r="R69" s="10"/>
      <c r="S69" s="10"/>
      <c r="T69" s="10"/>
      <c r="U69" s="10"/>
      <c r="V69" s="11"/>
      <c r="W69" s="19"/>
      <c r="X69" s="26" t="s">
        <v>21</v>
      </c>
      <c r="Y69" s="10"/>
      <c r="Z69" s="10"/>
      <c r="AA69" s="10"/>
      <c r="AB69" s="10"/>
      <c r="AC69" s="11"/>
      <c r="AD69" s="19"/>
      <c r="AE69" s="26" t="s">
        <v>21</v>
      </c>
      <c r="AF69" s="10"/>
      <c r="AG69" s="10"/>
      <c r="AH69" s="10"/>
      <c r="AI69" s="10"/>
      <c r="AJ69" s="11"/>
      <c r="AL69" s="19"/>
      <c r="AM69" s="26" t="s">
        <v>21</v>
      </c>
      <c r="AN69" s="10">
        <f t="shared" ref="AN69:AP69" si="84">D69+K69+R69+Y69+AF69</f>
        <v>0</v>
      </c>
      <c r="AO69" s="10">
        <f t="shared" si="84"/>
        <v>0</v>
      </c>
      <c r="AP69" s="10">
        <f t="shared" si="84"/>
        <v>0</v>
      </c>
      <c r="AQ69" s="11">
        <f t="shared" si="78"/>
        <v>0</v>
      </c>
    </row>
    <row r="70">
      <c r="A70" s="19"/>
      <c r="B70" s="19"/>
      <c r="C70" s="28" t="s">
        <v>23</v>
      </c>
      <c r="D70" s="29">
        <f t="shared" ref="D70:H70" si="85">D62+D63+D64+D65+D66+D67+D68+D69</f>
        <v>0</v>
      </c>
      <c r="E70" s="30">
        <f t="shared" si="85"/>
        <v>0</v>
      </c>
      <c r="F70" s="31">
        <f t="shared" si="85"/>
        <v>0</v>
      </c>
      <c r="G70" s="37">
        <f t="shared" si="85"/>
        <v>0</v>
      </c>
      <c r="H70" s="33">
        <f t="shared" si="85"/>
        <v>0</v>
      </c>
      <c r="I70" s="19"/>
      <c r="J70" s="28" t="s">
        <v>23</v>
      </c>
      <c r="K70" s="61">
        <f t="shared" ref="K70:O70" si="86">K62+K63+K64+K65+K66+K67+K68+K69</f>
        <v>0</v>
      </c>
      <c r="L70" s="30">
        <f t="shared" si="86"/>
        <v>0</v>
      </c>
      <c r="M70" s="36">
        <f t="shared" si="86"/>
        <v>0</v>
      </c>
      <c r="N70" s="306">
        <f t="shared" si="86"/>
        <v>0</v>
      </c>
      <c r="O70" s="33">
        <f t="shared" si="86"/>
        <v>0</v>
      </c>
      <c r="P70" s="19"/>
      <c r="Q70" s="28" t="s">
        <v>23</v>
      </c>
      <c r="R70" s="29">
        <f t="shared" ref="R70:V70" si="87">R62+R63+R64+R65+R66+R67+R68+R69</f>
        <v>0</v>
      </c>
      <c r="S70" s="35">
        <f t="shared" si="87"/>
        <v>0</v>
      </c>
      <c r="T70" s="31">
        <f t="shared" si="87"/>
        <v>0</v>
      </c>
      <c r="U70" s="37">
        <f t="shared" si="87"/>
        <v>0</v>
      </c>
      <c r="V70" s="33">
        <f t="shared" si="87"/>
        <v>0</v>
      </c>
      <c r="W70" s="19"/>
      <c r="X70" s="28" t="s">
        <v>23</v>
      </c>
      <c r="Y70" s="34">
        <f t="shared" ref="Y70:AC70" si="88">Y62+Y63+Y64+Y65+Y66+Y67+Y68+Y69</f>
        <v>0</v>
      </c>
      <c r="Z70" s="30">
        <f t="shared" si="88"/>
        <v>0</v>
      </c>
      <c r="AA70" s="36">
        <f t="shared" si="88"/>
        <v>0</v>
      </c>
      <c r="AB70" s="37">
        <f t="shared" si="88"/>
        <v>0</v>
      </c>
      <c r="AC70" s="33">
        <f t="shared" si="88"/>
        <v>0</v>
      </c>
      <c r="AD70" s="19"/>
      <c r="AE70" s="28" t="s">
        <v>23</v>
      </c>
      <c r="AF70" s="34">
        <f t="shared" ref="AF70:AJ70" si="89">AF62+AF63+AF64+AF65+AF66+AF67+AF68+AF69</f>
        <v>0</v>
      </c>
      <c r="AG70" s="35">
        <f t="shared" si="89"/>
        <v>0</v>
      </c>
      <c r="AH70" s="39">
        <f t="shared" si="89"/>
        <v>0</v>
      </c>
      <c r="AI70" s="37">
        <f t="shared" si="89"/>
        <v>0</v>
      </c>
      <c r="AJ70" s="33">
        <f t="shared" si="89"/>
        <v>0</v>
      </c>
      <c r="AL70" s="19"/>
      <c r="AM70" s="28" t="s">
        <v>23</v>
      </c>
      <c r="AN70" s="41">
        <f t="shared" ref="AN70:AQ70" si="90">AN62+AN63+AN64+AN65+AN66+AN67+AN68+AN69</f>
        <v>0</v>
      </c>
      <c r="AO70" s="42">
        <f t="shared" si="90"/>
        <v>0</v>
      </c>
      <c r="AP70" s="43">
        <f t="shared" si="90"/>
        <v>0</v>
      </c>
      <c r="AQ70" s="44">
        <f t="shared" si="90"/>
        <v>0</v>
      </c>
    </row>
    <row r="71" hidden="1">
      <c r="A71" s="19"/>
      <c r="B71" s="19"/>
      <c r="C71" s="45" t="s">
        <v>24</v>
      </c>
      <c r="D71" s="50">
        <f>D70-E70</f>
        <v>0</v>
      </c>
      <c r="E71" s="47"/>
      <c r="F71" s="48"/>
      <c r="G71" s="51"/>
      <c r="H71" s="51"/>
      <c r="I71" s="19"/>
      <c r="J71" s="45" t="s">
        <v>24</v>
      </c>
      <c r="K71" s="50">
        <f>K70-L70</f>
        <v>0</v>
      </c>
      <c r="L71" s="47"/>
      <c r="M71" s="48"/>
      <c r="N71" s="51"/>
      <c r="O71" s="51"/>
      <c r="P71" s="19"/>
      <c r="Q71" s="45" t="s">
        <v>24</v>
      </c>
      <c r="R71" s="50">
        <f>R70-S70</f>
        <v>0</v>
      </c>
      <c r="S71" s="47"/>
      <c r="T71" s="48"/>
      <c r="U71" s="51"/>
      <c r="V71" s="51"/>
      <c r="W71" s="19"/>
      <c r="X71" s="45" t="s">
        <v>24</v>
      </c>
      <c r="Y71" s="50">
        <f>Y70-Z70</f>
        <v>0</v>
      </c>
      <c r="Z71" s="47"/>
      <c r="AA71" s="48"/>
      <c r="AB71" s="51"/>
      <c r="AC71" s="51"/>
      <c r="AD71" s="19"/>
      <c r="AE71" s="45" t="s">
        <v>24</v>
      </c>
      <c r="AF71" s="50">
        <f>AF70-AG70</f>
        <v>0</v>
      </c>
      <c r="AG71" s="47"/>
      <c r="AH71" s="48"/>
      <c r="AI71" s="51"/>
      <c r="AJ71" s="51"/>
      <c r="AL71" s="53"/>
      <c r="AM71" s="45" t="s">
        <v>25</v>
      </c>
      <c r="AN71" s="50">
        <f>AN70-AO70</f>
        <v>0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0</v>
      </c>
      <c r="E72" s="47"/>
      <c r="F72" s="48"/>
      <c r="G72" s="59"/>
      <c r="H72" s="51"/>
      <c r="I72" s="53"/>
      <c r="J72" s="56" t="s">
        <v>26</v>
      </c>
      <c r="K72" s="57">
        <f>M70-L70</f>
        <v>0</v>
      </c>
      <c r="L72" s="47"/>
      <c r="M72" s="48"/>
      <c r="N72" s="51"/>
      <c r="O72" s="51"/>
      <c r="P72" s="53"/>
      <c r="Q72" s="56" t="s">
        <v>26</v>
      </c>
      <c r="R72" s="57">
        <f>T70-S70</f>
        <v>0</v>
      </c>
      <c r="S72" s="47"/>
      <c r="T72" s="48"/>
      <c r="U72" s="51"/>
      <c r="V72" s="51"/>
      <c r="W72" s="53"/>
      <c r="X72" s="56" t="s">
        <v>26</v>
      </c>
      <c r="Y72" s="57">
        <f>AA70-Z70</f>
        <v>0</v>
      </c>
      <c r="Z72" s="47"/>
      <c r="AA72" s="48"/>
      <c r="AB72" s="59"/>
      <c r="AC72" s="51"/>
      <c r="AD72" s="53"/>
      <c r="AE72" s="56" t="s">
        <v>26</v>
      </c>
      <c r="AF72" s="57">
        <f>AH70-AG70</f>
        <v>0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45781.0</v>
      </c>
      <c r="C74" s="9" t="s">
        <v>10</v>
      </c>
      <c r="D74" s="10"/>
      <c r="E74" s="10"/>
      <c r="F74" s="10"/>
      <c r="G74" s="10"/>
      <c r="H74" s="11"/>
      <c r="I74" s="12">
        <v>45788.0</v>
      </c>
      <c r="J74" s="9"/>
      <c r="K74" s="10"/>
      <c r="L74" s="10"/>
      <c r="M74" s="10"/>
      <c r="N74" s="10"/>
      <c r="O74" s="11"/>
      <c r="P74" s="8">
        <v>45795.0</v>
      </c>
      <c r="Q74" s="9"/>
      <c r="R74" s="10"/>
      <c r="S74" s="10"/>
      <c r="T74" s="10"/>
      <c r="U74" s="10"/>
      <c r="V74" s="11"/>
      <c r="W74" s="8">
        <v>45802.0</v>
      </c>
      <c r="X74" s="9"/>
      <c r="Y74" s="10"/>
      <c r="Z74" s="10"/>
      <c r="AA74" s="10"/>
      <c r="AB74" s="10"/>
      <c r="AC74" s="11"/>
      <c r="AD74" s="12">
        <v>45808.0</v>
      </c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/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9" t="s">
        <v>14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/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/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/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/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/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43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1">D81+K81+R81+Y81+AF81</f>
        <v>0</v>
      </c>
      <c r="AO81" s="10">
        <f t="shared" si="91"/>
        <v>0</v>
      </c>
      <c r="AP81" s="10">
        <f t="shared" si="91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2">D74+D75+D76+D77+D78+D79+D80+D81</f>
        <v>0</v>
      </c>
      <c r="E82" s="30">
        <f t="shared" si="92"/>
        <v>0</v>
      </c>
      <c r="F82" s="31">
        <f t="shared" si="92"/>
        <v>0</v>
      </c>
      <c r="G82" s="32">
        <f t="shared" si="92"/>
        <v>0</v>
      </c>
      <c r="H82" s="33">
        <f t="shared" si="92"/>
        <v>0</v>
      </c>
      <c r="I82" s="19"/>
      <c r="J82" s="28" t="s">
        <v>23</v>
      </c>
      <c r="K82" s="29">
        <f t="shared" ref="K82:O82" si="93">K74+K75+K76+K77+K78+K79+K80+K81</f>
        <v>0</v>
      </c>
      <c r="L82" s="30">
        <f t="shared" si="93"/>
        <v>0</v>
      </c>
      <c r="M82" s="31">
        <f t="shared" si="93"/>
        <v>0</v>
      </c>
      <c r="N82" s="32">
        <f t="shared" si="93"/>
        <v>0</v>
      </c>
      <c r="O82" s="33">
        <f t="shared" si="93"/>
        <v>0</v>
      </c>
      <c r="P82" s="19"/>
      <c r="Q82" s="28" t="s">
        <v>23</v>
      </c>
      <c r="R82" s="29">
        <f t="shared" ref="R82:V82" si="94">R74+R75+R76+R77+R78+R79+R80+R81</f>
        <v>0</v>
      </c>
      <c r="S82" s="30">
        <f t="shared" si="94"/>
        <v>0</v>
      </c>
      <c r="T82" s="31">
        <f t="shared" si="94"/>
        <v>0</v>
      </c>
      <c r="U82" s="32">
        <f t="shared" si="94"/>
        <v>0</v>
      </c>
      <c r="V82" s="33">
        <f t="shared" si="94"/>
        <v>0</v>
      </c>
      <c r="W82" s="19"/>
      <c r="X82" s="28" t="s">
        <v>23</v>
      </c>
      <c r="Y82" s="29">
        <f t="shared" ref="Y82:AC82" si="95">Y74+Y75+Y76+Y77+Y78+Y79+Y80+Y81</f>
        <v>0</v>
      </c>
      <c r="Z82" s="30">
        <f t="shared" si="95"/>
        <v>0</v>
      </c>
      <c r="AA82" s="31">
        <f t="shared" si="95"/>
        <v>0</v>
      </c>
      <c r="AB82" s="32">
        <f t="shared" si="95"/>
        <v>0</v>
      </c>
      <c r="AC82" s="33">
        <f t="shared" si="95"/>
        <v>0</v>
      </c>
      <c r="AD82" s="19"/>
      <c r="AE82" s="28" t="s">
        <v>23</v>
      </c>
      <c r="AF82" s="29">
        <f t="shared" ref="AF82:AJ82" si="96">AF74+AF75+AF76+AF77+AF78+AF79+AF80+AF81</f>
        <v>0</v>
      </c>
      <c r="AG82" s="30">
        <f t="shared" si="96"/>
        <v>0</v>
      </c>
      <c r="AH82" s="31">
        <f t="shared" si="96"/>
        <v>0</v>
      </c>
      <c r="AI82" s="32">
        <f t="shared" si="96"/>
        <v>0</v>
      </c>
      <c r="AJ82" s="33">
        <f t="shared" si="96"/>
        <v>0</v>
      </c>
      <c r="AL82" s="19"/>
      <c r="AM82" s="28" t="s">
        <v>23</v>
      </c>
      <c r="AN82" s="41">
        <f t="shared" ref="AN82:AQ82" si="97">AN74+AN75+AN76+AN77+AN78+AN79+AN80+AN81</f>
        <v>0</v>
      </c>
      <c r="AO82" s="42">
        <f t="shared" si="97"/>
        <v>0</v>
      </c>
      <c r="AP82" s="43">
        <f t="shared" si="97"/>
        <v>0</v>
      </c>
      <c r="AQ82" s="44">
        <f t="shared" si="97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267</v>
      </c>
      <c r="D87" s="47"/>
      <c r="E87" s="47"/>
      <c r="F87" s="47"/>
      <c r="G87" s="47"/>
      <c r="H87" s="48"/>
      <c r="I87" s="76"/>
      <c r="J87" s="77" t="s">
        <v>268</v>
      </c>
      <c r="K87" s="47"/>
      <c r="L87" s="47"/>
      <c r="M87" s="47"/>
      <c r="N87" s="47"/>
      <c r="O87" s="48"/>
      <c r="P87" s="76"/>
      <c r="Q87" s="77" t="s">
        <v>269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270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0</v>
      </c>
      <c r="E88" s="47"/>
      <c r="F88" s="47"/>
      <c r="G88" s="47"/>
      <c r="H88" s="48"/>
      <c r="J88" s="9" t="s">
        <v>7</v>
      </c>
      <c r="K88" s="79">
        <f>K10+K22+K34+K46+K58+K70+K82</f>
        <v>0</v>
      </c>
      <c r="L88" s="47"/>
      <c r="M88" s="47"/>
      <c r="N88" s="47"/>
      <c r="O88" s="48"/>
      <c r="Q88" s="9" t="s">
        <v>7</v>
      </c>
      <c r="R88" s="79">
        <f>R10+R22+R34+R46+R58+R70+R82</f>
        <v>0</v>
      </c>
      <c r="S88" s="47"/>
      <c r="T88" s="47"/>
      <c r="U88" s="47"/>
      <c r="V88" s="48"/>
      <c r="X88" s="9" t="s">
        <v>7</v>
      </c>
      <c r="Y88" s="79">
        <f>Y10+Y22+Y34+Y46+Y58+Y70+Y82</f>
        <v>0</v>
      </c>
      <c r="Z88" s="47"/>
      <c r="AA88" s="47"/>
      <c r="AB88" s="47"/>
      <c r="AC88" s="48"/>
      <c r="AE88" s="9" t="s">
        <v>7</v>
      </c>
      <c r="AF88" s="79">
        <f>AF10+AF22+AF34+AF46+AF58+AF70+AF82</f>
        <v>0</v>
      </c>
      <c r="AG88" s="47"/>
      <c r="AH88" s="47"/>
      <c r="AI88" s="47"/>
      <c r="AJ88" s="48"/>
      <c r="AN88" s="55">
        <f t="array" ref="AN88">AN10+AN22+AN34+AN46+AN58+AN70</f>
        <v>0</v>
      </c>
      <c r="AP88" s="55">
        <f t="array" ref="AP88">AP10+AP22+AP34+AP46+AP58+AP70</f>
        <v>0</v>
      </c>
    </row>
    <row r="89">
      <c r="A89" s="78"/>
      <c r="C89" s="9" t="s">
        <v>3</v>
      </c>
      <c r="D89" s="80">
        <f>E10+E22+E34+E46+E58+E70+E82</f>
        <v>0</v>
      </c>
      <c r="E89" s="47"/>
      <c r="F89" s="47"/>
      <c r="G89" s="47"/>
      <c r="H89" s="48"/>
      <c r="J89" s="9" t="s">
        <v>3</v>
      </c>
      <c r="K89" s="80">
        <f>L10+L22+L34+L46+L58+L70+L82</f>
        <v>0</v>
      </c>
      <c r="L89" s="47"/>
      <c r="M89" s="47"/>
      <c r="N89" s="47"/>
      <c r="O89" s="48"/>
      <c r="Q89" s="9" t="s">
        <v>3</v>
      </c>
      <c r="R89" s="80">
        <f>S10+S22+S34+S46+S58+S70+S82</f>
        <v>0</v>
      </c>
      <c r="S89" s="47"/>
      <c r="T89" s="47"/>
      <c r="U89" s="47"/>
      <c r="V89" s="48"/>
      <c r="X89" s="9" t="s">
        <v>3</v>
      </c>
      <c r="Y89" s="80">
        <f>Z10+Z22+Z34+Z46+Z58+Z70+Z82</f>
        <v>0</v>
      </c>
      <c r="Z89" s="47"/>
      <c r="AA89" s="47"/>
      <c r="AB89" s="47"/>
      <c r="AC89" s="48"/>
      <c r="AE89" s="9" t="s">
        <v>3</v>
      </c>
      <c r="AF89" s="80">
        <f>AG10+AG22+AG34+AG46+AG58+AG70+AG82</f>
        <v>0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0</v>
      </c>
      <c r="E90" s="47"/>
      <c r="F90" s="47"/>
      <c r="G90" s="47"/>
      <c r="H90" s="48"/>
      <c r="J90" s="9" t="s">
        <v>46</v>
      </c>
      <c r="K90" s="81">
        <f>M10+M22+M34+M46+M58+M70+M82</f>
        <v>0</v>
      </c>
      <c r="L90" s="47"/>
      <c r="M90" s="47"/>
      <c r="N90" s="47"/>
      <c r="O90" s="48"/>
      <c r="Q90" s="9" t="s">
        <v>46</v>
      </c>
      <c r="R90" s="81">
        <f>T10+T22+T34+T46+T58+T70+T82</f>
        <v>0</v>
      </c>
      <c r="S90" s="47"/>
      <c r="T90" s="47"/>
      <c r="U90" s="47"/>
      <c r="V90" s="48"/>
      <c r="X90" s="9" t="s">
        <v>46</v>
      </c>
      <c r="Y90" s="81">
        <f>AA10+AA22+AA34+AA46+AA58+AA70+AA82</f>
        <v>0</v>
      </c>
      <c r="Z90" s="47"/>
      <c r="AA90" s="47"/>
      <c r="AB90" s="47"/>
      <c r="AC90" s="48"/>
      <c r="AE90" s="9" t="s">
        <v>46</v>
      </c>
      <c r="AF90" s="81">
        <f>AH10+AH22+AH34+AH46+AH58+AH70+AH82</f>
        <v>0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0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0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0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0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0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0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0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0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0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0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0</v>
      </c>
      <c r="E93" s="47"/>
      <c r="F93" s="47"/>
      <c r="G93" s="47"/>
      <c r="H93" s="48"/>
      <c r="J93" s="9" t="s">
        <v>49</v>
      </c>
      <c r="K93" s="84">
        <f t="array" ref="K93">O10+O22+O34+O46+O58+O70+O82</f>
        <v>0</v>
      </c>
      <c r="L93" s="47"/>
      <c r="M93" s="47"/>
      <c r="N93" s="47"/>
      <c r="O93" s="48"/>
      <c r="Q93" s="9" t="s">
        <v>49</v>
      </c>
      <c r="R93" s="84">
        <f t="array" ref="R93">V10+V22+V34+V46+V58+V70+V82</f>
        <v>0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0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0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8">D2+D14+D26+D38+D50+D62</f>
        <v>0</v>
      </c>
      <c r="E98" s="10">
        <f t="shared" si="98"/>
        <v>0</v>
      </c>
      <c r="F98" s="10">
        <f t="shared" si="98"/>
        <v>0</v>
      </c>
      <c r="G98" s="86">
        <f t="shared" ref="G98:G105" si="104">F98-E98</f>
        <v>0</v>
      </c>
      <c r="H98" s="87">
        <f t="shared" ref="H98:H104" si="105">H2+H14+H26+H38+H50+H62</f>
        <v>0</v>
      </c>
      <c r="J98" s="9" t="s">
        <v>10</v>
      </c>
      <c r="K98" s="85">
        <f t="shared" ref="K98:M98" si="99">K2+K14+K26+K38+K50+K62</f>
        <v>0</v>
      </c>
      <c r="L98" s="10">
        <f t="shared" si="99"/>
        <v>0</v>
      </c>
      <c r="M98" s="10">
        <f t="shared" si="99"/>
        <v>0</v>
      </c>
      <c r="N98" s="86">
        <f t="shared" ref="N98:N105" si="107">M98-L98</f>
        <v>0</v>
      </c>
      <c r="O98" s="87">
        <f t="shared" ref="O98:O104" si="108">O2+O14+O26+O38+O50+O62</f>
        <v>0</v>
      </c>
      <c r="Q98" s="9" t="s">
        <v>10</v>
      </c>
      <c r="R98" s="85">
        <f t="shared" ref="R98:T98" si="100">R2+R14+R26+R38+R50+R62</f>
        <v>0</v>
      </c>
      <c r="S98" s="10">
        <f t="shared" si="100"/>
        <v>0</v>
      </c>
      <c r="T98" s="10">
        <f t="shared" si="100"/>
        <v>0</v>
      </c>
      <c r="U98" s="86">
        <f t="shared" ref="U98:U105" si="110">T98-S98</f>
        <v>0</v>
      </c>
      <c r="V98" s="87">
        <f t="shared" ref="V98:V104" si="111">V2+V14+V26+V38+V50+V62</f>
        <v>0</v>
      </c>
      <c r="X98" s="9" t="s">
        <v>10</v>
      </c>
      <c r="Y98" s="85">
        <f t="shared" ref="Y98:AA98" si="101">Y2+Y14+Y26+Y38+Y50+Y62</f>
        <v>0</v>
      </c>
      <c r="Z98" s="10">
        <f t="shared" si="101"/>
        <v>0</v>
      </c>
      <c r="AA98" s="10">
        <f t="shared" si="101"/>
        <v>0</v>
      </c>
      <c r="AB98" s="86">
        <f t="shared" ref="AB98:AB105" si="113">AA98-Z98</f>
        <v>0</v>
      </c>
      <c r="AC98" s="87">
        <f t="shared" ref="AC98:AC104" si="114">AC2+AC14+AC26+AC38+AC50+AC62</f>
        <v>0</v>
      </c>
      <c r="AE98" s="9" t="s">
        <v>10</v>
      </c>
      <c r="AF98" s="85">
        <f t="shared" ref="AF98:AH98" si="102">AF2+AF14+AF26+AF38+AF50+AF62</f>
        <v>0</v>
      </c>
      <c r="AG98" s="10">
        <f t="shared" si="102"/>
        <v>0</v>
      </c>
      <c r="AH98" s="10">
        <f t="shared" si="102"/>
        <v>0</v>
      </c>
      <c r="AI98" s="86">
        <f t="shared" ref="AI98:AI105" si="116">AH98-AG98</f>
        <v>0</v>
      </c>
      <c r="AJ98" s="87">
        <f t="shared" ref="AJ98:AJ104" si="117">AJ2+AJ14+AJ26+AJ38+AJ50+AJ62</f>
        <v>0</v>
      </c>
    </row>
    <row r="99">
      <c r="C99" s="9" t="s">
        <v>12</v>
      </c>
      <c r="D99" s="85">
        <f t="shared" ref="D99:F99" si="103">D3+D15+D27+D39+D51+D63</f>
        <v>0</v>
      </c>
      <c r="E99" s="10">
        <f t="shared" si="103"/>
        <v>0</v>
      </c>
      <c r="F99" s="10">
        <f t="shared" si="103"/>
        <v>0</v>
      </c>
      <c r="G99" s="86">
        <f t="shared" si="104"/>
        <v>0</v>
      </c>
      <c r="H99" s="87">
        <f t="shared" si="105"/>
        <v>0</v>
      </c>
      <c r="J99" s="9" t="s">
        <v>12</v>
      </c>
      <c r="K99" s="85">
        <f t="shared" ref="K99:M99" si="106">K3+K15+K27+K39+K51+K63</f>
        <v>0</v>
      </c>
      <c r="L99" s="10">
        <f t="shared" si="106"/>
        <v>0</v>
      </c>
      <c r="M99" s="10">
        <f t="shared" si="106"/>
        <v>0</v>
      </c>
      <c r="N99" s="86">
        <f t="shared" si="107"/>
        <v>0</v>
      </c>
      <c r="O99" s="87">
        <f t="shared" si="108"/>
        <v>0</v>
      </c>
      <c r="Q99" s="9" t="s">
        <v>12</v>
      </c>
      <c r="R99" s="85">
        <f t="shared" ref="R99:T99" si="109">R3+R15+R27+R39+R51+R63</f>
        <v>0</v>
      </c>
      <c r="S99" s="10">
        <f t="shared" si="109"/>
        <v>0</v>
      </c>
      <c r="T99" s="10">
        <f t="shared" si="109"/>
        <v>0</v>
      </c>
      <c r="U99" s="86">
        <f t="shared" si="110"/>
        <v>0</v>
      </c>
      <c r="V99" s="87">
        <f t="shared" si="111"/>
        <v>0</v>
      </c>
      <c r="X99" s="9" t="s">
        <v>12</v>
      </c>
      <c r="Y99" s="85">
        <f t="shared" ref="Y99:AA99" si="112">Y3+Y15+Y27+Y39+Y51+Y63</f>
        <v>0</v>
      </c>
      <c r="Z99" s="10">
        <f t="shared" si="112"/>
        <v>0</v>
      </c>
      <c r="AA99" s="10">
        <f t="shared" si="112"/>
        <v>0</v>
      </c>
      <c r="AB99" s="86">
        <f t="shared" si="113"/>
        <v>0</v>
      </c>
      <c r="AC99" s="87">
        <f t="shared" si="114"/>
        <v>0</v>
      </c>
      <c r="AE99" s="9" t="s">
        <v>12</v>
      </c>
      <c r="AF99" s="85">
        <f t="shared" ref="AF99:AH99" si="115">AF3+AF15+AF27+AF39+AF51+AF63</f>
        <v>0</v>
      </c>
      <c r="AG99" s="10">
        <f t="shared" si="115"/>
        <v>0</v>
      </c>
      <c r="AH99" s="10">
        <f t="shared" si="115"/>
        <v>0</v>
      </c>
      <c r="AI99" s="86">
        <f t="shared" si="116"/>
        <v>0</v>
      </c>
      <c r="AJ99" s="87">
        <f t="shared" si="117"/>
        <v>0</v>
      </c>
    </row>
    <row r="100">
      <c r="C100" s="9" t="s">
        <v>14</v>
      </c>
      <c r="D100" s="85">
        <f t="shared" ref="D100:F100" si="118">D4+D16+D28+D40+D52+D64</f>
        <v>0</v>
      </c>
      <c r="E100" s="10">
        <f t="shared" si="118"/>
        <v>0</v>
      </c>
      <c r="F100" s="10">
        <f t="shared" si="118"/>
        <v>0</v>
      </c>
      <c r="G100" s="86">
        <f t="shared" si="104"/>
        <v>0</v>
      </c>
      <c r="H100" s="87">
        <f t="shared" si="105"/>
        <v>0</v>
      </c>
      <c r="J100" s="9" t="s">
        <v>14</v>
      </c>
      <c r="K100" s="85">
        <f t="shared" ref="K100:M100" si="119">K4+K16+K28+K40+K52+K64</f>
        <v>0</v>
      </c>
      <c r="L100" s="10">
        <f t="shared" si="119"/>
        <v>0</v>
      </c>
      <c r="M100" s="10">
        <f t="shared" si="119"/>
        <v>0</v>
      </c>
      <c r="N100" s="86">
        <f t="shared" si="107"/>
        <v>0</v>
      </c>
      <c r="O100" s="87">
        <f t="shared" si="108"/>
        <v>0</v>
      </c>
      <c r="Q100" s="9" t="s">
        <v>14</v>
      </c>
      <c r="R100" s="85">
        <f t="shared" ref="R100:T100" si="120">R4+R16+R28+R40+R52+R64</f>
        <v>0</v>
      </c>
      <c r="S100" s="10">
        <f t="shared" si="120"/>
        <v>0</v>
      </c>
      <c r="T100" s="10">
        <f t="shared" si="120"/>
        <v>0</v>
      </c>
      <c r="U100" s="86">
        <f t="shared" si="110"/>
        <v>0</v>
      </c>
      <c r="V100" s="87">
        <f t="shared" si="111"/>
        <v>0</v>
      </c>
      <c r="X100" s="9" t="s">
        <v>14</v>
      </c>
      <c r="Y100" s="85">
        <f t="shared" ref="Y100:AA100" si="121">Y4+Y16+Y28+Y40+Y52+Y64</f>
        <v>0</v>
      </c>
      <c r="Z100" s="10">
        <f t="shared" si="121"/>
        <v>0</v>
      </c>
      <c r="AA100" s="10">
        <f t="shared" si="121"/>
        <v>0</v>
      </c>
      <c r="AB100" s="86">
        <f t="shared" si="113"/>
        <v>0</v>
      </c>
      <c r="AC100" s="87">
        <f t="shared" si="114"/>
        <v>0</v>
      </c>
      <c r="AE100" s="9" t="s">
        <v>14</v>
      </c>
      <c r="AF100" s="85">
        <f t="shared" ref="AF100:AH100" si="122">AF4+AF16+AF28+AF40+AF52+AF64</f>
        <v>0</v>
      </c>
      <c r="AG100" s="10">
        <f t="shared" si="122"/>
        <v>0</v>
      </c>
      <c r="AH100" s="10">
        <f t="shared" si="122"/>
        <v>0</v>
      </c>
      <c r="AI100" s="86">
        <f t="shared" si="116"/>
        <v>0</v>
      </c>
      <c r="AJ100" s="87">
        <f t="shared" si="117"/>
        <v>0</v>
      </c>
    </row>
    <row r="101">
      <c r="C101" s="9" t="s">
        <v>16</v>
      </c>
      <c r="D101" s="85">
        <f t="shared" ref="D101:F101" si="123">D5+D17+D29+D41+D53+D65</f>
        <v>0</v>
      </c>
      <c r="E101" s="10">
        <f t="shared" si="123"/>
        <v>0</v>
      </c>
      <c r="F101" s="10">
        <f t="shared" si="123"/>
        <v>0</v>
      </c>
      <c r="G101" s="86">
        <f t="shared" si="104"/>
        <v>0</v>
      </c>
      <c r="H101" s="87">
        <f t="shared" si="105"/>
        <v>0</v>
      </c>
      <c r="J101" s="9" t="s">
        <v>16</v>
      </c>
      <c r="K101" s="85">
        <f t="shared" ref="K101:M101" si="124">K5+K17+K29+K41+K53+K65</f>
        <v>0</v>
      </c>
      <c r="L101" s="10">
        <f t="shared" si="124"/>
        <v>0</v>
      </c>
      <c r="M101" s="10">
        <f t="shared" si="124"/>
        <v>0</v>
      </c>
      <c r="N101" s="86">
        <f t="shared" si="107"/>
        <v>0</v>
      </c>
      <c r="O101" s="87">
        <f t="shared" si="108"/>
        <v>0</v>
      </c>
      <c r="Q101" s="9" t="s">
        <v>16</v>
      </c>
      <c r="R101" s="85">
        <f t="shared" ref="R101:T101" si="125">R5+R17+R29+R41+R53+R65</f>
        <v>0</v>
      </c>
      <c r="S101" s="10">
        <f t="shared" si="125"/>
        <v>0</v>
      </c>
      <c r="T101" s="10">
        <f t="shared" si="125"/>
        <v>0</v>
      </c>
      <c r="U101" s="86">
        <f t="shared" si="110"/>
        <v>0</v>
      </c>
      <c r="V101" s="87">
        <f t="shared" si="111"/>
        <v>0</v>
      </c>
      <c r="X101" s="9" t="s">
        <v>16</v>
      </c>
      <c r="Y101" s="85">
        <f t="shared" ref="Y101:AA101" si="126">Y5+Y17+Y29+Y41+Y53+Y65</f>
        <v>0</v>
      </c>
      <c r="Z101" s="10">
        <f t="shared" si="126"/>
        <v>0</v>
      </c>
      <c r="AA101" s="10">
        <f t="shared" si="126"/>
        <v>0</v>
      </c>
      <c r="AB101" s="86">
        <f t="shared" si="113"/>
        <v>0</v>
      </c>
      <c r="AC101" s="87">
        <f t="shared" si="114"/>
        <v>0</v>
      </c>
      <c r="AE101" s="9" t="s">
        <v>16</v>
      </c>
      <c r="AF101" s="85">
        <f t="shared" ref="AF101:AH101" si="127">AF5+AF17+AF29+AF41+AF53+AF65</f>
        <v>0</v>
      </c>
      <c r="AG101" s="10">
        <f t="shared" si="127"/>
        <v>0</v>
      </c>
      <c r="AH101" s="10">
        <f t="shared" si="127"/>
        <v>0</v>
      </c>
      <c r="AI101" s="86">
        <f t="shared" si="116"/>
        <v>0</v>
      </c>
      <c r="AJ101" s="87">
        <f t="shared" si="117"/>
        <v>0</v>
      </c>
    </row>
    <row r="102">
      <c r="C102" s="9" t="s">
        <v>17</v>
      </c>
      <c r="D102" s="85">
        <f t="shared" ref="D102:F102" si="128">D6+D18+D30+D42+D54+D66</f>
        <v>0</v>
      </c>
      <c r="E102" s="10">
        <f t="shared" si="128"/>
        <v>0</v>
      </c>
      <c r="F102" s="10">
        <f t="shared" si="128"/>
        <v>0</v>
      </c>
      <c r="G102" s="86">
        <f t="shared" si="104"/>
        <v>0</v>
      </c>
      <c r="H102" s="87">
        <f t="shared" si="105"/>
        <v>0</v>
      </c>
      <c r="J102" s="9" t="s">
        <v>17</v>
      </c>
      <c r="K102" s="85">
        <f t="shared" ref="K102:M102" si="129">K6+K18+K30+K42+K54+K66</f>
        <v>0</v>
      </c>
      <c r="L102" s="10">
        <f t="shared" si="129"/>
        <v>0</v>
      </c>
      <c r="M102" s="10">
        <f t="shared" si="129"/>
        <v>0</v>
      </c>
      <c r="N102" s="86">
        <f t="shared" si="107"/>
        <v>0</v>
      </c>
      <c r="O102" s="87">
        <f t="shared" si="108"/>
        <v>0</v>
      </c>
      <c r="Q102" s="9" t="s">
        <v>17</v>
      </c>
      <c r="R102" s="85">
        <f t="shared" ref="R102:T102" si="130">R6+R18+R30+R42+R54+R66</f>
        <v>0</v>
      </c>
      <c r="S102" s="10">
        <f t="shared" si="130"/>
        <v>0</v>
      </c>
      <c r="T102" s="10">
        <f t="shared" si="130"/>
        <v>0</v>
      </c>
      <c r="U102" s="86">
        <f t="shared" si="110"/>
        <v>0</v>
      </c>
      <c r="V102" s="87">
        <f t="shared" si="111"/>
        <v>0</v>
      </c>
      <c r="X102" s="9" t="s">
        <v>17</v>
      </c>
      <c r="Y102" s="85">
        <f t="shared" ref="Y102:AA102" si="131">Y6+Y18+Y30+Y42+Y54+Y66</f>
        <v>0</v>
      </c>
      <c r="Z102" s="10">
        <f t="shared" si="131"/>
        <v>0</v>
      </c>
      <c r="AA102" s="10">
        <f t="shared" si="131"/>
        <v>0</v>
      </c>
      <c r="AB102" s="86">
        <f t="shared" si="113"/>
        <v>0</v>
      </c>
      <c r="AC102" s="87">
        <f t="shared" si="114"/>
        <v>0</v>
      </c>
      <c r="AE102" s="9" t="s">
        <v>17</v>
      </c>
      <c r="AF102" s="85">
        <f t="shared" ref="AF102:AH102" si="132">AF6+AF18+AF30+AF42+AF54+AF66</f>
        <v>0</v>
      </c>
      <c r="AG102" s="10">
        <f t="shared" si="132"/>
        <v>0</v>
      </c>
      <c r="AH102" s="10">
        <f t="shared" si="132"/>
        <v>0</v>
      </c>
      <c r="AI102" s="86">
        <f t="shared" si="116"/>
        <v>0</v>
      </c>
      <c r="AJ102" s="87">
        <f t="shared" si="117"/>
        <v>0</v>
      </c>
    </row>
    <row r="103">
      <c r="C103" s="9" t="s">
        <v>18</v>
      </c>
      <c r="D103" s="85">
        <f t="shared" ref="D103:F103" si="133">D7+D19+D31+D43+D55+D67</f>
        <v>0</v>
      </c>
      <c r="E103" s="85">
        <f t="shared" si="133"/>
        <v>0</v>
      </c>
      <c r="F103" s="85">
        <f t="shared" si="133"/>
        <v>0</v>
      </c>
      <c r="G103" s="86">
        <f t="shared" si="104"/>
        <v>0</v>
      </c>
      <c r="H103" s="87">
        <f t="shared" si="105"/>
        <v>0</v>
      </c>
      <c r="J103" s="9" t="s">
        <v>18</v>
      </c>
      <c r="K103" s="85">
        <f t="shared" ref="K103:M103" si="134">K7+K19+K31+K43+K55+K67</f>
        <v>0</v>
      </c>
      <c r="L103" s="85">
        <f t="shared" si="134"/>
        <v>0</v>
      </c>
      <c r="M103" s="85">
        <f t="shared" si="134"/>
        <v>0</v>
      </c>
      <c r="N103" s="86">
        <f t="shared" si="107"/>
        <v>0</v>
      </c>
      <c r="O103" s="87">
        <f t="shared" si="108"/>
        <v>0</v>
      </c>
      <c r="Q103" s="9" t="s">
        <v>18</v>
      </c>
      <c r="R103" s="85">
        <f t="shared" ref="R103:T103" si="135">R7+R19+R31+R43+R55+R67</f>
        <v>0</v>
      </c>
      <c r="S103" s="85">
        <f t="shared" si="135"/>
        <v>0</v>
      </c>
      <c r="T103" s="85">
        <f t="shared" si="135"/>
        <v>0</v>
      </c>
      <c r="U103" s="86">
        <f t="shared" si="110"/>
        <v>0</v>
      </c>
      <c r="V103" s="87">
        <f t="shared" si="111"/>
        <v>0</v>
      </c>
      <c r="X103" s="9" t="s">
        <v>18</v>
      </c>
      <c r="Y103" s="85">
        <f t="shared" ref="Y103:AA103" si="136">Y7+Y19+Y31+Y43+Y55+Y67</f>
        <v>0</v>
      </c>
      <c r="Z103" s="85">
        <f t="shared" si="136"/>
        <v>0</v>
      </c>
      <c r="AA103" s="85">
        <f t="shared" si="136"/>
        <v>0</v>
      </c>
      <c r="AB103" s="86">
        <f t="shared" si="113"/>
        <v>0</v>
      </c>
      <c r="AC103" s="87">
        <f t="shared" si="114"/>
        <v>0</v>
      </c>
      <c r="AE103" s="9" t="s">
        <v>18</v>
      </c>
      <c r="AF103" s="85">
        <f t="shared" ref="AF103:AH103" si="137">AF7+AF19+AF31+AF43+AF55+AF67</f>
        <v>0</v>
      </c>
      <c r="AG103" s="85">
        <f t="shared" si="137"/>
        <v>0</v>
      </c>
      <c r="AH103" s="85">
        <f t="shared" si="137"/>
        <v>0</v>
      </c>
      <c r="AI103" s="86">
        <f t="shared" si="116"/>
        <v>0</v>
      </c>
      <c r="AJ103" s="87">
        <f t="shared" si="117"/>
        <v>0</v>
      </c>
    </row>
    <row r="104">
      <c r="C104" s="9" t="s">
        <v>19</v>
      </c>
      <c r="D104" s="85">
        <f t="shared" ref="D104:F104" si="138">D8+D20+D32+D44+D56+D68</f>
        <v>0</v>
      </c>
      <c r="E104" s="10">
        <f t="shared" si="138"/>
        <v>0</v>
      </c>
      <c r="F104" s="10">
        <f t="shared" si="138"/>
        <v>0</v>
      </c>
      <c r="G104" s="86">
        <f t="shared" si="104"/>
        <v>0</v>
      </c>
      <c r="H104" s="87">
        <f t="shared" si="105"/>
        <v>0</v>
      </c>
      <c r="J104" s="9" t="s">
        <v>19</v>
      </c>
      <c r="K104" s="85">
        <f t="shared" ref="K104:M104" si="139">K8+K20+K32+K44+K56+K68</f>
        <v>0</v>
      </c>
      <c r="L104" s="10">
        <f t="shared" si="139"/>
        <v>0</v>
      </c>
      <c r="M104" s="10">
        <f t="shared" si="139"/>
        <v>0</v>
      </c>
      <c r="N104" s="86">
        <f t="shared" si="107"/>
        <v>0</v>
      </c>
      <c r="O104" s="87">
        <f t="shared" si="108"/>
        <v>0</v>
      </c>
      <c r="Q104" s="9" t="s">
        <v>19</v>
      </c>
      <c r="R104" s="85">
        <f t="shared" ref="R104:T104" si="140">R8+R20+R32+R44+R56+R68</f>
        <v>0</v>
      </c>
      <c r="S104" s="10">
        <f t="shared" si="140"/>
        <v>0</v>
      </c>
      <c r="T104" s="10">
        <f t="shared" si="140"/>
        <v>0</v>
      </c>
      <c r="U104" s="86">
        <f t="shared" si="110"/>
        <v>0</v>
      </c>
      <c r="V104" s="87">
        <f t="shared" si="111"/>
        <v>0</v>
      </c>
      <c r="X104" s="9" t="s">
        <v>19</v>
      </c>
      <c r="Y104" s="85">
        <f t="shared" ref="Y104:AA104" si="141">Y8+Y20+Y32+Y44+Y56+Y68</f>
        <v>0</v>
      </c>
      <c r="Z104" s="10">
        <f t="shared" si="141"/>
        <v>0</v>
      </c>
      <c r="AA104" s="10">
        <f t="shared" si="141"/>
        <v>0</v>
      </c>
      <c r="AB104" s="86">
        <f t="shared" si="113"/>
        <v>0</v>
      </c>
      <c r="AC104" s="87">
        <f t="shared" si="114"/>
        <v>0</v>
      </c>
      <c r="AE104" s="9" t="s">
        <v>19</v>
      </c>
      <c r="AF104" s="85">
        <f t="shared" ref="AF104:AH104" si="142">AF8+AF20+AF32+AF44+AF56+AF68</f>
        <v>0</v>
      </c>
      <c r="AG104" s="10">
        <f t="shared" si="142"/>
        <v>0</v>
      </c>
      <c r="AH104" s="10">
        <f t="shared" si="142"/>
        <v>0</v>
      </c>
      <c r="AI104" s="86">
        <f t="shared" si="116"/>
        <v>0</v>
      </c>
      <c r="AJ104" s="87">
        <f t="shared" si="117"/>
        <v>0</v>
      </c>
    </row>
    <row r="105">
      <c r="C105" s="26" t="s">
        <v>21</v>
      </c>
      <c r="D105" s="85">
        <f t="shared" ref="D105:F105" si="143">D9+D21+D33+D45+D57+D69+D81</f>
        <v>0</v>
      </c>
      <c r="E105" s="10">
        <f t="shared" si="143"/>
        <v>0</v>
      </c>
      <c r="F105" s="10">
        <f t="shared" si="143"/>
        <v>0</v>
      </c>
      <c r="G105" s="86">
        <f t="shared" si="104"/>
        <v>0</v>
      </c>
      <c r="H105" s="87">
        <f>H9+H21+H33+H45+H57+H69+H81</f>
        <v>0</v>
      </c>
      <c r="J105" s="26" t="s">
        <v>21</v>
      </c>
      <c r="K105" s="85">
        <f t="shared" ref="K105:M105" si="144">K9+K21+K33+K45+K57+K69+K81</f>
        <v>0</v>
      </c>
      <c r="L105" s="10">
        <f t="shared" si="144"/>
        <v>0</v>
      </c>
      <c r="M105" s="10">
        <f t="shared" si="144"/>
        <v>0</v>
      </c>
      <c r="N105" s="86">
        <f t="shared" si="107"/>
        <v>0</v>
      </c>
      <c r="O105" s="87">
        <f>O9+O21+O33+O45+O57+O69+O81</f>
        <v>0</v>
      </c>
      <c r="Q105" s="26" t="s">
        <v>21</v>
      </c>
      <c r="R105" s="85">
        <f t="shared" ref="R105:T105" si="145">R9+R21+R33+R45+R57+R69+R81</f>
        <v>0</v>
      </c>
      <c r="S105" s="10">
        <f t="shared" si="145"/>
        <v>0</v>
      </c>
      <c r="T105" s="10">
        <f t="shared" si="145"/>
        <v>0</v>
      </c>
      <c r="U105" s="86">
        <f t="shared" si="110"/>
        <v>0</v>
      </c>
      <c r="V105" s="87">
        <f>V9+V21+V33+V45+V57+V69+V81</f>
        <v>0</v>
      </c>
      <c r="X105" s="26" t="s">
        <v>21</v>
      </c>
      <c r="Y105" s="85">
        <f t="shared" ref="Y105:AA105" si="146">Y9+Y21+Y33+Y45+Y57+Y69+Y81</f>
        <v>0</v>
      </c>
      <c r="Z105" s="10">
        <f t="shared" si="146"/>
        <v>0</v>
      </c>
      <c r="AA105" s="10">
        <f t="shared" si="146"/>
        <v>0</v>
      </c>
      <c r="AB105" s="86">
        <f t="shared" si="113"/>
        <v>0</v>
      </c>
      <c r="AC105" s="87">
        <f>AC9+AC21+AC33+AC45+AC57+AC69+AC81</f>
        <v>0</v>
      </c>
      <c r="AE105" s="26" t="s">
        <v>21</v>
      </c>
      <c r="AF105" s="85">
        <f t="shared" ref="AF105:AH105" si="147">AF9+AF21+AF33+AF45+AF57+AF69+AF81</f>
        <v>0</v>
      </c>
      <c r="AG105" s="10">
        <f t="shared" si="147"/>
        <v>0</v>
      </c>
      <c r="AH105" s="10">
        <f t="shared" si="147"/>
        <v>0</v>
      </c>
      <c r="AI105" s="86">
        <f t="shared" si="116"/>
        <v>0</v>
      </c>
      <c r="AJ105" s="87">
        <f>AJ9+AJ21+AJ33+AJ45+AJ57+AJ69+AJ81</f>
        <v>0</v>
      </c>
    </row>
    <row r="106">
      <c r="C106" s="88" t="s">
        <v>57</v>
      </c>
      <c r="D106" s="41">
        <f t="array" ref="D106">D98+D99+D100+D101+D102+D103+D104+D105</f>
        <v>0</v>
      </c>
      <c r="E106" s="42">
        <f t="array" ref="E106">E98+E99+E100+E101+E102+E103+E104+E105</f>
        <v>0</v>
      </c>
      <c r="F106" s="43">
        <f t="array" ref="F106">F98+F99+F100+F101+F102+F103+F104+F105</f>
        <v>0</v>
      </c>
      <c r="G106" s="89">
        <f t="array" ref="G106">G98+G99+G100+G101+G102+G103+G104+G105</f>
        <v>0</v>
      </c>
      <c r="H106" s="44">
        <f t="array" ref="H106">H98+H99+H100+H101+H102+H103+H104+H105</f>
        <v>0</v>
      </c>
      <c r="J106" s="88" t="s">
        <v>57</v>
      </c>
      <c r="K106" s="41">
        <f t="array" ref="K106">K98+K99+K100+K101+K102+K103+K104+K105</f>
        <v>0</v>
      </c>
      <c r="L106" s="42">
        <f t="array" ref="L106">L98+L99+L100+L101+L102+L103+L104+L105</f>
        <v>0</v>
      </c>
      <c r="M106" s="43">
        <f t="array" ref="M106">M98+M99+M100+M101+M102+M103+M104+M105</f>
        <v>0</v>
      </c>
      <c r="N106" s="89">
        <f t="array" ref="N106">N98+N99+N100+N101+N102+N103+N104+N105</f>
        <v>0</v>
      </c>
      <c r="O106" s="44">
        <f t="array" ref="O106">O98+O99+O100+O101+O102+O103+O104+O105</f>
        <v>0</v>
      </c>
      <c r="Q106" s="88" t="s">
        <v>57</v>
      </c>
      <c r="R106" s="41">
        <f t="array" ref="R106">R98+R99+R100+R101+R102+R103+R104+R105</f>
        <v>0</v>
      </c>
      <c r="S106" s="42">
        <f t="array" ref="S106">S98+S99+S100+S101+S102+S103+S104+S105</f>
        <v>0</v>
      </c>
      <c r="T106" s="43">
        <f t="array" ref="T106">T98+T99+T100+T101+T102+T103+T104+T105</f>
        <v>0</v>
      </c>
      <c r="U106" s="89">
        <f t="array" ref="U106">U98+U99+U100+U101+U102+U103+U104+U105</f>
        <v>0</v>
      </c>
      <c r="V106" s="44">
        <f t="array" ref="V106">V98+V99+V100+V101+V102+V103+V104+V105</f>
        <v>0</v>
      </c>
      <c r="X106" s="88" t="s">
        <v>57</v>
      </c>
      <c r="Y106" s="41">
        <f t="array" ref="Y106">Y98+Y99+Y100+Y101+Y102+Y103+Y104+Y105</f>
        <v>0</v>
      </c>
      <c r="Z106" s="42">
        <f t="array" ref="Z106">Z98+Z99+Z100+Z101+Z102+Z103+Z104+Z105</f>
        <v>0</v>
      </c>
      <c r="AA106" s="43">
        <f t="array" ref="AA106">AA98+AA99+AA100+AA101+AA102+AA103+AA104+AA105</f>
        <v>0</v>
      </c>
      <c r="AB106" s="89">
        <f t="array" ref="AB106">AB98+AB99+AB100+AB101+AB102+AB103+AB104+AB105</f>
        <v>0</v>
      </c>
      <c r="AC106" s="44">
        <f t="array" ref="AC106">AC98+AC99+AC100+AC101+AC102+AC103+AC104+AC105</f>
        <v>0</v>
      </c>
      <c r="AE106" s="88" t="s">
        <v>57</v>
      </c>
      <c r="AF106" s="41">
        <f t="array" ref="AF106">AF98+AF99+AF100+AF101+AF102+AF103+AF104+AF105</f>
        <v>0</v>
      </c>
      <c r="AG106" s="42">
        <f t="array" ref="AG106">AG98+AG99+AG100+AG101+AG102+AG103+AG104+AG105</f>
        <v>0</v>
      </c>
      <c r="AH106" s="43">
        <f t="array" ref="AH106">AH98+AH99+AH100+AH101+AH102+AH103+AH104+AH105</f>
        <v>0</v>
      </c>
      <c r="AI106" s="89">
        <f t="array" ref="AI106">AI98+AI99+AI100+AI101+AI102+AI103+AI104+AI105</f>
        <v>0</v>
      </c>
      <c r="AJ106" s="44">
        <f t="array" ref="AJ106">AJ98+AJ99+AJ100+AJ101+AJ102+AJ103+AJ104+AJ105</f>
        <v>0</v>
      </c>
    </row>
    <row r="107">
      <c r="A107" s="55"/>
      <c r="B107" s="55"/>
      <c r="C107" s="90" t="s">
        <v>58</v>
      </c>
      <c r="D107" s="91">
        <f t="shared" ref="D107:H107" si="148">D106/6</f>
        <v>0</v>
      </c>
      <c r="E107" s="92">
        <f t="shared" si="148"/>
        <v>0</v>
      </c>
      <c r="F107" s="93">
        <f t="shared" si="148"/>
        <v>0</v>
      </c>
      <c r="G107" s="89">
        <f t="shared" si="148"/>
        <v>0</v>
      </c>
      <c r="H107" s="94">
        <f t="shared" si="148"/>
        <v>0</v>
      </c>
      <c r="I107" s="55"/>
      <c r="J107" s="90" t="s">
        <v>58</v>
      </c>
      <c r="K107" s="91">
        <f t="shared" ref="K107:O107" si="149">K106/6</f>
        <v>0</v>
      </c>
      <c r="L107" s="92">
        <f t="shared" si="149"/>
        <v>0</v>
      </c>
      <c r="M107" s="93">
        <f t="shared" si="149"/>
        <v>0</v>
      </c>
      <c r="N107" s="89">
        <f t="shared" si="149"/>
        <v>0</v>
      </c>
      <c r="O107" s="94">
        <f t="shared" si="149"/>
        <v>0</v>
      </c>
      <c r="P107" s="55"/>
      <c r="Q107" s="90" t="s">
        <v>58</v>
      </c>
      <c r="R107" s="91">
        <f t="shared" ref="R107:V107" si="150">R106/6</f>
        <v>0</v>
      </c>
      <c r="S107" s="92">
        <f t="shared" si="150"/>
        <v>0</v>
      </c>
      <c r="T107" s="93">
        <f t="shared" si="150"/>
        <v>0</v>
      </c>
      <c r="U107" s="89">
        <f t="shared" si="150"/>
        <v>0</v>
      </c>
      <c r="V107" s="94">
        <f t="shared" si="150"/>
        <v>0</v>
      </c>
      <c r="W107" s="55"/>
      <c r="X107" s="90" t="s">
        <v>58</v>
      </c>
      <c r="Y107" s="91">
        <f t="shared" ref="Y107:AC107" si="151">Y106/6</f>
        <v>0</v>
      </c>
      <c r="Z107" s="92">
        <f t="shared" si="151"/>
        <v>0</v>
      </c>
      <c r="AA107" s="93">
        <f t="shared" si="151"/>
        <v>0</v>
      </c>
      <c r="AB107" s="89">
        <f t="shared" si="151"/>
        <v>0</v>
      </c>
      <c r="AC107" s="94">
        <f t="shared" si="151"/>
        <v>0</v>
      </c>
      <c r="AD107" s="55"/>
      <c r="AE107" s="90" t="s">
        <v>58</v>
      </c>
      <c r="AF107" s="91">
        <f t="shared" ref="AF107:AJ107" si="152">AF106/6</f>
        <v>0</v>
      </c>
      <c r="AG107" s="92">
        <f t="shared" si="152"/>
        <v>0</v>
      </c>
      <c r="AH107" s="93">
        <f t="shared" si="152"/>
        <v>0</v>
      </c>
      <c r="AI107" s="89">
        <f t="shared" si="152"/>
        <v>0</v>
      </c>
      <c r="AJ107" s="94">
        <f t="shared" si="152"/>
        <v>0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L124" s="96">
        <v>45808.0</v>
      </c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V126" s="55"/>
      <c r="AC126" s="55"/>
      <c r="AJ126" s="55"/>
    </row>
    <row r="127">
      <c r="C127" s="9" t="s">
        <v>10</v>
      </c>
      <c r="D127" s="100">
        <f t="shared" ref="D127:H127" si="153">D98+K98+R98+Y98+AF98</f>
        <v>0</v>
      </c>
      <c r="E127" s="101">
        <f t="shared" si="153"/>
        <v>0</v>
      </c>
      <c r="F127" s="102">
        <f t="shared" si="153"/>
        <v>0</v>
      </c>
      <c r="G127" s="86">
        <f t="shared" si="153"/>
        <v>0</v>
      </c>
      <c r="H127" s="103">
        <f t="shared" si="153"/>
        <v>0</v>
      </c>
      <c r="I127" s="104" t="s">
        <v>71</v>
      </c>
      <c r="J127" s="105">
        <f t="shared" ref="J127:J134" si="155">D98+K98+R98+Y98+AF98</f>
        <v>0</v>
      </c>
      <c r="K127" s="105"/>
      <c r="L127" s="106"/>
      <c r="M127" s="107">
        <f t="shared" ref="M127:M134" si="156">J127/26</f>
        <v>0</v>
      </c>
      <c r="N127" s="107">
        <f t="shared" ref="N127:N134" si="157">(M127*0)+J127</f>
        <v>0</v>
      </c>
      <c r="O127" s="55"/>
      <c r="V127" s="55"/>
      <c r="AC127" s="55"/>
      <c r="AJ127" s="55"/>
    </row>
    <row r="128">
      <c r="C128" s="9" t="s">
        <v>12</v>
      </c>
      <c r="D128" s="100">
        <f t="shared" ref="D128:H128" si="154">D99+K99+R99+Y99+AF99</f>
        <v>0</v>
      </c>
      <c r="E128" s="101">
        <f t="shared" si="154"/>
        <v>0</v>
      </c>
      <c r="F128" s="102">
        <f t="shared" si="154"/>
        <v>0</v>
      </c>
      <c r="G128" s="86">
        <f t="shared" si="154"/>
        <v>0</v>
      </c>
      <c r="H128" s="103">
        <f t="shared" si="154"/>
        <v>0</v>
      </c>
      <c r="I128" s="104" t="s">
        <v>72</v>
      </c>
      <c r="J128" s="105">
        <f t="shared" si="155"/>
        <v>0</v>
      </c>
      <c r="K128" s="105"/>
      <c r="L128" s="9"/>
      <c r="M128" s="107">
        <f t="shared" si="156"/>
        <v>0</v>
      </c>
      <c r="N128" s="107">
        <f t="shared" si="157"/>
        <v>0</v>
      </c>
      <c r="O128" s="55"/>
      <c r="V128" s="55"/>
      <c r="AC128" s="55"/>
      <c r="AJ128" s="55"/>
    </row>
    <row r="129">
      <c r="C129" s="9" t="s">
        <v>14</v>
      </c>
      <c r="D129" s="100">
        <f t="shared" ref="D129:H129" si="158">D100+K100+R100+Y100+AF100</f>
        <v>0</v>
      </c>
      <c r="E129" s="101">
        <f t="shared" si="158"/>
        <v>0</v>
      </c>
      <c r="F129" s="102">
        <f t="shared" si="158"/>
        <v>0</v>
      </c>
      <c r="G129" s="86">
        <f t="shared" si="158"/>
        <v>0</v>
      </c>
      <c r="H129" s="103">
        <f t="shared" si="158"/>
        <v>0</v>
      </c>
      <c r="I129" s="104" t="s">
        <v>73</v>
      </c>
      <c r="J129" s="105">
        <f t="shared" si="155"/>
        <v>0</v>
      </c>
      <c r="K129" s="105"/>
      <c r="L129" s="9"/>
      <c r="M129" s="107">
        <f t="shared" si="156"/>
        <v>0</v>
      </c>
      <c r="N129" s="107">
        <f t="shared" si="157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59">D101+K101+R101+Y101+AF101</f>
        <v>0</v>
      </c>
      <c r="E130" s="101">
        <f t="shared" si="159"/>
        <v>0</v>
      </c>
      <c r="F130" s="102">
        <f t="shared" si="159"/>
        <v>0</v>
      </c>
      <c r="G130" s="86">
        <f t="shared" si="159"/>
        <v>0</v>
      </c>
      <c r="H130" s="103">
        <f t="shared" si="159"/>
        <v>0</v>
      </c>
      <c r="I130" s="104" t="s">
        <v>74</v>
      </c>
      <c r="J130" s="105">
        <f t="shared" si="155"/>
        <v>0</v>
      </c>
      <c r="K130" s="105"/>
      <c r="L130" s="106"/>
      <c r="M130" s="107">
        <f t="shared" si="156"/>
        <v>0</v>
      </c>
      <c r="N130" s="107">
        <f t="shared" si="157"/>
        <v>0</v>
      </c>
      <c r="O130" s="55"/>
      <c r="V130" s="55"/>
      <c r="AC130" s="55"/>
      <c r="AJ130" s="55"/>
    </row>
    <row r="131">
      <c r="C131" s="9" t="s">
        <v>17</v>
      </c>
      <c r="D131" s="100">
        <f t="shared" ref="D131:H131" si="160">D102+K102+R102+Y102+AF102</f>
        <v>0</v>
      </c>
      <c r="E131" s="101">
        <f t="shared" si="160"/>
        <v>0</v>
      </c>
      <c r="F131" s="102">
        <f t="shared" si="160"/>
        <v>0</v>
      </c>
      <c r="G131" s="86">
        <f t="shared" si="160"/>
        <v>0</v>
      </c>
      <c r="H131" s="103">
        <f t="shared" si="160"/>
        <v>0</v>
      </c>
      <c r="I131" s="104" t="s">
        <v>75</v>
      </c>
      <c r="J131" s="105">
        <f t="shared" si="155"/>
        <v>0</v>
      </c>
      <c r="K131" s="105"/>
      <c r="L131" s="9"/>
      <c r="M131" s="107">
        <f t="shared" si="156"/>
        <v>0</v>
      </c>
      <c r="N131" s="107">
        <f t="shared" si="157"/>
        <v>0</v>
      </c>
      <c r="O131" s="55"/>
      <c r="V131" s="55"/>
      <c r="AC131" s="55"/>
      <c r="AJ131" s="55"/>
    </row>
    <row r="132">
      <c r="C132" s="9" t="s">
        <v>18</v>
      </c>
      <c r="D132" s="13">
        <f t="shared" ref="D132:H132" si="161">D103+K103+R103+Y103+AF103</f>
        <v>0</v>
      </c>
      <c r="E132" s="21">
        <f t="shared" si="161"/>
        <v>0</v>
      </c>
      <c r="F132" s="17">
        <f t="shared" si="161"/>
        <v>0</v>
      </c>
      <c r="G132" s="16">
        <f t="shared" si="161"/>
        <v>0</v>
      </c>
      <c r="H132" s="109">
        <f t="shared" si="161"/>
        <v>0</v>
      </c>
      <c r="I132" s="104" t="s">
        <v>76</v>
      </c>
      <c r="J132" s="105">
        <f t="shared" si="155"/>
        <v>0</v>
      </c>
      <c r="K132" s="105"/>
      <c r="L132" s="9"/>
      <c r="M132" s="107">
        <f t="shared" si="156"/>
        <v>0</v>
      </c>
      <c r="N132" s="107">
        <f t="shared" si="157"/>
        <v>0</v>
      </c>
      <c r="O132" s="55"/>
      <c r="V132" s="55"/>
      <c r="AC132" s="55"/>
      <c r="AJ132" s="55"/>
    </row>
    <row r="133">
      <c r="C133" s="9" t="s">
        <v>19</v>
      </c>
      <c r="D133" s="100">
        <f t="shared" ref="D133:H133" si="162">D104+K104+R104+Y104+AF104</f>
        <v>0</v>
      </c>
      <c r="E133" s="101">
        <f t="shared" si="162"/>
        <v>0</v>
      </c>
      <c r="F133" s="102">
        <f t="shared" si="162"/>
        <v>0</v>
      </c>
      <c r="G133" s="86">
        <f t="shared" si="162"/>
        <v>0</v>
      </c>
      <c r="H133" s="103">
        <f t="shared" si="162"/>
        <v>0</v>
      </c>
      <c r="I133" s="104" t="s">
        <v>77</v>
      </c>
      <c r="J133" s="105">
        <f t="shared" si="155"/>
        <v>0</v>
      </c>
      <c r="K133" s="105"/>
      <c r="L133" s="106"/>
      <c r="M133" s="107">
        <f t="shared" si="156"/>
        <v>0</v>
      </c>
      <c r="N133" s="107">
        <f t="shared" si="157"/>
        <v>0</v>
      </c>
      <c r="O133" s="55"/>
      <c r="V133" s="55"/>
      <c r="AC133" s="55"/>
      <c r="AJ133" s="55"/>
    </row>
    <row r="134">
      <c r="C134" s="26" t="s">
        <v>22</v>
      </c>
      <c r="D134" s="100">
        <f t="shared" ref="D134:H134" si="163">D105+K105+R105+Y105+AF105</f>
        <v>0</v>
      </c>
      <c r="E134" s="101">
        <f t="shared" si="163"/>
        <v>0</v>
      </c>
      <c r="F134" s="102">
        <f t="shared" si="163"/>
        <v>0</v>
      </c>
      <c r="G134" s="86">
        <f t="shared" si="163"/>
        <v>0</v>
      </c>
      <c r="H134" s="103">
        <f t="shared" si="163"/>
        <v>0</v>
      </c>
      <c r="I134" s="104" t="s">
        <v>78</v>
      </c>
      <c r="J134" s="105">
        <f t="shared" si="155"/>
        <v>0</v>
      </c>
      <c r="K134" s="105"/>
      <c r="L134" s="106"/>
      <c r="M134" s="107">
        <f t="shared" si="156"/>
        <v>0</v>
      </c>
      <c r="N134" s="107">
        <f t="shared" si="157"/>
        <v>0</v>
      </c>
      <c r="O134" s="55"/>
      <c r="V134" s="55"/>
      <c r="AC134" s="55"/>
      <c r="AJ134" s="55"/>
    </row>
    <row r="135">
      <c r="C135" s="78"/>
      <c r="I135" s="104" t="s">
        <v>79</v>
      </c>
      <c r="J135" s="105"/>
      <c r="K135" s="105"/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/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/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/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0</v>
      </c>
      <c r="K139" s="112">
        <f>SUM(K127+K128+K129+K130+K131+K132+K133+K134+K135+K136+K137+K138)</f>
        <v>0</v>
      </c>
      <c r="L139" s="113"/>
      <c r="M139" s="112">
        <f t="shared" ref="M139:N139" si="164">SUM(M127+M128+M129+M130+M131+M132+M133+M134)</f>
        <v>0</v>
      </c>
      <c r="N139" s="112">
        <f t="shared" si="164"/>
        <v>0</v>
      </c>
      <c r="O139" s="55"/>
      <c r="V139" s="55"/>
      <c r="AC139" s="55"/>
      <c r="AJ139" s="55"/>
    </row>
    <row r="140">
      <c r="O140" s="55"/>
      <c r="V140" s="55"/>
      <c r="AC140" s="55"/>
      <c r="AJ140" s="55"/>
    </row>
    <row r="141">
      <c r="O141" s="55"/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0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0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0</v>
      </c>
      <c r="E144" s="47"/>
      <c r="F144" s="47"/>
      <c r="G144" s="47"/>
      <c r="H144" s="48"/>
      <c r="L144" s="97" t="s">
        <v>87</v>
      </c>
      <c r="M144" s="114">
        <f>J139+(M139*0)</f>
        <v>0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0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0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0</v>
      </c>
      <c r="E147" s="47"/>
      <c r="F147" s="47"/>
      <c r="G147" s="47"/>
      <c r="H147" s="48"/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0</v>
      </c>
      <c r="E148" s="47"/>
      <c r="F148" s="47"/>
      <c r="G148" s="47"/>
      <c r="H148" s="48"/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0</v>
      </c>
      <c r="E151" s="47"/>
      <c r="F151" s="47"/>
      <c r="G151" s="47"/>
      <c r="H151" s="48"/>
      <c r="O151" s="55"/>
      <c r="V151" s="55"/>
      <c r="AC151" s="55"/>
      <c r="AJ151" s="55"/>
    </row>
    <row r="152"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0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0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0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D143:G143/26</f>
        <v>0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29"/>
      <c r="Q203" s="9" t="s">
        <v>10</v>
      </c>
      <c r="R203" s="120"/>
      <c r="S203" s="49"/>
      <c r="T203" s="49"/>
      <c r="U203" s="49"/>
      <c r="V203" s="51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9">
        <v>202.0</v>
      </c>
      <c r="R204" s="122"/>
      <c r="S204" s="49"/>
      <c r="T204" s="49"/>
      <c r="U204" s="49"/>
      <c r="V204" s="51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9">
        <v>213.0</v>
      </c>
      <c r="R205" s="122"/>
      <c r="S205" s="49"/>
      <c r="T205" s="49"/>
      <c r="U205" s="49"/>
      <c r="V205" s="51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9">
        <v>307.0</v>
      </c>
      <c r="R206" s="122"/>
      <c r="S206" s="49"/>
      <c r="T206" s="49"/>
      <c r="U206" s="49"/>
      <c r="V206" s="51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9">
        <v>313.0</v>
      </c>
      <c r="R207" s="122"/>
      <c r="S207" s="49"/>
      <c r="T207" s="49"/>
      <c r="U207" s="49"/>
      <c r="V207" s="51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9" t="s">
        <v>19</v>
      </c>
      <c r="R208" s="122"/>
      <c r="S208" s="49"/>
      <c r="T208" s="49"/>
      <c r="U208" s="49"/>
      <c r="V208" s="51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9" t="s">
        <v>22</v>
      </c>
      <c r="R209" s="123"/>
      <c r="S209" s="48"/>
      <c r="T209" s="120"/>
      <c r="U209" s="49"/>
      <c r="V209" s="51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0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0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4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R209:S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1" t="s">
        <v>1</v>
      </c>
      <c r="Y1" s="307" t="s">
        <v>7</v>
      </c>
      <c r="Z1" s="1" t="s">
        <v>3</v>
      </c>
      <c r="AA1" s="1" t="s">
        <v>4</v>
      </c>
      <c r="AB1" s="1" t="s">
        <v>5</v>
      </c>
      <c r="AC1" s="308" t="s">
        <v>6</v>
      </c>
      <c r="AD1" s="2" t="s">
        <v>0</v>
      </c>
      <c r="AE1" s="2" t="s">
        <v>1</v>
      </c>
      <c r="AF1" s="4" t="s">
        <v>7</v>
      </c>
      <c r="AG1" s="2" t="s">
        <v>3</v>
      </c>
      <c r="AH1" s="2" t="s">
        <v>4</v>
      </c>
      <c r="AI1" s="2" t="s">
        <v>5</v>
      </c>
      <c r="AJ1" s="5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>
        <v>45810.0</v>
      </c>
      <c r="C2" s="9" t="s">
        <v>10</v>
      </c>
      <c r="D2" s="10"/>
      <c r="E2" s="10"/>
      <c r="F2" s="10"/>
      <c r="G2" s="10"/>
      <c r="H2" s="11"/>
      <c r="I2" s="12">
        <v>45817.0</v>
      </c>
      <c r="J2" s="9" t="s">
        <v>10</v>
      </c>
      <c r="K2" s="10"/>
      <c r="L2" s="10"/>
      <c r="M2" s="10"/>
      <c r="N2" s="10"/>
      <c r="O2" s="11"/>
      <c r="P2" s="12">
        <v>45824.0</v>
      </c>
      <c r="Q2" s="9" t="s">
        <v>10</v>
      </c>
      <c r="R2" s="10"/>
      <c r="S2" s="10"/>
      <c r="T2" s="10"/>
      <c r="U2" s="10"/>
      <c r="V2" s="11"/>
      <c r="W2" s="8">
        <v>45831.0</v>
      </c>
      <c r="X2" s="9" t="s">
        <v>10</v>
      </c>
      <c r="Y2" s="10"/>
      <c r="Z2" s="10"/>
      <c r="AA2" s="10"/>
      <c r="AB2" s="10"/>
      <c r="AC2" s="11"/>
      <c r="AD2" s="8">
        <v>45838.0</v>
      </c>
      <c r="AE2" s="9" t="s">
        <v>10</v>
      </c>
      <c r="AF2" s="10"/>
      <c r="AG2" s="10"/>
      <c r="AH2" s="10"/>
      <c r="AI2" s="10"/>
      <c r="AJ2" s="11"/>
      <c r="AL2" s="18" t="s">
        <v>11</v>
      </c>
      <c r="AM2" s="9" t="s">
        <v>10</v>
      </c>
      <c r="AN2" s="10">
        <f t="shared" ref="AN2:AP2" si="1">D2+K2+R2+Y2+AF2</f>
        <v>0</v>
      </c>
      <c r="AO2" s="10">
        <f t="shared" si="1"/>
        <v>0</v>
      </c>
      <c r="AP2" s="10">
        <f t="shared" si="1"/>
        <v>0</v>
      </c>
      <c r="AQ2" s="11">
        <f t="shared" ref="AQ2:AQ9" si="3">H2+O2+V2+AC2+AJ2</f>
        <v>0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9" t="s">
        <v>12</v>
      </c>
      <c r="K3" s="10"/>
      <c r="L3" s="10"/>
      <c r="M3" s="10"/>
      <c r="N3" s="10"/>
      <c r="O3" s="11"/>
      <c r="P3" s="19"/>
      <c r="Q3" s="9" t="s">
        <v>12</v>
      </c>
      <c r="R3" s="10"/>
      <c r="S3" s="10"/>
      <c r="T3" s="10"/>
      <c r="U3" s="10"/>
      <c r="V3" s="11"/>
      <c r="W3" s="19"/>
      <c r="X3" s="9" t="s">
        <v>12</v>
      </c>
      <c r="Y3" s="10"/>
      <c r="Z3" s="10"/>
      <c r="AA3" s="10"/>
      <c r="AB3" s="10"/>
      <c r="AC3" s="11"/>
      <c r="AD3" s="19"/>
      <c r="AE3" s="9" t="s">
        <v>12</v>
      </c>
      <c r="AF3" s="10"/>
      <c r="AG3" s="10"/>
      <c r="AH3" s="10"/>
      <c r="AI3" s="10"/>
      <c r="AJ3" s="11"/>
      <c r="AL3" s="19"/>
      <c r="AM3" s="9" t="s">
        <v>12</v>
      </c>
      <c r="AN3" s="10">
        <f t="shared" ref="AN3:AP3" si="2">D3+K3+R3+Y3+AF3</f>
        <v>0</v>
      </c>
      <c r="AO3" s="10">
        <f t="shared" si="2"/>
        <v>0</v>
      </c>
      <c r="AP3" s="10">
        <f t="shared" si="2"/>
        <v>0</v>
      </c>
      <c r="AQ3" s="11">
        <f t="shared" si="3"/>
        <v>0</v>
      </c>
    </row>
    <row r="4">
      <c r="B4" s="19"/>
      <c r="C4" s="9" t="s">
        <v>14</v>
      </c>
      <c r="D4" s="10"/>
      <c r="E4" s="10"/>
      <c r="F4" s="10"/>
      <c r="G4" s="10"/>
      <c r="H4" s="11"/>
      <c r="I4" s="19"/>
      <c r="J4" s="290" t="s">
        <v>14</v>
      </c>
      <c r="K4" s="291"/>
      <c r="L4" s="10"/>
      <c r="M4" s="10"/>
      <c r="N4" s="10"/>
      <c r="O4" s="11"/>
      <c r="P4" s="19"/>
      <c r="Q4" s="290" t="s">
        <v>14</v>
      </c>
      <c r="R4" s="291"/>
      <c r="S4" s="10"/>
      <c r="T4" s="10"/>
      <c r="U4" s="10"/>
      <c r="V4" s="11"/>
      <c r="W4" s="19"/>
      <c r="X4" s="9" t="s">
        <v>14</v>
      </c>
      <c r="Y4" s="10"/>
      <c r="Z4" s="10"/>
      <c r="AA4" s="10"/>
      <c r="AB4" s="10"/>
      <c r="AC4" s="11"/>
      <c r="AD4" s="19"/>
      <c r="AE4" s="9" t="s">
        <v>14</v>
      </c>
      <c r="AF4" s="10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10"/>
      <c r="H5" s="11"/>
      <c r="I5" s="19"/>
      <c r="J5" s="9" t="s">
        <v>16</v>
      </c>
      <c r="K5" s="10"/>
      <c r="L5" s="10"/>
      <c r="M5" s="10"/>
      <c r="N5" s="10"/>
      <c r="O5" s="11"/>
      <c r="P5" s="19"/>
      <c r="Q5" s="9" t="s">
        <v>16</v>
      </c>
      <c r="R5" s="10"/>
      <c r="S5" s="10"/>
      <c r="T5" s="10"/>
      <c r="U5" s="10"/>
      <c r="V5" s="163"/>
      <c r="W5" s="19"/>
      <c r="X5" s="9" t="s">
        <v>16</v>
      </c>
      <c r="Y5" s="10"/>
      <c r="Z5" s="10"/>
      <c r="AA5" s="10"/>
      <c r="AB5" s="10"/>
      <c r="AC5" s="163"/>
      <c r="AD5" s="19"/>
      <c r="AE5" s="9" t="s">
        <v>16</v>
      </c>
      <c r="AF5" s="10"/>
      <c r="AG5" s="10"/>
      <c r="AH5" s="10"/>
      <c r="AI5" s="10"/>
      <c r="AJ5" s="11"/>
      <c r="AL5" s="19"/>
      <c r="AM5" s="9" t="s">
        <v>16</v>
      </c>
      <c r="AN5" s="10">
        <f t="shared" ref="AN5:AP5" si="5">D5+K5+R5+Y5+AF5</f>
        <v>0</v>
      </c>
      <c r="AO5" s="10">
        <f t="shared" si="5"/>
        <v>0</v>
      </c>
      <c r="AP5" s="10">
        <f t="shared" si="5"/>
        <v>0</v>
      </c>
      <c r="AQ5" s="11">
        <f t="shared" si="3"/>
        <v>0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10"/>
      <c r="L6" s="10"/>
      <c r="M6" s="10"/>
      <c r="N6" s="10"/>
      <c r="O6" s="11"/>
      <c r="P6" s="19"/>
      <c r="Q6" s="9" t="s">
        <v>17</v>
      </c>
      <c r="R6" s="10"/>
      <c r="S6" s="10"/>
      <c r="T6" s="10"/>
      <c r="U6" s="10"/>
      <c r="V6" s="11"/>
      <c r="W6" s="19"/>
      <c r="X6" s="9" t="s">
        <v>17</v>
      </c>
      <c r="Y6" s="10"/>
      <c r="Z6" s="10"/>
      <c r="AA6" s="10"/>
      <c r="AB6" s="10"/>
      <c r="AC6" s="11"/>
      <c r="AD6" s="19"/>
      <c r="AE6" s="9" t="s">
        <v>17</v>
      </c>
      <c r="AF6" s="10"/>
      <c r="AG6" s="10"/>
      <c r="AH6" s="10"/>
      <c r="AI6" s="10"/>
      <c r="AJ6" s="11"/>
      <c r="AL6" s="19"/>
      <c r="AM6" s="9" t="s">
        <v>17</v>
      </c>
      <c r="AN6" s="10">
        <f t="shared" ref="AN6:AP6" si="6">D6+K6+R6+Y6+AF6</f>
        <v>0</v>
      </c>
      <c r="AO6" s="10">
        <f t="shared" si="6"/>
        <v>0</v>
      </c>
      <c r="AP6" s="10">
        <f t="shared" si="6"/>
        <v>0</v>
      </c>
      <c r="AQ6" s="11">
        <f t="shared" si="3"/>
        <v>0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9" t="s">
        <v>18</v>
      </c>
      <c r="K7" s="10"/>
      <c r="L7" s="10"/>
      <c r="M7" s="10"/>
      <c r="N7" s="10"/>
      <c r="O7" s="11"/>
      <c r="P7" s="19"/>
      <c r="Q7" s="9" t="s">
        <v>18</v>
      </c>
      <c r="R7" s="10"/>
      <c r="S7" s="10"/>
      <c r="T7" s="10"/>
      <c r="U7" s="10"/>
      <c r="V7" s="11"/>
      <c r="W7" s="19"/>
      <c r="X7" s="9" t="s">
        <v>18</v>
      </c>
      <c r="Y7" s="10"/>
      <c r="Z7" s="10"/>
      <c r="AA7" s="10"/>
      <c r="AB7" s="10"/>
      <c r="AC7" s="11"/>
      <c r="AD7" s="19"/>
      <c r="AE7" s="9" t="s">
        <v>18</v>
      </c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0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9" t="s">
        <v>20</v>
      </c>
      <c r="K8" s="10"/>
      <c r="L8" s="10"/>
      <c r="M8" s="10"/>
      <c r="N8" s="10"/>
      <c r="O8" s="11"/>
      <c r="P8" s="19"/>
      <c r="Q8" s="9" t="s">
        <v>19</v>
      </c>
      <c r="R8" s="10"/>
      <c r="S8" s="10"/>
      <c r="T8" s="10"/>
      <c r="U8" s="10"/>
      <c r="V8" s="11"/>
      <c r="W8" s="19"/>
      <c r="X8" s="9" t="s">
        <v>19</v>
      </c>
      <c r="Y8" s="10"/>
      <c r="Z8" s="10"/>
      <c r="AA8" s="10"/>
      <c r="AB8" s="10"/>
      <c r="AC8" s="11"/>
      <c r="AD8" s="19"/>
      <c r="AE8" s="9" t="s">
        <v>19</v>
      </c>
      <c r="AF8" s="10"/>
      <c r="AG8" s="10"/>
      <c r="AH8" s="10"/>
      <c r="AI8" s="10"/>
      <c r="AJ8" s="11"/>
      <c r="AL8" s="19"/>
      <c r="AM8" s="9" t="s">
        <v>19</v>
      </c>
      <c r="AN8" s="10">
        <f t="shared" ref="AN8:AP8" si="8">D8+K8+R8+Y8+AF8</f>
        <v>0</v>
      </c>
      <c r="AO8" s="10">
        <f t="shared" si="8"/>
        <v>0</v>
      </c>
      <c r="AP8" s="10">
        <f t="shared" si="8"/>
        <v>0</v>
      </c>
      <c r="AQ8" s="11">
        <f t="shared" si="3"/>
        <v>0</v>
      </c>
    </row>
    <row r="9">
      <c r="B9" s="19"/>
      <c r="C9" s="26" t="s">
        <v>21</v>
      </c>
      <c r="D9" s="10"/>
      <c r="E9" s="10"/>
      <c r="F9" s="10"/>
      <c r="G9" s="10"/>
      <c r="H9" s="11"/>
      <c r="I9" s="19"/>
      <c r="J9" s="26" t="s">
        <v>22</v>
      </c>
      <c r="K9" s="10"/>
      <c r="L9" s="10"/>
      <c r="M9" s="10"/>
      <c r="N9" s="10"/>
      <c r="O9" s="11"/>
      <c r="P9" s="19"/>
      <c r="Q9" s="26" t="s">
        <v>21</v>
      </c>
      <c r="R9" s="10"/>
      <c r="S9" s="10"/>
      <c r="T9" s="10"/>
      <c r="U9" s="10"/>
      <c r="V9" s="11"/>
      <c r="W9" s="19"/>
      <c r="X9" s="26" t="s">
        <v>21</v>
      </c>
      <c r="Y9" s="10"/>
      <c r="Z9" s="10"/>
      <c r="AA9" s="10"/>
      <c r="AB9" s="10"/>
      <c r="AC9" s="11"/>
      <c r="AD9" s="19"/>
      <c r="AE9" s="26" t="s">
        <v>21</v>
      </c>
      <c r="AF9" s="10"/>
      <c r="AG9" s="10"/>
      <c r="AH9" s="10"/>
      <c r="AI9" s="10"/>
      <c r="AJ9" s="11"/>
      <c r="AL9" s="19"/>
      <c r="AM9" s="26" t="s">
        <v>21</v>
      </c>
      <c r="AN9" s="10">
        <f t="shared" ref="AN9:AP9" si="9">D9+K9+R9+Y9+AF9</f>
        <v>0</v>
      </c>
      <c r="AO9" s="10">
        <f t="shared" si="9"/>
        <v>0</v>
      </c>
      <c r="AP9" s="10">
        <f t="shared" si="9"/>
        <v>0</v>
      </c>
      <c r="AQ9" s="11">
        <f t="shared" si="3"/>
        <v>0</v>
      </c>
    </row>
    <row r="10">
      <c r="B10" s="19"/>
      <c r="C10" s="28" t="s">
        <v>23</v>
      </c>
      <c r="D10" s="34">
        <f t="shared" ref="D10:H10" si="10">D2+D3+D4+D5+D6+D7+D8+D9</f>
        <v>0</v>
      </c>
      <c r="E10" s="40">
        <f t="shared" si="10"/>
        <v>0</v>
      </c>
      <c r="F10" s="39">
        <f t="shared" si="10"/>
        <v>0</v>
      </c>
      <c r="G10" s="37">
        <f t="shared" si="10"/>
        <v>0</v>
      </c>
      <c r="H10" s="33">
        <f t="shared" si="10"/>
        <v>0</v>
      </c>
      <c r="I10" s="19"/>
      <c r="J10" s="28" t="s">
        <v>23</v>
      </c>
      <c r="K10" s="61">
        <f t="shared" ref="K10:O10" si="11">K2+K3+K4+K5+K6+K7+K8+K9</f>
        <v>0</v>
      </c>
      <c r="L10" s="30">
        <f t="shared" si="11"/>
        <v>0</v>
      </c>
      <c r="M10" s="31">
        <f t="shared" si="11"/>
        <v>0</v>
      </c>
      <c r="N10" s="40">
        <f t="shared" si="11"/>
        <v>0</v>
      </c>
      <c r="O10" s="294">
        <f t="shared" si="11"/>
        <v>0</v>
      </c>
      <c r="P10" s="19"/>
      <c r="Q10" s="28" t="s">
        <v>23</v>
      </c>
      <c r="R10" s="29">
        <f t="shared" ref="R10:V10" si="12">R2+R3+R4+R5+R6+R7+R8+R9</f>
        <v>0</v>
      </c>
      <c r="S10" s="30">
        <f t="shared" si="12"/>
        <v>0</v>
      </c>
      <c r="T10" s="31">
        <f t="shared" si="12"/>
        <v>0</v>
      </c>
      <c r="U10" s="40">
        <f t="shared" si="12"/>
        <v>0</v>
      </c>
      <c r="V10" s="33">
        <f t="shared" si="12"/>
        <v>0</v>
      </c>
      <c r="W10" s="19"/>
      <c r="X10" s="28" t="s">
        <v>23</v>
      </c>
      <c r="Y10" s="61">
        <f t="shared" ref="Y10:AC10" si="13">Y2+Y3+Y4+Y5+Y6+Y7+Y8+Y9</f>
        <v>0</v>
      </c>
      <c r="Z10" s="30">
        <f t="shared" si="13"/>
        <v>0</v>
      </c>
      <c r="AA10" s="36">
        <f t="shared" si="13"/>
        <v>0</v>
      </c>
      <c r="AB10" s="37">
        <f t="shared" si="13"/>
        <v>0</v>
      </c>
      <c r="AC10" s="33">
        <f t="shared" si="13"/>
        <v>0</v>
      </c>
      <c r="AD10" s="19"/>
      <c r="AE10" s="28" t="s">
        <v>23</v>
      </c>
      <c r="AF10" s="34">
        <f t="shared" ref="AF10:AJ10" si="14">AF2+AF3+AF4+AF5+AF6+AF7+AF8+AF9</f>
        <v>0</v>
      </c>
      <c r="AG10" s="40">
        <f t="shared" si="14"/>
        <v>0</v>
      </c>
      <c r="AH10" s="36">
        <f t="shared" si="14"/>
        <v>0</v>
      </c>
      <c r="AI10" s="37">
        <f t="shared" si="14"/>
        <v>0</v>
      </c>
      <c r="AJ10" s="33">
        <f t="shared" si="14"/>
        <v>0</v>
      </c>
      <c r="AL10" s="19"/>
      <c r="AM10" s="28" t="s">
        <v>23</v>
      </c>
      <c r="AN10" s="41">
        <f t="shared" ref="AN10:AQ10" si="15">AN2+AN3+AN4+AN5+AN6+AN7+AN8+AN9</f>
        <v>0</v>
      </c>
      <c r="AO10" s="42">
        <f t="shared" si="15"/>
        <v>0</v>
      </c>
      <c r="AP10" s="43">
        <f t="shared" si="15"/>
        <v>0</v>
      </c>
      <c r="AQ10" s="44">
        <f t="shared" si="15"/>
        <v>0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0</v>
      </c>
      <c r="L11" s="47"/>
      <c r="M11" s="48"/>
      <c r="N11" s="51"/>
      <c r="O11" s="52"/>
      <c r="P11" s="19"/>
      <c r="Q11" s="45" t="s">
        <v>24</v>
      </c>
      <c r="R11" s="50">
        <f>R10-S10</f>
        <v>0</v>
      </c>
      <c r="S11" s="47"/>
      <c r="T11" s="48"/>
      <c r="U11" s="51"/>
      <c r="V11" s="52"/>
      <c r="W11" s="19"/>
      <c r="X11" s="45" t="s">
        <v>24</v>
      </c>
      <c r="Y11" s="50">
        <f>Y10-Z10</f>
        <v>0</v>
      </c>
      <c r="Z11" s="47"/>
      <c r="AA11" s="48"/>
      <c r="AB11" s="51"/>
      <c r="AC11" s="52"/>
      <c r="AD11" s="19"/>
      <c r="AE11" s="45" t="s">
        <v>24</v>
      </c>
      <c r="AF11" s="50">
        <f>AF10-AG10</f>
        <v>0</v>
      </c>
      <c r="AG11" s="47"/>
      <c r="AH11" s="48"/>
      <c r="AI11" s="51"/>
      <c r="AJ11" s="52"/>
      <c r="AL11" s="53"/>
      <c r="AM11" s="45" t="s">
        <v>25</v>
      </c>
      <c r="AN11" s="50">
        <f>AN10-AO10</f>
        <v>0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0</v>
      </c>
      <c r="L12" s="47"/>
      <c r="M12" s="48"/>
      <c r="N12" s="51"/>
      <c r="O12" s="52"/>
      <c r="P12" s="53"/>
      <c r="Q12" s="56" t="s">
        <v>26</v>
      </c>
      <c r="R12" s="57">
        <f>T10-S10</f>
        <v>0</v>
      </c>
      <c r="S12" s="47"/>
      <c r="T12" s="48"/>
      <c r="U12" s="51"/>
      <c r="V12" s="52"/>
      <c r="W12" s="53"/>
      <c r="X12" s="56" t="s">
        <v>26</v>
      </c>
      <c r="Y12" s="57">
        <f>AA10-Z10</f>
        <v>0</v>
      </c>
      <c r="Z12" s="47"/>
      <c r="AA12" s="48"/>
      <c r="AB12" s="51"/>
      <c r="AC12" s="52"/>
      <c r="AD12" s="53"/>
      <c r="AE12" s="56" t="s">
        <v>26</v>
      </c>
      <c r="AF12" s="57">
        <f>AH10-AG10</f>
        <v>0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1" t="s">
        <v>1</v>
      </c>
      <c r="Y13" s="307" t="s">
        <v>7</v>
      </c>
      <c r="Z13" s="1" t="s">
        <v>3</v>
      </c>
      <c r="AA13" s="1" t="s">
        <v>4</v>
      </c>
      <c r="AB13" s="1" t="s">
        <v>5</v>
      </c>
      <c r="AC13" s="308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>
        <v>45811.0</v>
      </c>
      <c r="C14" s="9" t="s">
        <v>10</v>
      </c>
      <c r="D14" s="10"/>
      <c r="E14" s="10"/>
      <c r="F14" s="10"/>
      <c r="G14" s="10"/>
      <c r="H14" s="11"/>
      <c r="I14" s="12">
        <v>45818.0</v>
      </c>
      <c r="J14" s="9" t="s">
        <v>10</v>
      </c>
      <c r="K14" s="10"/>
      <c r="L14" s="10"/>
      <c r="M14" s="10"/>
      <c r="N14" s="10"/>
      <c r="O14" s="11"/>
      <c r="P14" s="8">
        <v>45825.0</v>
      </c>
      <c r="Q14" s="9" t="s">
        <v>10</v>
      </c>
      <c r="R14" s="10"/>
      <c r="S14" s="10"/>
      <c r="T14" s="10"/>
      <c r="U14" s="10"/>
      <c r="V14" s="11"/>
      <c r="W14" s="8">
        <v>45832.0</v>
      </c>
      <c r="X14" s="9" t="s">
        <v>10</v>
      </c>
      <c r="Y14" s="10"/>
      <c r="Z14" s="10"/>
      <c r="AA14" s="10"/>
      <c r="AB14" s="10"/>
      <c r="AC14" s="11"/>
      <c r="AD14" s="8"/>
      <c r="AE14" s="9" t="s">
        <v>10</v>
      </c>
      <c r="AF14" s="10"/>
      <c r="AG14" s="10"/>
      <c r="AH14" s="10"/>
      <c r="AI14" s="10"/>
      <c r="AJ14" s="11"/>
      <c r="AL14" s="18" t="s">
        <v>28</v>
      </c>
      <c r="AM14" s="9" t="s">
        <v>10</v>
      </c>
      <c r="AN14" s="10">
        <f t="shared" ref="AN14:AP14" si="16">D14+K14+R14+Y14+AF14</f>
        <v>0</v>
      </c>
      <c r="AO14" s="10">
        <f t="shared" si="16"/>
        <v>0</v>
      </c>
      <c r="AP14" s="10">
        <f t="shared" si="16"/>
        <v>0</v>
      </c>
      <c r="AQ14" s="11">
        <f t="shared" ref="AQ14:AQ21" si="18">H14+O14+V14+AC14+AJ14</f>
        <v>0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9" t="s">
        <v>12</v>
      </c>
      <c r="K15" s="10"/>
      <c r="L15" s="10"/>
      <c r="M15" s="10"/>
      <c r="N15" s="10"/>
      <c r="O15" s="11"/>
      <c r="P15" s="19"/>
      <c r="Q15" s="9" t="s">
        <v>12</v>
      </c>
      <c r="R15" s="10"/>
      <c r="S15" s="10"/>
      <c r="T15" s="10"/>
      <c r="U15" s="10"/>
      <c r="V15" s="11"/>
      <c r="W15" s="19"/>
      <c r="X15" s="9" t="s">
        <v>12</v>
      </c>
      <c r="Y15" s="10"/>
      <c r="Z15" s="10"/>
      <c r="AA15" s="10"/>
      <c r="AB15" s="10"/>
      <c r="AC15" s="11"/>
      <c r="AD15" s="19"/>
      <c r="AE15" s="9" t="s">
        <v>12</v>
      </c>
      <c r="AF15" s="10"/>
      <c r="AG15" s="10"/>
      <c r="AH15" s="10"/>
      <c r="AI15" s="10"/>
      <c r="AJ15" s="11"/>
      <c r="AL15" s="19"/>
      <c r="AM15" s="9" t="s">
        <v>12</v>
      </c>
      <c r="AN15" s="10">
        <f t="shared" ref="AN15:AP15" si="17">D15+K15+R15+Y15+AF15</f>
        <v>0</v>
      </c>
      <c r="AO15" s="10">
        <f t="shared" si="17"/>
        <v>0</v>
      </c>
      <c r="AP15" s="10">
        <f t="shared" si="17"/>
        <v>0</v>
      </c>
      <c r="AQ15" s="11">
        <f t="shared" si="18"/>
        <v>0</v>
      </c>
    </row>
    <row r="16">
      <c r="A16" s="19"/>
      <c r="B16" s="19"/>
      <c r="C16" s="290" t="s">
        <v>14</v>
      </c>
      <c r="D16" s="291"/>
      <c r="E16" s="10"/>
      <c r="F16" s="10"/>
      <c r="G16" s="10"/>
      <c r="H16" s="11"/>
      <c r="I16" s="19"/>
      <c r="J16" s="290" t="s">
        <v>14</v>
      </c>
      <c r="K16" s="291"/>
      <c r="L16" s="10"/>
      <c r="M16" s="10"/>
      <c r="N16" s="10"/>
      <c r="O16" s="11"/>
      <c r="P16" s="19"/>
      <c r="Q16" s="9" t="s">
        <v>14</v>
      </c>
      <c r="R16" s="10"/>
      <c r="S16" s="10"/>
      <c r="T16" s="10"/>
      <c r="U16" s="10"/>
      <c r="V16" s="11"/>
      <c r="W16" s="19"/>
      <c r="X16" s="9" t="s">
        <v>14</v>
      </c>
      <c r="Y16" s="10"/>
      <c r="Z16" s="10"/>
      <c r="AA16" s="10"/>
      <c r="AB16" s="10"/>
      <c r="AC16" s="11"/>
      <c r="AD16" s="19"/>
      <c r="AE16" s="9" t="s">
        <v>14</v>
      </c>
      <c r="AF16" s="10"/>
      <c r="AG16" s="10"/>
      <c r="AH16" s="10"/>
      <c r="AI16" s="10"/>
      <c r="AJ16" s="11"/>
      <c r="AL16" s="19"/>
      <c r="AM16" s="9" t="s">
        <v>14</v>
      </c>
      <c r="AN16" s="10">
        <f t="shared" ref="AN16:AP16" si="19">D16+K16+R16+Y16+AF16</f>
        <v>0</v>
      </c>
      <c r="AO16" s="10">
        <f t="shared" si="19"/>
        <v>0</v>
      </c>
      <c r="AP16" s="10">
        <f t="shared" si="19"/>
        <v>0</v>
      </c>
      <c r="AQ16" s="11">
        <f t="shared" si="18"/>
        <v>0</v>
      </c>
    </row>
    <row r="17">
      <c r="A17" s="19"/>
      <c r="B17" s="19"/>
      <c r="C17" s="9" t="s">
        <v>16</v>
      </c>
      <c r="D17" s="10"/>
      <c r="E17" s="10"/>
      <c r="F17" s="10"/>
      <c r="G17" s="10"/>
      <c r="H17" s="11"/>
      <c r="I17" s="19"/>
      <c r="J17" s="9" t="s">
        <v>16</v>
      </c>
      <c r="K17" s="10"/>
      <c r="L17" s="10"/>
      <c r="M17" s="10"/>
      <c r="N17" s="10"/>
      <c r="O17" s="11"/>
      <c r="P17" s="19"/>
      <c r="Q17" s="9" t="s">
        <v>15</v>
      </c>
      <c r="R17" s="10"/>
      <c r="S17" s="10"/>
      <c r="T17" s="10"/>
      <c r="U17" s="10"/>
      <c r="V17" s="11"/>
      <c r="W17" s="19"/>
      <c r="X17" s="9" t="s">
        <v>16</v>
      </c>
      <c r="Y17" s="10"/>
      <c r="Z17" s="10"/>
      <c r="AA17" s="10"/>
      <c r="AB17" s="10"/>
      <c r="AC17" s="11"/>
      <c r="AD17" s="19"/>
      <c r="AE17" s="9" t="s">
        <v>16</v>
      </c>
      <c r="AF17" s="10"/>
      <c r="AG17" s="10"/>
      <c r="AH17" s="10"/>
      <c r="AI17" s="10"/>
      <c r="AJ17" s="11"/>
      <c r="AL17" s="19"/>
      <c r="AM17" s="9" t="s">
        <v>16</v>
      </c>
      <c r="AN17" s="10">
        <f t="shared" ref="AN17:AP17" si="20">D17+K17+R17+Y17+AF17</f>
        <v>0</v>
      </c>
      <c r="AO17" s="10">
        <f t="shared" si="20"/>
        <v>0</v>
      </c>
      <c r="AP17" s="10">
        <f t="shared" si="20"/>
        <v>0</v>
      </c>
      <c r="AQ17" s="11">
        <f t="shared" si="18"/>
        <v>0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9" t="s">
        <v>17</v>
      </c>
      <c r="K18" s="10"/>
      <c r="L18" s="10"/>
      <c r="M18" s="10"/>
      <c r="N18" s="10"/>
      <c r="O18" s="11"/>
      <c r="P18" s="19"/>
      <c r="Q18" s="9" t="s">
        <v>17</v>
      </c>
      <c r="R18" s="10"/>
      <c r="S18" s="10"/>
      <c r="T18" s="10"/>
      <c r="U18" s="10"/>
      <c r="V18" s="11"/>
      <c r="W18" s="19"/>
      <c r="X18" s="9" t="s">
        <v>17</v>
      </c>
      <c r="Y18" s="10"/>
      <c r="Z18" s="10"/>
      <c r="AA18" s="10"/>
      <c r="AB18" s="10"/>
      <c r="AC18" s="11"/>
      <c r="AD18" s="19"/>
      <c r="AE18" s="9" t="s">
        <v>17</v>
      </c>
      <c r="AF18" s="10"/>
      <c r="AG18" s="10"/>
      <c r="AH18" s="10"/>
      <c r="AI18" s="10"/>
      <c r="AJ18" s="11"/>
      <c r="AL18" s="19"/>
      <c r="AM18" s="9" t="s">
        <v>17</v>
      </c>
      <c r="AN18" s="10">
        <f t="shared" ref="AN18:AP18" si="21">D18+K18+R18+Y18+AF18</f>
        <v>0</v>
      </c>
      <c r="AO18" s="10">
        <f t="shared" si="21"/>
        <v>0</v>
      </c>
      <c r="AP18" s="10">
        <f t="shared" si="21"/>
        <v>0</v>
      </c>
      <c r="AQ18" s="11">
        <f t="shared" si="18"/>
        <v>0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9" t="s">
        <v>18</v>
      </c>
      <c r="K19" s="10"/>
      <c r="L19" s="10"/>
      <c r="M19" s="10"/>
      <c r="N19" s="10"/>
      <c r="O19" s="11"/>
      <c r="P19" s="19"/>
      <c r="Q19" s="9" t="s">
        <v>18</v>
      </c>
      <c r="R19" s="10"/>
      <c r="S19" s="10"/>
      <c r="T19" s="10"/>
      <c r="U19" s="10"/>
      <c r="V19" s="11"/>
      <c r="W19" s="19"/>
      <c r="X19" s="9" t="s">
        <v>18</v>
      </c>
      <c r="Y19" s="10"/>
      <c r="Z19" s="10"/>
      <c r="AA19" s="10"/>
      <c r="AB19" s="10"/>
      <c r="AC19" s="11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2">D19+K19+R19+Y19+AF19</f>
        <v>0</v>
      </c>
      <c r="AO19" s="10">
        <f t="shared" si="22"/>
        <v>0</v>
      </c>
      <c r="AP19" s="10">
        <f t="shared" si="22"/>
        <v>0</v>
      </c>
      <c r="AQ19" s="11">
        <f t="shared" si="18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0"/>
      <c r="L20" s="10"/>
      <c r="M20" s="10"/>
      <c r="N20" s="10"/>
      <c r="O20" s="11"/>
      <c r="P20" s="19"/>
      <c r="Q20" s="9" t="s">
        <v>19</v>
      </c>
      <c r="R20" s="10"/>
      <c r="S20" s="10"/>
      <c r="T20" s="10"/>
      <c r="U20" s="10"/>
      <c r="V20" s="11"/>
      <c r="W20" s="19"/>
      <c r="X20" s="9" t="s">
        <v>19</v>
      </c>
      <c r="Y20" s="10"/>
      <c r="Z20" s="10"/>
      <c r="AA20" s="10"/>
      <c r="AB20" s="10"/>
      <c r="AC20" s="11"/>
      <c r="AD20" s="19"/>
      <c r="AE20" s="9" t="s">
        <v>19</v>
      </c>
      <c r="AF20" s="10"/>
      <c r="AG20" s="10"/>
      <c r="AH20" s="10"/>
      <c r="AI20" s="10"/>
      <c r="AJ20" s="11"/>
      <c r="AL20" s="19"/>
      <c r="AM20" s="9" t="s">
        <v>19</v>
      </c>
      <c r="AN20" s="10">
        <f t="shared" ref="AN20:AP20" si="23">D20+K20+R20+Y20+AF20</f>
        <v>0</v>
      </c>
      <c r="AO20" s="10">
        <f t="shared" si="23"/>
        <v>0</v>
      </c>
      <c r="AP20" s="10">
        <f t="shared" si="23"/>
        <v>0</v>
      </c>
      <c r="AQ20" s="11">
        <f t="shared" si="18"/>
        <v>0</v>
      </c>
    </row>
    <row r="21">
      <c r="A21" s="19"/>
      <c r="B21" s="19"/>
      <c r="C21" s="26" t="s">
        <v>21</v>
      </c>
      <c r="D21" s="10"/>
      <c r="E21" s="10"/>
      <c r="F21" s="10"/>
      <c r="G21" s="10"/>
      <c r="H21" s="11"/>
      <c r="I21" s="19"/>
      <c r="J21" s="26" t="s">
        <v>22</v>
      </c>
      <c r="K21" s="10"/>
      <c r="L21" s="10"/>
      <c r="M21" s="10"/>
      <c r="N21" s="10"/>
      <c r="O21" s="11"/>
      <c r="P21" s="19"/>
      <c r="Q21" s="26" t="s">
        <v>21</v>
      </c>
      <c r="R21" s="10"/>
      <c r="S21" s="10"/>
      <c r="T21" s="10"/>
      <c r="U21" s="10"/>
      <c r="V21" s="11"/>
      <c r="W21" s="19"/>
      <c r="X21" s="26" t="s">
        <v>21</v>
      </c>
      <c r="Y21" s="10"/>
      <c r="Z21" s="10"/>
      <c r="AA21" s="10"/>
      <c r="AB21" s="10"/>
      <c r="AC21" s="11"/>
      <c r="AD21" s="19"/>
      <c r="AE21" s="26" t="s">
        <v>21</v>
      </c>
      <c r="AF21" s="10"/>
      <c r="AG21" s="10"/>
      <c r="AH21" s="10"/>
      <c r="AI21" s="10"/>
      <c r="AJ21" s="11"/>
      <c r="AL21" s="19"/>
      <c r="AM21" s="26" t="s">
        <v>21</v>
      </c>
      <c r="AN21" s="10">
        <f t="shared" ref="AN21:AP21" si="24">D21+K21+R21+Y21+AF21</f>
        <v>0</v>
      </c>
      <c r="AO21" s="10">
        <f t="shared" si="24"/>
        <v>0</v>
      </c>
      <c r="AP21" s="10">
        <f t="shared" si="24"/>
        <v>0</v>
      </c>
      <c r="AQ21" s="11">
        <f t="shared" si="18"/>
        <v>0</v>
      </c>
    </row>
    <row r="22">
      <c r="A22" s="19"/>
      <c r="B22" s="19"/>
      <c r="C22" s="28" t="s">
        <v>23</v>
      </c>
      <c r="D22" s="29">
        <f t="shared" ref="D22:H22" si="25">D14+D15+D16+D17+D18+D19+D20+D21</f>
        <v>0</v>
      </c>
      <c r="E22" s="35">
        <f t="shared" si="25"/>
        <v>0</v>
      </c>
      <c r="F22" s="31">
        <f t="shared" si="25"/>
        <v>0</v>
      </c>
      <c r="G22" s="37">
        <f t="shared" si="25"/>
        <v>0</v>
      </c>
      <c r="H22" s="33">
        <f t="shared" si="25"/>
        <v>0</v>
      </c>
      <c r="I22" s="19"/>
      <c r="J22" s="28" t="s">
        <v>23</v>
      </c>
      <c r="K22" s="61">
        <f t="shared" ref="K22:O22" si="26">K14+K15+K16+K17+K18+K19+K20+K21</f>
        <v>0</v>
      </c>
      <c r="L22" s="30">
        <f t="shared" si="26"/>
        <v>0</v>
      </c>
      <c r="M22" s="31">
        <f t="shared" si="26"/>
        <v>0</v>
      </c>
      <c r="N22" s="40">
        <f t="shared" si="26"/>
        <v>0</v>
      </c>
      <c r="O22" s="33">
        <f t="shared" si="26"/>
        <v>0</v>
      </c>
      <c r="P22" s="19"/>
      <c r="Q22" s="28" t="s">
        <v>23</v>
      </c>
      <c r="R22" s="29">
        <f t="shared" ref="R22:V22" si="27">R14+R15+R16+R17+R18+R19+R20+R21</f>
        <v>0</v>
      </c>
      <c r="S22" s="30">
        <f t="shared" si="27"/>
        <v>0</v>
      </c>
      <c r="T22" s="31">
        <f t="shared" si="27"/>
        <v>0</v>
      </c>
      <c r="U22" s="40">
        <f t="shared" si="27"/>
        <v>0</v>
      </c>
      <c r="V22" s="33">
        <f t="shared" si="27"/>
        <v>0</v>
      </c>
      <c r="W22" s="19"/>
      <c r="X22" s="28" t="s">
        <v>23</v>
      </c>
      <c r="Y22" s="34">
        <f t="shared" ref="Y22:AC22" si="28">Y14+Y15+Y16+Y17+Y18+Y19+Y20+Y21</f>
        <v>0</v>
      </c>
      <c r="Z22" s="40">
        <f t="shared" si="28"/>
        <v>0</v>
      </c>
      <c r="AA22" s="39">
        <f t="shared" si="28"/>
        <v>0</v>
      </c>
      <c r="AB22" s="37">
        <f t="shared" si="28"/>
        <v>0</v>
      </c>
      <c r="AC22" s="33">
        <f t="shared" si="28"/>
        <v>0</v>
      </c>
      <c r="AD22" s="19"/>
      <c r="AE22" s="28" t="s">
        <v>23</v>
      </c>
      <c r="AF22" s="61">
        <f t="shared" ref="AF22:AJ22" si="29">AF14+AF15+AF16+AF17+AF18+AF19+AF20+AF21</f>
        <v>0</v>
      </c>
      <c r="AG22" s="30">
        <f t="shared" si="29"/>
        <v>0</v>
      </c>
      <c r="AH22" s="31">
        <f t="shared" si="29"/>
        <v>0</v>
      </c>
      <c r="AI22" s="32">
        <f t="shared" si="29"/>
        <v>0</v>
      </c>
      <c r="AJ22" s="33">
        <f t="shared" si="29"/>
        <v>0</v>
      </c>
      <c r="AL22" s="19"/>
      <c r="AM22" s="28" t="s">
        <v>23</v>
      </c>
      <c r="AN22" s="41">
        <f t="shared" ref="AN22:AQ22" si="30">AN14+AN15+AN16+AN17+AN18+AN19+AN20+AN21</f>
        <v>0</v>
      </c>
      <c r="AO22" s="42">
        <f t="shared" si="30"/>
        <v>0</v>
      </c>
      <c r="AP22" s="43">
        <f t="shared" si="30"/>
        <v>0</v>
      </c>
      <c r="AQ22" s="44">
        <f t="shared" si="30"/>
        <v>0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0</v>
      </c>
      <c r="L23" s="47"/>
      <c r="M23" s="48"/>
      <c r="N23" s="51"/>
      <c r="O23" s="51"/>
      <c r="P23" s="19"/>
      <c r="Q23" s="45" t="s">
        <v>24</v>
      </c>
      <c r="R23" s="50">
        <f>R22-S22</f>
        <v>0</v>
      </c>
      <c r="S23" s="47"/>
      <c r="T23" s="48"/>
      <c r="U23" s="51"/>
      <c r="V23" s="51"/>
      <c r="W23" s="19"/>
      <c r="X23" s="45" t="s">
        <v>24</v>
      </c>
      <c r="Y23" s="50">
        <f>Y22-Z22</f>
        <v>0</v>
      </c>
      <c r="Z23" s="47"/>
      <c r="AA23" s="48"/>
      <c r="AB23" s="51"/>
      <c r="AC23" s="51"/>
      <c r="AD23" s="19"/>
      <c r="AE23" s="45" t="s">
        <v>24</v>
      </c>
      <c r="AF23" s="50">
        <f>AF22-AG22</f>
        <v>0</v>
      </c>
      <c r="AG23" s="47"/>
      <c r="AH23" s="48"/>
      <c r="AI23" s="51"/>
      <c r="AJ23" s="51"/>
      <c r="AL23" s="53"/>
      <c r="AM23" s="45" t="s">
        <v>25</v>
      </c>
      <c r="AN23" s="50">
        <f>AN22-AO22</f>
        <v>0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0</v>
      </c>
      <c r="L24" s="47"/>
      <c r="M24" s="48"/>
      <c r="N24" s="51"/>
      <c r="O24" s="51"/>
      <c r="P24" s="53"/>
      <c r="Q24" s="56" t="s">
        <v>26</v>
      </c>
      <c r="R24" s="57">
        <f>T22-S22</f>
        <v>0</v>
      </c>
      <c r="S24" s="47"/>
      <c r="T24" s="48"/>
      <c r="U24" s="51"/>
      <c r="V24" s="51"/>
      <c r="W24" s="53"/>
      <c r="X24" s="56" t="s">
        <v>26</v>
      </c>
      <c r="Y24" s="57">
        <f>AA22-Z22</f>
        <v>0</v>
      </c>
      <c r="Z24" s="47"/>
      <c r="AA24" s="48"/>
      <c r="AB24" s="51"/>
      <c r="AC24" s="51"/>
      <c r="AD24" s="53"/>
      <c r="AE24" s="56" t="s">
        <v>26</v>
      </c>
      <c r="AF24" s="57">
        <f>AH22-AG22</f>
        <v>0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2" t="s">
        <v>1</v>
      </c>
      <c r="K25" s="4" t="s">
        <v>7</v>
      </c>
      <c r="L25" s="2" t="s">
        <v>3</v>
      </c>
      <c r="M25" s="2" t="s">
        <v>4</v>
      </c>
      <c r="N25" s="2" t="s">
        <v>5</v>
      </c>
      <c r="O25" s="5" t="s">
        <v>6</v>
      </c>
      <c r="P25" s="2" t="s">
        <v>0</v>
      </c>
      <c r="Q25" s="2" t="s">
        <v>1</v>
      </c>
      <c r="R25" s="4" t="s">
        <v>7</v>
      </c>
      <c r="S25" s="2" t="s">
        <v>3</v>
      </c>
      <c r="T25" s="2" t="s">
        <v>4</v>
      </c>
      <c r="U25" s="2" t="s">
        <v>5</v>
      </c>
      <c r="V25" s="5" t="s">
        <v>6</v>
      </c>
      <c r="W25" s="2" t="s">
        <v>0</v>
      </c>
      <c r="X25" s="1" t="s">
        <v>1</v>
      </c>
      <c r="Y25" s="307" t="s">
        <v>7</v>
      </c>
      <c r="Z25" s="1" t="s">
        <v>3</v>
      </c>
      <c r="AA25" s="1" t="s">
        <v>4</v>
      </c>
      <c r="AB25" s="1" t="s">
        <v>5</v>
      </c>
      <c r="AC25" s="308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168">
        <v>45812.0</v>
      </c>
      <c r="C26" s="9" t="s">
        <v>10</v>
      </c>
      <c r="D26" s="10"/>
      <c r="E26" s="10"/>
      <c r="F26" s="10"/>
      <c r="G26" s="10"/>
      <c r="H26" s="11"/>
      <c r="I26" s="12">
        <v>45819.0</v>
      </c>
      <c r="J26" s="9" t="s">
        <v>10</v>
      </c>
      <c r="K26" s="10"/>
      <c r="L26" s="10"/>
      <c r="M26" s="10"/>
      <c r="N26" s="10"/>
      <c r="O26" s="11"/>
      <c r="P26" s="8">
        <v>45826.0</v>
      </c>
      <c r="Q26" s="9" t="s">
        <v>10</v>
      </c>
      <c r="R26" s="10"/>
      <c r="S26" s="10"/>
      <c r="T26" s="10"/>
      <c r="U26" s="10"/>
      <c r="V26" s="11"/>
      <c r="W26" s="8">
        <v>45833.0</v>
      </c>
      <c r="X26" s="9" t="s">
        <v>10</v>
      </c>
      <c r="Y26" s="10"/>
      <c r="Z26" s="10"/>
      <c r="AA26" s="10"/>
      <c r="AB26" s="10"/>
      <c r="AC26" s="11"/>
      <c r="AD26" s="8"/>
      <c r="AE26" s="9" t="s">
        <v>10</v>
      </c>
      <c r="AF26" s="10"/>
      <c r="AG26" s="10"/>
      <c r="AH26" s="10"/>
      <c r="AI26" s="10"/>
      <c r="AJ26" s="11"/>
      <c r="AL26" s="18" t="s">
        <v>31</v>
      </c>
      <c r="AM26" s="9" t="s">
        <v>10</v>
      </c>
      <c r="AN26" s="10">
        <f t="shared" ref="AN26:AP26" si="31">D26+K26+R26+Y26+AF26</f>
        <v>0</v>
      </c>
      <c r="AO26" s="10">
        <f t="shared" si="31"/>
        <v>0</v>
      </c>
      <c r="AP26" s="10">
        <f t="shared" si="31"/>
        <v>0</v>
      </c>
      <c r="AQ26" s="11">
        <f t="shared" ref="AQ26:AQ33" si="33">H26+O26+V26+AC26+AJ26</f>
        <v>0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0"/>
      <c r="L27" s="10"/>
      <c r="M27" s="10"/>
      <c r="N27" s="10"/>
      <c r="O27" s="11"/>
      <c r="P27" s="19"/>
      <c r="Q27" s="9" t="s">
        <v>12</v>
      </c>
      <c r="R27" s="10"/>
      <c r="S27" s="10"/>
      <c r="T27" s="10"/>
      <c r="U27" s="10"/>
      <c r="V27" s="11"/>
      <c r="W27" s="19"/>
      <c r="X27" s="9" t="s">
        <v>12</v>
      </c>
      <c r="Y27" s="10"/>
      <c r="Z27" s="10"/>
      <c r="AA27" s="10"/>
      <c r="AB27" s="10"/>
      <c r="AC27" s="11"/>
      <c r="AD27" s="19"/>
      <c r="AE27" s="9" t="s">
        <v>12</v>
      </c>
      <c r="AF27" s="10"/>
      <c r="AG27" s="10"/>
      <c r="AH27" s="10"/>
      <c r="AI27" s="10"/>
      <c r="AJ27" s="11"/>
      <c r="AL27" s="19"/>
      <c r="AM27" s="9" t="s">
        <v>12</v>
      </c>
      <c r="AN27" s="10">
        <f t="shared" ref="AN27:AP27" si="32">D27+K27+R27+Y27+AF27</f>
        <v>0</v>
      </c>
      <c r="AO27" s="10">
        <f t="shared" si="32"/>
        <v>0</v>
      </c>
      <c r="AP27" s="10">
        <f t="shared" si="32"/>
        <v>0</v>
      </c>
      <c r="AQ27" s="11">
        <f t="shared" si="33"/>
        <v>0</v>
      </c>
    </row>
    <row r="28">
      <c r="A28" s="19"/>
      <c r="B28" s="19"/>
      <c r="C28" s="290" t="s">
        <v>14</v>
      </c>
      <c r="D28" s="291"/>
      <c r="E28" s="10"/>
      <c r="F28" s="10"/>
      <c r="G28" s="10"/>
      <c r="H28" s="11"/>
      <c r="I28" s="19"/>
      <c r="J28" s="290" t="s">
        <v>14</v>
      </c>
      <c r="K28" s="291"/>
      <c r="L28" s="10"/>
      <c r="M28" s="10"/>
      <c r="N28" s="10"/>
      <c r="O28" s="11"/>
      <c r="P28" s="19"/>
      <c r="Q28" s="9" t="s">
        <v>33</v>
      </c>
      <c r="R28" s="10"/>
      <c r="S28" s="10"/>
      <c r="T28" s="10"/>
      <c r="U28" s="10"/>
      <c r="V28" s="11"/>
      <c r="W28" s="19"/>
      <c r="X28" s="9" t="s">
        <v>14</v>
      </c>
      <c r="Y28" s="10"/>
      <c r="Z28" s="10"/>
      <c r="AA28" s="10"/>
      <c r="AB28" s="10"/>
      <c r="AC28" s="11"/>
      <c r="AD28" s="19"/>
      <c r="AE28" s="9" t="s">
        <v>14</v>
      </c>
      <c r="AF28" s="10"/>
      <c r="AG28" s="10"/>
      <c r="AH28" s="10"/>
      <c r="AI28" s="10"/>
      <c r="AJ28" s="11"/>
      <c r="AL28" s="19"/>
      <c r="AM28" s="9" t="s">
        <v>14</v>
      </c>
      <c r="AN28" s="10">
        <f t="shared" ref="AN28:AP28" si="34">D28+K28+R28+Y28+AF28</f>
        <v>0</v>
      </c>
      <c r="AO28" s="10">
        <f t="shared" si="34"/>
        <v>0</v>
      </c>
      <c r="AP28" s="10">
        <f t="shared" si="34"/>
        <v>0</v>
      </c>
      <c r="AQ28" s="11">
        <f t="shared" si="33"/>
        <v>0</v>
      </c>
    </row>
    <row r="29">
      <c r="A29" s="19"/>
      <c r="B29" s="19"/>
      <c r="C29" s="9" t="s">
        <v>15</v>
      </c>
      <c r="D29" s="10"/>
      <c r="E29" s="10"/>
      <c r="F29" s="10"/>
      <c r="G29" s="10"/>
      <c r="H29" s="11"/>
      <c r="I29" s="19"/>
      <c r="J29" s="9" t="s">
        <v>15</v>
      </c>
      <c r="K29" s="10"/>
      <c r="L29" s="10"/>
      <c r="M29" s="10"/>
      <c r="N29" s="10"/>
      <c r="O29" s="11"/>
      <c r="P29" s="19"/>
      <c r="Q29" s="9" t="s">
        <v>15</v>
      </c>
      <c r="R29" s="10"/>
      <c r="S29" s="10"/>
      <c r="T29" s="10"/>
      <c r="U29" s="10"/>
      <c r="V29" s="11"/>
      <c r="W29" s="19"/>
      <c r="X29" s="9" t="s">
        <v>16</v>
      </c>
      <c r="Y29" s="10"/>
      <c r="Z29" s="10"/>
      <c r="AA29" s="10"/>
      <c r="AB29" s="10"/>
      <c r="AC29" s="11"/>
      <c r="AD29" s="19"/>
      <c r="AE29" s="9" t="s">
        <v>16</v>
      </c>
      <c r="AF29" s="10"/>
      <c r="AG29" s="10"/>
      <c r="AH29" s="10"/>
      <c r="AI29" s="10"/>
      <c r="AJ29" s="11"/>
      <c r="AL29" s="19"/>
      <c r="AM29" s="9" t="s">
        <v>16</v>
      </c>
      <c r="AN29" s="10">
        <f t="shared" ref="AN29:AP29" si="35">D29+K29+R29+Y29+AF29</f>
        <v>0</v>
      </c>
      <c r="AO29" s="10">
        <f t="shared" si="35"/>
        <v>0</v>
      </c>
      <c r="AP29" s="10">
        <f t="shared" si="35"/>
        <v>0</v>
      </c>
      <c r="AQ29" s="11">
        <f t="shared" si="33"/>
        <v>0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9" t="s">
        <v>17</v>
      </c>
      <c r="K30" s="10"/>
      <c r="L30" s="10"/>
      <c r="M30" s="10"/>
      <c r="N30" s="10"/>
      <c r="O30" s="11"/>
      <c r="P30" s="19"/>
      <c r="Q30" s="9" t="s">
        <v>17</v>
      </c>
      <c r="R30" s="10"/>
      <c r="S30" s="10"/>
      <c r="T30" s="10"/>
      <c r="U30" s="10"/>
      <c r="V30" s="11"/>
      <c r="W30" s="19"/>
      <c r="X30" s="9" t="s">
        <v>17</v>
      </c>
      <c r="Y30" s="10"/>
      <c r="Z30" s="10"/>
      <c r="AA30" s="10"/>
      <c r="AB30" s="10"/>
      <c r="AC30" s="11"/>
      <c r="AD30" s="19"/>
      <c r="AE30" s="9" t="s">
        <v>17</v>
      </c>
      <c r="AF30" s="10"/>
      <c r="AG30" s="10"/>
      <c r="AH30" s="10"/>
      <c r="AI30" s="10"/>
      <c r="AJ30" s="11"/>
      <c r="AL30" s="19"/>
      <c r="AM30" s="9" t="s">
        <v>17</v>
      </c>
      <c r="AN30" s="10">
        <f t="shared" ref="AN30:AP30" si="36">D30+K30+R30+Y30+AF30</f>
        <v>0</v>
      </c>
      <c r="AO30" s="10">
        <f t="shared" si="36"/>
        <v>0</v>
      </c>
      <c r="AP30" s="10">
        <f t="shared" si="36"/>
        <v>0</v>
      </c>
      <c r="AQ30" s="11">
        <f t="shared" si="33"/>
        <v>0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9" t="s">
        <v>29</v>
      </c>
      <c r="K31" s="10"/>
      <c r="L31" s="10"/>
      <c r="M31" s="10"/>
      <c r="N31" s="10"/>
      <c r="O31" s="11"/>
      <c r="P31" s="19"/>
      <c r="Q31" s="9" t="s">
        <v>18</v>
      </c>
      <c r="R31" s="10"/>
      <c r="S31" s="10"/>
      <c r="T31" s="10"/>
      <c r="U31" s="10"/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7">D31+K31+R31+Y31+AF31</f>
        <v>0</v>
      </c>
      <c r="AO31" s="10">
        <f t="shared" si="37"/>
        <v>0</v>
      </c>
      <c r="AP31" s="10">
        <f t="shared" si="37"/>
        <v>0</v>
      </c>
      <c r="AQ31" s="11">
        <f t="shared" si="33"/>
        <v>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9" t="s">
        <v>19</v>
      </c>
      <c r="K32" s="10"/>
      <c r="L32" s="10"/>
      <c r="M32" s="10"/>
      <c r="N32" s="10"/>
      <c r="O32" s="11"/>
      <c r="P32" s="19"/>
      <c r="Q32" s="9" t="s">
        <v>19</v>
      </c>
      <c r="R32" s="10"/>
      <c r="S32" s="10"/>
      <c r="T32" s="10"/>
      <c r="U32" s="10"/>
      <c r="V32" s="11"/>
      <c r="W32" s="19"/>
      <c r="X32" s="9" t="s">
        <v>19</v>
      </c>
      <c r="Y32" s="10"/>
      <c r="Z32" s="10"/>
      <c r="AA32" s="10"/>
      <c r="AB32" s="10"/>
      <c r="AC32" s="11"/>
      <c r="AD32" s="19"/>
      <c r="AE32" s="9" t="s">
        <v>19</v>
      </c>
      <c r="AF32" s="10"/>
      <c r="AG32" s="10"/>
      <c r="AH32" s="10"/>
      <c r="AI32" s="10"/>
      <c r="AJ32" s="11"/>
      <c r="AL32" s="19"/>
      <c r="AM32" s="9" t="s">
        <v>19</v>
      </c>
      <c r="AN32" s="10">
        <f t="shared" ref="AN32:AP32" si="38">D32+K32+R32+Y32+AF32</f>
        <v>0</v>
      </c>
      <c r="AO32" s="10">
        <f t="shared" si="38"/>
        <v>0</v>
      </c>
      <c r="AP32" s="10">
        <f t="shared" si="38"/>
        <v>0</v>
      </c>
      <c r="AQ32" s="11">
        <f t="shared" si="33"/>
        <v>0</v>
      </c>
    </row>
    <row r="33">
      <c r="A33" s="19"/>
      <c r="B33" s="19"/>
      <c r="C33" s="26" t="s">
        <v>21</v>
      </c>
      <c r="D33" s="10"/>
      <c r="E33" s="10"/>
      <c r="F33" s="10"/>
      <c r="G33" s="10"/>
      <c r="H33" s="11"/>
      <c r="I33" s="19"/>
      <c r="J33" s="26" t="s">
        <v>21</v>
      </c>
      <c r="K33" s="10"/>
      <c r="L33" s="10"/>
      <c r="M33" s="10"/>
      <c r="N33" s="10"/>
      <c r="O33" s="11"/>
      <c r="P33" s="19"/>
      <c r="Q33" s="26" t="s">
        <v>22</v>
      </c>
      <c r="R33" s="10"/>
      <c r="S33" s="10"/>
      <c r="T33" s="10"/>
      <c r="U33" s="10"/>
      <c r="V33" s="11"/>
      <c r="W33" s="19"/>
      <c r="X33" s="26" t="s">
        <v>21</v>
      </c>
      <c r="Y33" s="10"/>
      <c r="Z33" s="10"/>
      <c r="AA33" s="10"/>
      <c r="AB33" s="10"/>
      <c r="AC33" s="11"/>
      <c r="AD33" s="19"/>
      <c r="AE33" s="26" t="s">
        <v>21</v>
      </c>
      <c r="AF33" s="10"/>
      <c r="AG33" s="10"/>
      <c r="AH33" s="10"/>
      <c r="AI33" s="10"/>
      <c r="AJ33" s="11"/>
      <c r="AL33" s="19"/>
      <c r="AM33" s="26" t="s">
        <v>21</v>
      </c>
      <c r="AN33" s="10">
        <f t="shared" ref="AN33:AP33" si="39">D33+K33+R33+Y33+AF33</f>
        <v>0</v>
      </c>
      <c r="AO33" s="10">
        <f t="shared" si="39"/>
        <v>0</v>
      </c>
      <c r="AP33" s="10">
        <f t="shared" si="39"/>
        <v>0</v>
      </c>
      <c r="AQ33" s="11">
        <f t="shared" si="33"/>
        <v>0</v>
      </c>
    </row>
    <row r="34">
      <c r="A34" s="19"/>
      <c r="B34" s="19"/>
      <c r="C34" s="28" t="s">
        <v>23</v>
      </c>
      <c r="D34" s="29">
        <f t="shared" ref="D34:H34" si="40">D26+D27+D28+D29+D30+D31+D32+D33</f>
        <v>0</v>
      </c>
      <c r="E34" s="30">
        <f t="shared" si="40"/>
        <v>0</v>
      </c>
      <c r="F34" s="36">
        <f t="shared" si="40"/>
        <v>0</v>
      </c>
      <c r="G34" s="40">
        <f t="shared" si="40"/>
        <v>0</v>
      </c>
      <c r="H34" s="33">
        <f t="shared" si="40"/>
        <v>0</v>
      </c>
      <c r="I34" s="19"/>
      <c r="J34" s="28" t="s">
        <v>23</v>
      </c>
      <c r="K34" s="29">
        <f t="shared" ref="K34:O34" si="41">K26+K27+K28+K29+K30+K31+K32+K33</f>
        <v>0</v>
      </c>
      <c r="L34" s="30">
        <f t="shared" si="41"/>
        <v>0</v>
      </c>
      <c r="M34" s="31">
        <f t="shared" si="41"/>
        <v>0</v>
      </c>
      <c r="N34" s="40">
        <f t="shared" si="41"/>
        <v>0</v>
      </c>
      <c r="O34" s="38">
        <f t="shared" si="41"/>
        <v>0</v>
      </c>
      <c r="P34" s="19"/>
      <c r="Q34" s="28" t="s">
        <v>23</v>
      </c>
      <c r="R34" s="34">
        <f t="shared" ref="R34:V34" si="42">R26+R27+R28+R29+R30+R31+R32+R33</f>
        <v>0</v>
      </c>
      <c r="S34" s="35">
        <f t="shared" si="42"/>
        <v>0</v>
      </c>
      <c r="T34" s="31">
        <f t="shared" si="42"/>
        <v>0</v>
      </c>
      <c r="U34" s="37">
        <f t="shared" si="42"/>
        <v>0</v>
      </c>
      <c r="V34" s="33">
        <f t="shared" si="42"/>
        <v>0</v>
      </c>
      <c r="W34" s="19"/>
      <c r="X34" s="28" t="s">
        <v>23</v>
      </c>
      <c r="Y34" s="29">
        <f t="shared" ref="Y34:AC34" si="43">Y26+Y27+Y28+Y29+Y30+Y31+Y32+Y33</f>
        <v>0</v>
      </c>
      <c r="Z34" s="30">
        <f t="shared" si="43"/>
        <v>0</v>
      </c>
      <c r="AA34" s="31">
        <f t="shared" si="43"/>
        <v>0</v>
      </c>
      <c r="AB34" s="37">
        <f t="shared" si="43"/>
        <v>0</v>
      </c>
      <c r="AC34" s="33">
        <f t="shared" si="43"/>
        <v>0</v>
      </c>
      <c r="AD34" s="19"/>
      <c r="AE34" s="28" t="s">
        <v>23</v>
      </c>
      <c r="AF34" s="29">
        <f t="shared" ref="AF34:AJ34" si="44">AF26+AF27+AF28+AF29+AF30+AF31+AF32+AF33</f>
        <v>0</v>
      </c>
      <c r="AG34" s="30">
        <f t="shared" si="44"/>
        <v>0</v>
      </c>
      <c r="AH34" s="31">
        <f t="shared" si="44"/>
        <v>0</v>
      </c>
      <c r="AI34" s="32">
        <f t="shared" si="44"/>
        <v>0</v>
      </c>
      <c r="AJ34" s="33">
        <f t="shared" si="44"/>
        <v>0</v>
      </c>
      <c r="AL34" s="19"/>
      <c r="AM34" s="28" t="s">
        <v>23</v>
      </c>
      <c r="AN34" s="41">
        <f t="shared" ref="AN34:AQ34" si="45">AN26+AN27+AN28+AN29+AN30+AN31+AN32+AN33</f>
        <v>0</v>
      </c>
      <c r="AO34" s="42">
        <f t="shared" si="45"/>
        <v>0</v>
      </c>
      <c r="AP34" s="43">
        <f t="shared" si="45"/>
        <v>0</v>
      </c>
      <c r="AQ34" s="44">
        <f t="shared" si="45"/>
        <v>0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0</v>
      </c>
      <c r="L35" s="47"/>
      <c r="M35" s="48"/>
      <c r="N35" s="51"/>
      <c r="O35" s="51"/>
      <c r="P35" s="19"/>
      <c r="Q35" s="45" t="s">
        <v>24</v>
      </c>
      <c r="R35" s="50">
        <f>R34-S34</f>
        <v>0</v>
      </c>
      <c r="S35" s="47"/>
      <c r="T35" s="48"/>
      <c r="U35" s="51"/>
      <c r="V35" s="51"/>
      <c r="W35" s="19"/>
      <c r="X35" s="45" t="s">
        <v>24</v>
      </c>
      <c r="Y35" s="50">
        <f>Y34-Z34</f>
        <v>0</v>
      </c>
      <c r="Z35" s="47"/>
      <c r="AA35" s="48"/>
      <c r="AB35" s="51"/>
      <c r="AC35" s="51"/>
      <c r="AD35" s="19"/>
      <c r="AE35" s="45" t="s">
        <v>24</v>
      </c>
      <c r="AF35" s="50">
        <f>AF34-AG34</f>
        <v>0</v>
      </c>
      <c r="AG35" s="47"/>
      <c r="AH35" s="48"/>
      <c r="AI35" s="51"/>
      <c r="AJ35" s="51"/>
      <c r="AL35" s="53"/>
      <c r="AM35" s="45" t="s">
        <v>25</v>
      </c>
      <c r="AN35" s="50">
        <f>AN34-AO34</f>
        <v>0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0</v>
      </c>
      <c r="L36" s="47"/>
      <c r="M36" s="48"/>
      <c r="N36" s="51"/>
      <c r="O36" s="51"/>
      <c r="P36" s="53"/>
      <c r="Q36" s="56" t="s">
        <v>26</v>
      </c>
      <c r="R36" s="57">
        <f>T34-S34</f>
        <v>0</v>
      </c>
      <c r="S36" s="47"/>
      <c r="T36" s="48"/>
      <c r="U36" s="51"/>
      <c r="V36" s="51"/>
      <c r="W36" s="53"/>
      <c r="X36" s="56" t="s">
        <v>26</v>
      </c>
      <c r="Y36" s="57">
        <f>AA34-Z34</f>
        <v>0</v>
      </c>
      <c r="Z36" s="47"/>
      <c r="AA36" s="48"/>
      <c r="AB36" s="51"/>
      <c r="AC36" s="51"/>
      <c r="AD36" s="53"/>
      <c r="AE36" s="56" t="s">
        <v>26</v>
      </c>
      <c r="AF36" s="57">
        <f>AH34-AG34</f>
        <v>0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2" t="s">
        <v>1</v>
      </c>
      <c r="K37" s="4" t="s">
        <v>7</v>
      </c>
      <c r="L37" s="2" t="s">
        <v>3</v>
      </c>
      <c r="M37" s="2" t="s">
        <v>4</v>
      </c>
      <c r="N37" s="2" t="s">
        <v>5</v>
      </c>
      <c r="O37" s="5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1" t="s">
        <v>1</v>
      </c>
      <c r="Y37" s="307" t="s">
        <v>7</v>
      </c>
      <c r="Z37" s="1" t="s">
        <v>3</v>
      </c>
      <c r="AA37" s="1" t="s">
        <v>4</v>
      </c>
      <c r="AB37" s="1" t="s">
        <v>5</v>
      </c>
      <c r="AC37" s="308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12">
        <v>45813.0</v>
      </c>
      <c r="C38" s="9" t="s">
        <v>10</v>
      </c>
      <c r="D38" s="10"/>
      <c r="E38" s="10"/>
      <c r="F38" s="10"/>
      <c r="G38" s="10"/>
      <c r="H38" s="11"/>
      <c r="I38" s="12">
        <v>45820.0</v>
      </c>
      <c r="J38" s="9" t="s">
        <v>10</v>
      </c>
      <c r="K38" s="10"/>
      <c r="L38" s="10"/>
      <c r="M38" s="10"/>
      <c r="N38" s="10"/>
      <c r="O38" s="11"/>
      <c r="P38" s="167">
        <v>45827.0</v>
      </c>
      <c r="Q38" s="9" t="s">
        <v>10</v>
      </c>
      <c r="R38" s="10"/>
      <c r="S38" s="10"/>
      <c r="T38" s="10"/>
      <c r="U38" s="10"/>
      <c r="V38" s="11"/>
      <c r="W38" s="8">
        <v>45834.0</v>
      </c>
      <c r="X38" s="9" t="s">
        <v>10</v>
      </c>
      <c r="Y38" s="10"/>
      <c r="Z38" s="10"/>
      <c r="AA38" s="10"/>
      <c r="AB38" s="10"/>
      <c r="AC38" s="11"/>
      <c r="AD38" s="8"/>
      <c r="AE38" s="9" t="s">
        <v>10</v>
      </c>
      <c r="AF38" s="10"/>
      <c r="AG38" s="10"/>
      <c r="AH38" s="10"/>
      <c r="AI38" s="10"/>
      <c r="AJ38" s="11"/>
      <c r="AL38" s="18" t="s">
        <v>36</v>
      </c>
      <c r="AM38" s="9" t="s">
        <v>10</v>
      </c>
      <c r="AN38" s="10">
        <f t="shared" ref="AN38:AP38" si="46">D38+K38+R38+Y38+AF38</f>
        <v>0</v>
      </c>
      <c r="AO38" s="10">
        <f t="shared" si="46"/>
        <v>0</v>
      </c>
      <c r="AP38" s="10">
        <f t="shared" si="46"/>
        <v>0</v>
      </c>
      <c r="AQ38" s="11">
        <f t="shared" ref="AQ38:AQ45" si="48">H38+O38+V38+AC38+AJ38</f>
        <v>0</v>
      </c>
    </row>
    <row r="39">
      <c r="A39" s="19"/>
      <c r="B39" s="19"/>
      <c r="C39" s="9" t="s">
        <v>12</v>
      </c>
      <c r="D39" s="10"/>
      <c r="E39" s="10"/>
      <c r="F39" s="10"/>
      <c r="G39" s="10"/>
      <c r="H39" s="11"/>
      <c r="I39" s="19"/>
      <c r="J39" s="9" t="s">
        <v>12</v>
      </c>
      <c r="K39" s="10"/>
      <c r="L39" s="10"/>
      <c r="M39" s="10"/>
      <c r="N39" s="10"/>
      <c r="O39" s="11"/>
      <c r="P39" s="19"/>
      <c r="Q39" s="9" t="s">
        <v>12</v>
      </c>
      <c r="R39" s="10"/>
      <c r="S39" s="10"/>
      <c r="T39" s="10"/>
      <c r="U39" s="10"/>
      <c r="V39" s="11"/>
      <c r="W39" s="19"/>
      <c r="X39" s="9" t="s">
        <v>12</v>
      </c>
      <c r="Y39" s="10"/>
      <c r="Z39" s="10"/>
      <c r="AA39" s="10"/>
      <c r="AB39" s="10"/>
      <c r="AC39" s="11"/>
      <c r="AD39" s="19"/>
      <c r="AE39" s="9" t="s">
        <v>12</v>
      </c>
      <c r="AF39" s="10"/>
      <c r="AG39" s="10"/>
      <c r="AH39" s="10"/>
      <c r="AI39" s="10"/>
      <c r="AJ39" s="11"/>
      <c r="AL39" s="19"/>
      <c r="AM39" s="9" t="s">
        <v>12</v>
      </c>
      <c r="AN39" s="10">
        <f t="shared" ref="AN39:AP39" si="47">D39+K39+R39+Y39+AF39</f>
        <v>0</v>
      </c>
      <c r="AO39" s="10">
        <f t="shared" si="47"/>
        <v>0</v>
      </c>
      <c r="AP39" s="10">
        <f t="shared" si="47"/>
        <v>0</v>
      </c>
      <c r="AQ39" s="11">
        <f t="shared" si="48"/>
        <v>0</v>
      </c>
    </row>
    <row r="40">
      <c r="A40" s="19"/>
      <c r="B40" s="19"/>
      <c r="C40" s="290" t="s">
        <v>14</v>
      </c>
      <c r="D40" s="291"/>
      <c r="E40" s="10"/>
      <c r="F40" s="10"/>
      <c r="G40" s="10"/>
      <c r="H40" s="11"/>
      <c r="I40" s="19"/>
      <c r="J40" s="290" t="s">
        <v>14</v>
      </c>
      <c r="K40" s="291"/>
      <c r="L40" s="10"/>
      <c r="M40" s="10"/>
      <c r="N40" s="10"/>
      <c r="O40" s="11"/>
      <c r="P40" s="19"/>
      <c r="Q40" s="9" t="s">
        <v>14</v>
      </c>
      <c r="R40" s="10"/>
      <c r="S40" s="10"/>
      <c r="T40" s="10"/>
      <c r="U40" s="10"/>
      <c r="V40" s="11"/>
      <c r="W40" s="19"/>
      <c r="X40" s="9" t="s">
        <v>14</v>
      </c>
      <c r="Y40" s="10"/>
      <c r="Z40" s="10"/>
      <c r="AA40" s="10"/>
      <c r="AB40" s="10"/>
      <c r="AC40" s="11"/>
      <c r="AD40" s="19"/>
      <c r="AE40" s="9" t="s">
        <v>14</v>
      </c>
      <c r="AF40" s="10"/>
      <c r="AG40" s="10"/>
      <c r="AH40" s="10"/>
      <c r="AI40" s="10"/>
      <c r="AJ40" s="11"/>
      <c r="AL40" s="19"/>
      <c r="AM40" s="9" t="s">
        <v>14</v>
      </c>
      <c r="AN40" s="10">
        <f t="shared" ref="AN40:AP40" si="49">D40+K40+R40+Y40+AF40</f>
        <v>0</v>
      </c>
      <c r="AO40" s="10">
        <f t="shared" si="49"/>
        <v>0</v>
      </c>
      <c r="AP40" s="10">
        <f t="shared" si="49"/>
        <v>0</v>
      </c>
      <c r="AQ40" s="11">
        <f t="shared" si="48"/>
        <v>0</v>
      </c>
    </row>
    <row r="41">
      <c r="A41" s="19"/>
      <c r="B41" s="19"/>
      <c r="C41" s="9" t="s">
        <v>16</v>
      </c>
      <c r="D41" s="10"/>
      <c r="E41" s="10"/>
      <c r="F41" s="10"/>
      <c r="G41" s="10"/>
      <c r="H41" s="11"/>
      <c r="I41" s="19"/>
      <c r="J41" s="9" t="s">
        <v>16</v>
      </c>
      <c r="K41" s="10"/>
      <c r="L41" s="10"/>
      <c r="M41" s="10"/>
      <c r="N41" s="10"/>
      <c r="O41" s="11"/>
      <c r="P41" s="19"/>
      <c r="Q41" s="9" t="s">
        <v>16</v>
      </c>
      <c r="R41" s="10"/>
      <c r="S41" s="10"/>
      <c r="T41" s="10"/>
      <c r="U41" s="10"/>
      <c r="V41" s="11"/>
      <c r="W41" s="19"/>
      <c r="X41" s="9" t="s">
        <v>16</v>
      </c>
      <c r="Y41" s="10"/>
      <c r="Z41" s="10"/>
      <c r="AA41" s="10"/>
      <c r="AB41" s="10"/>
      <c r="AC41" s="11"/>
      <c r="AD41" s="19"/>
      <c r="AE41" s="9" t="s">
        <v>16</v>
      </c>
      <c r="AF41" s="10"/>
      <c r="AG41" s="10"/>
      <c r="AH41" s="10"/>
      <c r="AI41" s="10"/>
      <c r="AJ41" s="11"/>
      <c r="AL41" s="19"/>
      <c r="AM41" s="9" t="s">
        <v>16</v>
      </c>
      <c r="AN41" s="10">
        <f t="shared" ref="AN41:AP41" si="50">D41+K41+R41+Y41+AF41</f>
        <v>0</v>
      </c>
      <c r="AO41" s="10">
        <f t="shared" si="50"/>
        <v>0</v>
      </c>
      <c r="AP41" s="10">
        <f t="shared" si="50"/>
        <v>0</v>
      </c>
      <c r="AQ41" s="11">
        <f t="shared" si="48"/>
        <v>0</v>
      </c>
    </row>
    <row r="42">
      <c r="A42" s="19"/>
      <c r="B42" s="19"/>
      <c r="C42" s="9" t="s">
        <v>17</v>
      </c>
      <c r="D42" s="10"/>
      <c r="E42" s="10"/>
      <c r="F42" s="10"/>
      <c r="G42" s="10"/>
      <c r="H42" s="11"/>
      <c r="I42" s="19"/>
      <c r="J42" s="9" t="s">
        <v>17</v>
      </c>
      <c r="K42" s="10"/>
      <c r="L42" s="10"/>
      <c r="M42" s="10"/>
      <c r="N42" s="10"/>
      <c r="O42" s="11"/>
      <c r="P42" s="19"/>
      <c r="Q42" s="9" t="s">
        <v>17</v>
      </c>
      <c r="R42" s="10"/>
      <c r="S42" s="10"/>
      <c r="T42" s="10"/>
      <c r="U42" s="10"/>
      <c r="V42" s="11"/>
      <c r="W42" s="19"/>
      <c r="X42" s="9" t="s">
        <v>17</v>
      </c>
      <c r="Y42" s="10"/>
      <c r="Z42" s="10"/>
      <c r="AA42" s="10"/>
      <c r="AB42" s="10"/>
      <c r="AC42" s="11"/>
      <c r="AD42" s="19"/>
      <c r="AE42" s="9" t="s">
        <v>17</v>
      </c>
      <c r="AF42" s="10"/>
      <c r="AG42" s="10"/>
      <c r="AH42" s="10"/>
      <c r="AI42" s="10"/>
      <c r="AJ42" s="11"/>
      <c r="AL42" s="19"/>
      <c r="AM42" s="9" t="s">
        <v>17</v>
      </c>
      <c r="AN42" s="10">
        <f t="shared" ref="AN42:AP42" si="51">D42+K42+R42+Y42+AF42</f>
        <v>0</v>
      </c>
      <c r="AO42" s="10">
        <f t="shared" si="51"/>
        <v>0</v>
      </c>
      <c r="AP42" s="10">
        <f t="shared" si="51"/>
        <v>0</v>
      </c>
      <c r="AQ42" s="11">
        <f t="shared" si="48"/>
        <v>0</v>
      </c>
    </row>
    <row r="43">
      <c r="A43" s="19"/>
      <c r="B43" s="19"/>
      <c r="C43" s="9" t="s">
        <v>18</v>
      </c>
      <c r="D43" s="10"/>
      <c r="E43" s="10"/>
      <c r="F43" s="10"/>
      <c r="G43" s="10"/>
      <c r="H43" s="11"/>
      <c r="I43" s="19"/>
      <c r="J43" s="9" t="s">
        <v>18</v>
      </c>
      <c r="K43" s="10"/>
      <c r="L43" s="10"/>
      <c r="M43" s="10"/>
      <c r="N43" s="10"/>
      <c r="O43" s="11"/>
      <c r="P43" s="19"/>
      <c r="Q43" s="9" t="s">
        <v>18</v>
      </c>
      <c r="R43" s="10"/>
      <c r="S43" s="10"/>
      <c r="T43" s="10"/>
      <c r="U43" s="10"/>
      <c r="V43" s="11"/>
      <c r="W43" s="19"/>
      <c r="X43" s="9" t="s">
        <v>18</v>
      </c>
      <c r="Y43" s="10"/>
      <c r="Z43" s="10"/>
      <c r="AA43" s="10"/>
      <c r="AB43" s="10"/>
      <c r="AC43" s="11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2">D43+K43+R43+Y43+AF43</f>
        <v>0</v>
      </c>
      <c r="AO43" s="10">
        <f t="shared" si="52"/>
        <v>0</v>
      </c>
      <c r="AP43" s="10">
        <f t="shared" si="52"/>
        <v>0</v>
      </c>
      <c r="AQ43" s="11">
        <f t="shared" si="48"/>
        <v>0</v>
      </c>
    </row>
    <row r="44">
      <c r="A44" s="19"/>
      <c r="B44" s="19"/>
      <c r="C44" s="9" t="s">
        <v>20</v>
      </c>
      <c r="D44" s="10"/>
      <c r="E44" s="10"/>
      <c r="F44" s="10"/>
      <c r="G44" s="10"/>
      <c r="H44" s="11"/>
      <c r="I44" s="19"/>
      <c r="J44" s="9" t="s">
        <v>19</v>
      </c>
      <c r="K44" s="10"/>
      <c r="L44" s="10"/>
      <c r="M44" s="10"/>
      <c r="N44" s="10"/>
      <c r="O44" s="11"/>
      <c r="P44" s="19"/>
      <c r="Q44" s="9" t="s">
        <v>19</v>
      </c>
      <c r="R44" s="10"/>
      <c r="S44" s="10"/>
      <c r="T44" s="10"/>
      <c r="U44" s="10"/>
      <c r="V44" s="11"/>
      <c r="W44" s="19"/>
      <c r="X44" s="9" t="s">
        <v>19</v>
      </c>
      <c r="Y44" s="10"/>
      <c r="Z44" s="10"/>
      <c r="AA44" s="10"/>
      <c r="AB44" s="10"/>
      <c r="AC44" s="11"/>
      <c r="AD44" s="19"/>
      <c r="AE44" s="9" t="s">
        <v>19</v>
      </c>
      <c r="AF44" s="10"/>
      <c r="AG44" s="10"/>
      <c r="AH44" s="10"/>
      <c r="AI44" s="10"/>
      <c r="AJ44" s="11"/>
      <c r="AL44" s="19"/>
      <c r="AM44" s="9" t="s">
        <v>19</v>
      </c>
      <c r="AN44" s="10">
        <f t="shared" ref="AN44:AP44" si="53">D44+K44+R44+Y44+AF44</f>
        <v>0</v>
      </c>
      <c r="AO44" s="10">
        <f t="shared" si="53"/>
        <v>0</v>
      </c>
      <c r="AP44" s="10">
        <f t="shared" si="53"/>
        <v>0</v>
      </c>
      <c r="AQ44" s="11">
        <f t="shared" si="48"/>
        <v>0</v>
      </c>
    </row>
    <row r="45">
      <c r="A45" s="19"/>
      <c r="B45" s="19"/>
      <c r="C45" s="26" t="s">
        <v>21</v>
      </c>
      <c r="D45" s="10"/>
      <c r="E45" s="10"/>
      <c r="F45" s="10"/>
      <c r="G45" s="10"/>
      <c r="H45" s="11"/>
      <c r="I45" s="19"/>
      <c r="J45" s="26" t="s">
        <v>21</v>
      </c>
      <c r="K45" s="10"/>
      <c r="L45" s="10"/>
      <c r="M45" s="10"/>
      <c r="N45" s="10"/>
      <c r="O45" s="11"/>
      <c r="P45" s="19"/>
      <c r="Q45" s="26" t="s">
        <v>21</v>
      </c>
      <c r="R45" s="10"/>
      <c r="S45" s="10"/>
      <c r="T45" s="10"/>
      <c r="U45" s="10"/>
      <c r="V45" s="11"/>
      <c r="W45" s="19"/>
      <c r="X45" s="26" t="s">
        <v>22</v>
      </c>
      <c r="Y45" s="10"/>
      <c r="Z45" s="10"/>
      <c r="AA45" s="10"/>
      <c r="AB45" s="10"/>
      <c r="AC45" s="11"/>
      <c r="AD45" s="19"/>
      <c r="AE45" s="26" t="s">
        <v>21</v>
      </c>
      <c r="AF45" s="10"/>
      <c r="AG45" s="10"/>
      <c r="AH45" s="10"/>
      <c r="AI45" s="10"/>
      <c r="AJ45" s="11"/>
      <c r="AL45" s="19"/>
      <c r="AM45" s="26" t="s">
        <v>21</v>
      </c>
      <c r="AN45" s="10">
        <f t="shared" ref="AN45:AP45" si="54">D45+K45+R45+Y45+AF45</f>
        <v>0</v>
      </c>
      <c r="AO45" s="10">
        <f t="shared" si="54"/>
        <v>0</v>
      </c>
      <c r="AP45" s="10">
        <f t="shared" si="54"/>
        <v>0</v>
      </c>
      <c r="AQ45" s="11">
        <f t="shared" si="48"/>
        <v>0</v>
      </c>
    </row>
    <row r="46">
      <c r="A46" s="19"/>
      <c r="B46" s="19"/>
      <c r="C46" s="28" t="s">
        <v>23</v>
      </c>
      <c r="D46" s="61">
        <f t="shared" ref="D46:H46" si="55">D38+D39+D40+D41+D42+D43+D44+D45</f>
        <v>0</v>
      </c>
      <c r="E46" s="30">
        <f t="shared" si="55"/>
        <v>0</v>
      </c>
      <c r="F46" s="36">
        <f t="shared" si="55"/>
        <v>0</v>
      </c>
      <c r="G46" s="40">
        <f t="shared" si="55"/>
        <v>0</v>
      </c>
      <c r="H46" s="33">
        <f t="shared" si="55"/>
        <v>0</v>
      </c>
      <c r="I46" s="19"/>
      <c r="J46" s="28" t="s">
        <v>23</v>
      </c>
      <c r="K46" s="29">
        <f t="shared" ref="K46:O46" si="56">K38+K39+K40+K41+K42+K43+K44+K45</f>
        <v>0</v>
      </c>
      <c r="L46" s="35">
        <f t="shared" si="56"/>
        <v>0</v>
      </c>
      <c r="M46" s="31">
        <f t="shared" si="56"/>
        <v>0</v>
      </c>
      <c r="N46" s="40">
        <f t="shared" si="56"/>
        <v>0</v>
      </c>
      <c r="O46" s="38">
        <f t="shared" si="56"/>
        <v>0</v>
      </c>
      <c r="P46" s="19"/>
      <c r="Q46" s="28" t="s">
        <v>23</v>
      </c>
      <c r="R46" s="61">
        <f t="shared" ref="R46:V46" si="57">R38+R39+R40+R41+R42+R43+R44+R45</f>
        <v>0</v>
      </c>
      <c r="S46" s="30">
        <f t="shared" si="57"/>
        <v>0</v>
      </c>
      <c r="T46" s="31">
        <f t="shared" si="57"/>
        <v>0</v>
      </c>
      <c r="U46" s="37">
        <f t="shared" si="57"/>
        <v>0</v>
      </c>
      <c r="V46" s="33">
        <f t="shared" si="57"/>
        <v>0</v>
      </c>
      <c r="W46" s="19"/>
      <c r="X46" s="66" t="s">
        <v>23</v>
      </c>
      <c r="Y46" s="29">
        <f t="shared" ref="Y46:AC46" si="58">Y38+Y39+Y40+Y41+Y42+Y43+Y44+Y45</f>
        <v>0</v>
      </c>
      <c r="Z46" s="40">
        <f t="shared" si="58"/>
        <v>0</v>
      </c>
      <c r="AA46" s="31">
        <f t="shared" si="58"/>
        <v>0</v>
      </c>
      <c r="AB46" s="37">
        <f t="shared" si="58"/>
        <v>0</v>
      </c>
      <c r="AC46" s="33">
        <f t="shared" si="58"/>
        <v>0</v>
      </c>
      <c r="AD46" s="19"/>
      <c r="AE46" s="28" t="s">
        <v>23</v>
      </c>
      <c r="AF46" s="29">
        <f t="shared" ref="AF46:AJ46" si="59">AF38+AF39+AF40+AF41+AF42+AF43+AF44+AF45</f>
        <v>0</v>
      </c>
      <c r="AG46" s="30">
        <f t="shared" si="59"/>
        <v>0</v>
      </c>
      <c r="AH46" s="31">
        <f t="shared" si="59"/>
        <v>0</v>
      </c>
      <c r="AI46" s="32">
        <f t="shared" si="59"/>
        <v>0</v>
      </c>
      <c r="AJ46" s="33">
        <f t="shared" si="59"/>
        <v>0</v>
      </c>
      <c r="AL46" s="19"/>
      <c r="AM46" s="28" t="s">
        <v>23</v>
      </c>
      <c r="AN46" s="41">
        <f t="shared" ref="AN46:AQ46" si="60">AN38+AN39+AN40+AN41+AN42+AN43+AN44+AN45</f>
        <v>0</v>
      </c>
      <c r="AO46" s="42">
        <f t="shared" si="60"/>
        <v>0</v>
      </c>
      <c r="AP46" s="43">
        <f t="shared" si="60"/>
        <v>0</v>
      </c>
      <c r="AQ46" s="44">
        <f t="shared" si="60"/>
        <v>0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0</v>
      </c>
      <c r="L47" s="47"/>
      <c r="M47" s="48"/>
      <c r="N47" s="51"/>
      <c r="O47" s="51"/>
      <c r="P47" s="19"/>
      <c r="Q47" s="45" t="s">
        <v>24</v>
      </c>
      <c r="R47" s="50">
        <f>R46-S46</f>
        <v>0</v>
      </c>
      <c r="S47" s="47"/>
      <c r="T47" s="48"/>
      <c r="U47" s="51"/>
      <c r="V47" s="51"/>
      <c r="W47" s="19"/>
      <c r="X47" s="45" t="s">
        <v>24</v>
      </c>
      <c r="Y47" s="50">
        <f>Y46-Z46</f>
        <v>0</v>
      </c>
      <c r="Z47" s="47"/>
      <c r="AA47" s="48"/>
      <c r="AB47" s="51"/>
      <c r="AC47" s="51"/>
      <c r="AD47" s="19"/>
      <c r="AE47" s="45" t="s">
        <v>24</v>
      </c>
      <c r="AF47" s="50">
        <f>AF46-AG46</f>
        <v>0</v>
      </c>
      <c r="AG47" s="47"/>
      <c r="AH47" s="48"/>
      <c r="AI47" s="51"/>
      <c r="AJ47" s="51"/>
      <c r="AL47" s="53"/>
      <c r="AM47" s="45" t="s">
        <v>25</v>
      </c>
      <c r="AN47" s="50">
        <f>AN46-AO46</f>
        <v>0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0</v>
      </c>
      <c r="L48" s="47"/>
      <c r="M48" s="48"/>
      <c r="N48" s="51"/>
      <c r="O48" s="51"/>
      <c r="P48" s="53"/>
      <c r="Q48" s="56" t="s">
        <v>26</v>
      </c>
      <c r="R48" s="57">
        <f>T46-S46</f>
        <v>0</v>
      </c>
      <c r="S48" s="47"/>
      <c r="T48" s="48"/>
      <c r="U48" s="51"/>
      <c r="V48" s="51"/>
      <c r="W48" s="53"/>
      <c r="X48" s="56" t="s">
        <v>26</v>
      </c>
      <c r="Y48" s="57">
        <f>AA46-Z46</f>
        <v>0</v>
      </c>
      <c r="Z48" s="47"/>
      <c r="AA48" s="48"/>
      <c r="AB48" s="51"/>
      <c r="AC48" s="51"/>
      <c r="AD48" s="53"/>
      <c r="AE48" s="56" t="s">
        <v>26</v>
      </c>
      <c r="AF48" s="57">
        <f>AH46-AG46</f>
        <v>0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2" t="s">
        <v>1</v>
      </c>
      <c r="D49" s="3" t="s">
        <v>2</v>
      </c>
      <c r="E49" s="2" t="s">
        <v>3</v>
      </c>
      <c r="F49" s="2" t="s">
        <v>4</v>
      </c>
      <c r="G49" s="2" t="s">
        <v>5</v>
      </c>
      <c r="H49" s="5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2" t="s">
        <v>1</v>
      </c>
      <c r="R49" s="4" t="s">
        <v>7</v>
      </c>
      <c r="S49" s="2" t="s">
        <v>3</v>
      </c>
      <c r="T49" s="2" t="s">
        <v>4</v>
      </c>
      <c r="U49" s="2" t="s">
        <v>5</v>
      </c>
      <c r="V49" s="5" t="s">
        <v>6</v>
      </c>
      <c r="W49" s="68" t="s">
        <v>0</v>
      </c>
      <c r="X49" s="1" t="s">
        <v>1</v>
      </c>
      <c r="Y49" s="307" t="s">
        <v>7</v>
      </c>
      <c r="Z49" s="1" t="s">
        <v>3</v>
      </c>
      <c r="AA49" s="1" t="s">
        <v>4</v>
      </c>
      <c r="AB49" s="1" t="s">
        <v>5</v>
      </c>
      <c r="AC49" s="308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>
        <v>45814.0</v>
      </c>
      <c r="C50" s="9" t="s">
        <v>10</v>
      </c>
      <c r="D50" s="10"/>
      <c r="E50" s="10"/>
      <c r="F50" s="10"/>
      <c r="G50" s="10"/>
      <c r="H50" s="11"/>
      <c r="I50" s="12">
        <v>45821.0</v>
      </c>
      <c r="J50" s="9" t="s">
        <v>10</v>
      </c>
      <c r="K50" s="10"/>
      <c r="L50" s="10"/>
      <c r="M50" s="10"/>
      <c r="N50" s="10"/>
      <c r="O50" s="11"/>
      <c r="P50" s="8">
        <v>45828.0</v>
      </c>
      <c r="Q50" s="9" t="s">
        <v>10</v>
      </c>
      <c r="R50" s="10"/>
      <c r="S50" s="10"/>
      <c r="T50" s="10"/>
      <c r="U50" s="10"/>
      <c r="V50" s="11"/>
      <c r="W50" s="8">
        <v>45835.0</v>
      </c>
      <c r="X50" s="9" t="s">
        <v>10</v>
      </c>
      <c r="Y50" s="10"/>
      <c r="Z50" s="10"/>
      <c r="AA50" s="10"/>
      <c r="AB50" s="10"/>
      <c r="AC50" s="11"/>
      <c r="AD50" s="8"/>
      <c r="AE50" s="9" t="s">
        <v>10</v>
      </c>
      <c r="AF50" s="10"/>
      <c r="AG50" s="10"/>
      <c r="AH50" s="10"/>
      <c r="AI50" s="10"/>
      <c r="AJ50" s="11"/>
      <c r="AL50" s="18" t="s">
        <v>38</v>
      </c>
      <c r="AM50" s="9" t="s">
        <v>10</v>
      </c>
      <c r="AN50" s="10">
        <f t="shared" ref="AN50:AP50" si="61">D50+K50+R50+Y50+AF50</f>
        <v>0</v>
      </c>
      <c r="AO50" s="10">
        <f t="shared" si="61"/>
        <v>0</v>
      </c>
      <c r="AP50" s="10">
        <f t="shared" si="61"/>
        <v>0</v>
      </c>
      <c r="AQ50" s="11">
        <f t="shared" ref="AQ50:AQ57" si="63">H50+O50+V50+AC50+AJ50</f>
        <v>0</v>
      </c>
    </row>
    <row r="51">
      <c r="A51" s="19"/>
      <c r="B51" s="19"/>
      <c r="C51" s="9" t="s">
        <v>12</v>
      </c>
      <c r="D51" s="10"/>
      <c r="E51" s="10"/>
      <c r="F51" s="10"/>
      <c r="G51" s="10"/>
      <c r="H51" s="11"/>
      <c r="I51" s="19"/>
      <c r="J51" s="9" t="s">
        <v>12</v>
      </c>
      <c r="K51" s="10"/>
      <c r="L51" s="10"/>
      <c r="M51" s="10"/>
      <c r="N51" s="10"/>
      <c r="O51" s="11"/>
      <c r="P51" s="19"/>
      <c r="Q51" s="9" t="s">
        <v>32</v>
      </c>
      <c r="R51" s="10"/>
      <c r="S51" s="10"/>
      <c r="T51" s="10"/>
      <c r="U51" s="10"/>
      <c r="V51" s="11"/>
      <c r="W51" s="19"/>
      <c r="X51" s="9" t="s">
        <v>12</v>
      </c>
      <c r="Y51" s="10"/>
      <c r="Z51" s="10"/>
      <c r="AA51" s="10"/>
      <c r="AB51" s="10"/>
      <c r="AC51" s="11"/>
      <c r="AD51" s="19"/>
      <c r="AE51" s="9" t="s">
        <v>12</v>
      </c>
      <c r="AF51" s="10"/>
      <c r="AG51" s="10"/>
      <c r="AH51" s="10"/>
      <c r="AI51" s="10"/>
      <c r="AJ51" s="11"/>
      <c r="AL51" s="19"/>
      <c r="AM51" s="9" t="s">
        <v>12</v>
      </c>
      <c r="AN51" s="10">
        <f t="shared" ref="AN51:AP51" si="62">D51+K51+R51+Y51+AF51</f>
        <v>0</v>
      </c>
      <c r="AO51" s="10">
        <f t="shared" si="62"/>
        <v>0</v>
      </c>
      <c r="AP51" s="10">
        <f t="shared" si="62"/>
        <v>0</v>
      </c>
      <c r="AQ51" s="11">
        <f t="shared" si="63"/>
        <v>0</v>
      </c>
    </row>
    <row r="52">
      <c r="A52" s="19"/>
      <c r="B52" s="19"/>
      <c r="C52" s="290" t="s">
        <v>14</v>
      </c>
      <c r="D52" s="291"/>
      <c r="E52" s="10"/>
      <c r="F52" s="10"/>
      <c r="G52" s="10"/>
      <c r="H52" s="11"/>
      <c r="I52" s="19"/>
      <c r="J52" s="290" t="s">
        <v>14</v>
      </c>
      <c r="K52" s="291"/>
      <c r="L52" s="10"/>
      <c r="M52" s="10"/>
      <c r="N52" s="10"/>
      <c r="O52" s="11"/>
      <c r="P52" s="19"/>
      <c r="Q52" s="9" t="s">
        <v>14</v>
      </c>
      <c r="R52" s="10"/>
      <c r="S52" s="10"/>
      <c r="T52" s="10"/>
      <c r="U52" s="10"/>
      <c r="V52" s="11"/>
      <c r="W52" s="19"/>
      <c r="X52" s="9" t="s">
        <v>14</v>
      </c>
      <c r="Y52" s="10"/>
      <c r="Z52" s="10"/>
      <c r="AA52" s="10"/>
      <c r="AB52" s="10"/>
      <c r="AC52" s="11"/>
      <c r="AD52" s="19"/>
      <c r="AE52" s="9" t="s">
        <v>14</v>
      </c>
      <c r="AF52" s="10"/>
      <c r="AG52" s="10"/>
      <c r="AH52" s="10"/>
      <c r="AI52" s="10"/>
      <c r="AJ52" s="11"/>
      <c r="AL52" s="19"/>
      <c r="AM52" s="9" t="s">
        <v>14</v>
      </c>
      <c r="AN52" s="10">
        <f t="shared" ref="AN52:AP52" si="64">D52+K52+R52+Y52+AF52</f>
        <v>0</v>
      </c>
      <c r="AO52" s="10">
        <f t="shared" si="64"/>
        <v>0</v>
      </c>
      <c r="AP52" s="10">
        <f t="shared" si="64"/>
        <v>0</v>
      </c>
      <c r="AQ52" s="11">
        <f t="shared" si="63"/>
        <v>0</v>
      </c>
    </row>
    <row r="53">
      <c r="A53" s="19"/>
      <c r="B53" s="19"/>
      <c r="C53" s="9" t="s">
        <v>16</v>
      </c>
      <c r="D53" s="10"/>
      <c r="E53" s="10"/>
      <c r="F53" s="10"/>
      <c r="G53" s="10"/>
      <c r="H53" s="11"/>
      <c r="I53" s="19"/>
      <c r="J53" s="9" t="s">
        <v>15</v>
      </c>
      <c r="K53" s="10"/>
      <c r="L53" s="10"/>
      <c r="M53" s="10"/>
      <c r="N53" s="10"/>
      <c r="O53" s="11"/>
      <c r="P53" s="19"/>
      <c r="Q53" s="9" t="s">
        <v>16</v>
      </c>
      <c r="R53" s="10"/>
      <c r="S53" s="10"/>
      <c r="T53" s="10"/>
      <c r="U53" s="10"/>
      <c r="V53" s="11"/>
      <c r="W53" s="19"/>
      <c r="X53" s="9" t="s">
        <v>16</v>
      </c>
      <c r="Y53" s="10"/>
      <c r="Z53" s="10"/>
      <c r="AA53" s="10"/>
      <c r="AB53" s="10"/>
      <c r="AC53" s="11"/>
      <c r="AD53" s="19"/>
      <c r="AE53" s="9" t="s">
        <v>16</v>
      </c>
      <c r="AF53" s="10"/>
      <c r="AG53" s="10"/>
      <c r="AH53" s="10"/>
      <c r="AI53" s="10"/>
      <c r="AJ53" s="11"/>
      <c r="AL53" s="19"/>
      <c r="AM53" s="9" t="s">
        <v>16</v>
      </c>
      <c r="AN53" s="10">
        <f t="shared" ref="AN53:AP53" si="65">D53+K53+R53+Y53+AF53</f>
        <v>0</v>
      </c>
      <c r="AO53" s="10">
        <f t="shared" si="65"/>
        <v>0</v>
      </c>
      <c r="AP53" s="10">
        <f t="shared" si="65"/>
        <v>0</v>
      </c>
      <c r="AQ53" s="11">
        <f t="shared" si="63"/>
        <v>0</v>
      </c>
    </row>
    <row r="54">
      <c r="A54" s="19"/>
      <c r="B54" s="19"/>
      <c r="C54" s="9" t="s">
        <v>17</v>
      </c>
      <c r="D54" s="10"/>
      <c r="E54" s="10"/>
      <c r="F54" s="10"/>
      <c r="G54" s="10"/>
      <c r="H54" s="11"/>
      <c r="I54" s="19"/>
      <c r="J54" s="9" t="s">
        <v>17</v>
      </c>
      <c r="K54" s="10"/>
      <c r="L54" s="10"/>
      <c r="M54" s="10"/>
      <c r="N54" s="10"/>
      <c r="O54" s="11"/>
      <c r="P54" s="19"/>
      <c r="Q54" s="9" t="s">
        <v>17</v>
      </c>
      <c r="R54" s="10"/>
      <c r="S54" s="10"/>
      <c r="T54" s="10"/>
      <c r="U54" s="10"/>
      <c r="V54" s="11"/>
      <c r="W54" s="19"/>
      <c r="X54" s="9" t="s">
        <v>17</v>
      </c>
      <c r="Y54" s="10"/>
      <c r="Z54" s="10"/>
      <c r="AA54" s="10"/>
      <c r="AB54" s="10"/>
      <c r="AC54" s="11"/>
      <c r="AD54" s="19"/>
      <c r="AE54" s="9" t="s">
        <v>17</v>
      </c>
      <c r="AF54" s="10"/>
      <c r="AG54" s="10"/>
      <c r="AH54" s="10"/>
      <c r="AI54" s="10"/>
      <c r="AJ54" s="11"/>
      <c r="AL54" s="19"/>
      <c r="AM54" s="9" t="s">
        <v>17</v>
      </c>
      <c r="AN54" s="10">
        <f t="shared" ref="AN54:AP54" si="66">D54+K54+R54+Y54+AF54</f>
        <v>0</v>
      </c>
      <c r="AO54" s="10">
        <f t="shared" si="66"/>
        <v>0</v>
      </c>
      <c r="AP54" s="10">
        <f t="shared" si="66"/>
        <v>0</v>
      </c>
      <c r="AQ54" s="11">
        <f t="shared" si="63"/>
        <v>0</v>
      </c>
    </row>
    <row r="55">
      <c r="A55" s="19"/>
      <c r="B55" s="19"/>
      <c r="C55" s="9" t="s">
        <v>18</v>
      </c>
      <c r="D55" s="10"/>
      <c r="E55" s="10"/>
      <c r="F55" s="10"/>
      <c r="G55" s="10"/>
      <c r="H55" s="11"/>
      <c r="I55" s="19"/>
      <c r="J55" s="9" t="s">
        <v>18</v>
      </c>
      <c r="K55" s="10"/>
      <c r="L55" s="10"/>
      <c r="M55" s="10"/>
      <c r="N55" s="10"/>
      <c r="O55" s="11"/>
      <c r="P55" s="19"/>
      <c r="Q55" s="9" t="s">
        <v>29</v>
      </c>
      <c r="R55" s="10"/>
      <c r="S55" s="10"/>
      <c r="T55" s="10"/>
      <c r="U55" s="10"/>
      <c r="V55" s="11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7">D55+K55+R55+Y55+AF55</f>
        <v>0</v>
      </c>
      <c r="AO55" s="10">
        <f t="shared" si="67"/>
        <v>0</v>
      </c>
      <c r="AP55" s="10">
        <f t="shared" si="67"/>
        <v>0</v>
      </c>
      <c r="AQ55" s="11">
        <f t="shared" si="63"/>
        <v>0</v>
      </c>
    </row>
    <row r="56">
      <c r="A56" s="19"/>
      <c r="B56" s="19"/>
      <c r="C56" s="9" t="s">
        <v>20</v>
      </c>
      <c r="D56" s="10"/>
      <c r="E56" s="10"/>
      <c r="F56" s="10"/>
      <c r="G56" s="10"/>
      <c r="H56" s="11"/>
      <c r="I56" s="19"/>
      <c r="J56" s="9" t="s">
        <v>19</v>
      </c>
      <c r="K56" s="10"/>
      <c r="L56" s="10"/>
      <c r="M56" s="10"/>
      <c r="N56" s="10"/>
      <c r="O56" s="11"/>
      <c r="P56" s="19"/>
      <c r="Q56" s="9" t="s">
        <v>19</v>
      </c>
      <c r="R56" s="10"/>
      <c r="S56" s="10"/>
      <c r="T56" s="10"/>
      <c r="U56" s="10"/>
      <c r="V56" s="11"/>
      <c r="W56" s="19"/>
      <c r="X56" s="9" t="s">
        <v>19</v>
      </c>
      <c r="Y56" s="10"/>
      <c r="Z56" s="10"/>
      <c r="AA56" s="10"/>
      <c r="AB56" s="10"/>
      <c r="AC56" s="11"/>
      <c r="AD56" s="19"/>
      <c r="AE56" s="9" t="s">
        <v>19</v>
      </c>
      <c r="AF56" s="10"/>
      <c r="AG56" s="10"/>
      <c r="AH56" s="10"/>
      <c r="AI56" s="10"/>
      <c r="AJ56" s="11"/>
      <c r="AL56" s="19"/>
      <c r="AM56" s="9" t="s">
        <v>19</v>
      </c>
      <c r="AN56" s="10">
        <f t="shared" ref="AN56:AP56" si="68">D56+K56+R56+Y56+AF56</f>
        <v>0</v>
      </c>
      <c r="AO56" s="10">
        <f t="shared" si="68"/>
        <v>0</v>
      </c>
      <c r="AP56" s="10">
        <f t="shared" si="68"/>
        <v>0</v>
      </c>
      <c r="AQ56" s="11">
        <f t="shared" si="63"/>
        <v>0</v>
      </c>
    </row>
    <row r="57">
      <c r="A57" s="19"/>
      <c r="B57" s="19"/>
      <c r="C57" s="26" t="s">
        <v>21</v>
      </c>
      <c r="D57" s="10"/>
      <c r="E57" s="10"/>
      <c r="F57" s="10"/>
      <c r="G57" s="10"/>
      <c r="H57" s="11"/>
      <c r="I57" s="19"/>
      <c r="J57" s="26" t="s">
        <v>21</v>
      </c>
      <c r="K57" s="10"/>
      <c r="L57" s="10"/>
      <c r="M57" s="10"/>
      <c r="N57" s="10"/>
      <c r="O57" s="11"/>
      <c r="P57" s="19"/>
      <c r="Q57" s="26" t="s">
        <v>21</v>
      </c>
      <c r="R57" s="10"/>
      <c r="S57" s="10"/>
      <c r="T57" s="10"/>
      <c r="U57" s="10"/>
      <c r="V57" s="11"/>
      <c r="W57" s="19"/>
      <c r="X57" s="26" t="s">
        <v>21</v>
      </c>
      <c r="Y57" s="10"/>
      <c r="Z57" s="10"/>
      <c r="AA57" s="10"/>
      <c r="AB57" s="10"/>
      <c r="AC57" s="11"/>
      <c r="AD57" s="19"/>
      <c r="AE57" s="26" t="s">
        <v>21</v>
      </c>
      <c r="AF57" s="10"/>
      <c r="AG57" s="10"/>
      <c r="AH57" s="10"/>
      <c r="AI57" s="10"/>
      <c r="AJ57" s="11"/>
      <c r="AL57" s="19"/>
      <c r="AM57" s="26" t="s">
        <v>21</v>
      </c>
      <c r="AN57" s="10">
        <f t="shared" ref="AN57:AP57" si="69">D57+K57+R57+Y57+AF57</f>
        <v>0</v>
      </c>
      <c r="AO57" s="10">
        <f t="shared" si="69"/>
        <v>0</v>
      </c>
      <c r="AP57" s="10">
        <f t="shared" si="69"/>
        <v>0</v>
      </c>
      <c r="AQ57" s="11">
        <f t="shared" si="63"/>
        <v>0</v>
      </c>
    </row>
    <row r="58">
      <c r="A58" s="19"/>
      <c r="B58" s="19"/>
      <c r="C58" s="28" t="s">
        <v>23</v>
      </c>
      <c r="D58" s="61">
        <f t="shared" ref="D58:H58" si="70">D50+D51+D52+D53+D54+D55+D56+D57</f>
        <v>0</v>
      </c>
      <c r="E58" s="30">
        <f t="shared" si="70"/>
        <v>0</v>
      </c>
      <c r="F58" s="36">
        <f t="shared" si="70"/>
        <v>0</v>
      </c>
      <c r="G58" s="40">
        <f t="shared" si="70"/>
        <v>0</v>
      </c>
      <c r="H58" s="33">
        <f t="shared" si="70"/>
        <v>0</v>
      </c>
      <c r="I58" s="19"/>
      <c r="J58" s="28" t="s">
        <v>23</v>
      </c>
      <c r="K58" s="29">
        <f t="shared" ref="K58:O58" si="71">K50+K51+K52+K53+K54+K55+K56+K57</f>
        <v>0</v>
      </c>
      <c r="L58" s="30">
        <f t="shared" si="71"/>
        <v>0</v>
      </c>
      <c r="M58" s="36">
        <f t="shared" si="71"/>
        <v>0</v>
      </c>
      <c r="N58" s="309">
        <f t="shared" si="71"/>
        <v>0</v>
      </c>
      <c r="O58" s="33">
        <f t="shared" si="71"/>
        <v>0</v>
      </c>
      <c r="P58" s="19"/>
      <c r="Q58" s="28" t="s">
        <v>23</v>
      </c>
      <c r="R58" s="34">
        <f t="shared" ref="R58:V58" si="72">R50+R51+R52+R53+R54+R55+R56+R57</f>
        <v>0</v>
      </c>
      <c r="S58" s="35">
        <f t="shared" si="72"/>
        <v>0</v>
      </c>
      <c r="T58" s="39">
        <f t="shared" si="72"/>
        <v>0</v>
      </c>
      <c r="U58" s="37">
        <f t="shared" si="72"/>
        <v>0</v>
      </c>
      <c r="V58" s="33">
        <f t="shared" si="72"/>
        <v>0</v>
      </c>
      <c r="W58" s="19"/>
      <c r="X58" s="28" t="s">
        <v>23</v>
      </c>
      <c r="Y58" s="29">
        <f t="shared" ref="Y58:AC58" si="73">Y50+Y51+Y52+Y53+Y54+Y55+Y56+Y57</f>
        <v>0</v>
      </c>
      <c r="Z58" s="35">
        <f t="shared" si="73"/>
        <v>0</v>
      </c>
      <c r="AA58" s="31">
        <f t="shared" si="73"/>
        <v>0</v>
      </c>
      <c r="AB58" s="37">
        <f t="shared" si="73"/>
        <v>0</v>
      </c>
      <c r="AC58" s="33">
        <f t="shared" si="73"/>
        <v>0</v>
      </c>
      <c r="AD58" s="19"/>
      <c r="AE58" s="28" t="s">
        <v>23</v>
      </c>
      <c r="AF58" s="29">
        <f t="shared" ref="AF58:AJ58" si="74">AF50+AF51+AF52+AF53+AF54+AF55+AF56+AF57</f>
        <v>0</v>
      </c>
      <c r="AG58" s="30">
        <f t="shared" si="74"/>
        <v>0</v>
      </c>
      <c r="AH58" s="31">
        <f t="shared" si="74"/>
        <v>0</v>
      </c>
      <c r="AI58" s="32">
        <f t="shared" si="74"/>
        <v>0</v>
      </c>
      <c r="AJ58" s="33">
        <f t="shared" si="74"/>
        <v>0</v>
      </c>
      <c r="AL58" s="19"/>
      <c r="AM58" s="28" t="s">
        <v>23</v>
      </c>
      <c r="AN58" s="41">
        <f t="shared" ref="AN58:AQ58" si="75">AN50+AN51+AN52+AN53+AN54+AN55+AN56+AN57</f>
        <v>0</v>
      </c>
      <c r="AO58" s="42">
        <f t="shared" si="75"/>
        <v>0</v>
      </c>
      <c r="AP58" s="43">
        <f t="shared" si="75"/>
        <v>0</v>
      </c>
      <c r="AQ58" s="44">
        <f t="shared" si="75"/>
        <v>0</v>
      </c>
    </row>
    <row r="59" hidden="1">
      <c r="A59" s="19"/>
      <c r="B59" s="19"/>
      <c r="C59" s="45" t="s">
        <v>24</v>
      </c>
      <c r="D59" s="50">
        <f>D58-E58</f>
        <v>0</v>
      </c>
      <c r="E59" s="47"/>
      <c r="F59" s="48"/>
      <c r="G59" s="51"/>
      <c r="H59" s="51"/>
      <c r="I59" s="19"/>
      <c r="J59" s="45" t="s">
        <v>24</v>
      </c>
      <c r="K59" s="50">
        <f>K58-L58</f>
        <v>0</v>
      </c>
      <c r="L59" s="47"/>
      <c r="M59" s="48"/>
      <c r="N59" s="51"/>
      <c r="O59" s="51"/>
      <c r="P59" s="19"/>
      <c r="Q59" s="45" t="s">
        <v>24</v>
      </c>
      <c r="R59" s="50">
        <f>R58-S58</f>
        <v>0</v>
      </c>
      <c r="S59" s="47"/>
      <c r="T59" s="48"/>
      <c r="U59" s="51"/>
      <c r="V59" s="51"/>
      <c r="W59" s="19"/>
      <c r="X59" s="45" t="s">
        <v>24</v>
      </c>
      <c r="Y59" s="50">
        <f>Y58-Z58</f>
        <v>0</v>
      </c>
      <c r="Z59" s="47"/>
      <c r="AA59" s="48"/>
      <c r="AB59" s="51"/>
      <c r="AC59" s="51"/>
      <c r="AD59" s="19"/>
      <c r="AE59" s="45" t="s">
        <v>24</v>
      </c>
      <c r="AF59" s="50">
        <f>AF58-AG58</f>
        <v>0</v>
      </c>
      <c r="AG59" s="47"/>
      <c r="AH59" s="48"/>
      <c r="AI59" s="51"/>
      <c r="AJ59" s="51"/>
      <c r="AL59" s="53"/>
      <c r="AM59" s="45" t="s">
        <v>25</v>
      </c>
      <c r="AN59" s="50">
        <f>AN58-AO58</f>
        <v>0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0</v>
      </c>
      <c r="E60" s="47"/>
      <c r="F60" s="48"/>
      <c r="G60" s="67"/>
      <c r="H60" s="51"/>
      <c r="I60" s="53"/>
      <c r="J60" s="56" t="s">
        <v>26</v>
      </c>
      <c r="K60" s="57">
        <f>M58-L58</f>
        <v>0</v>
      </c>
      <c r="L60" s="47"/>
      <c r="M60" s="48"/>
      <c r="N60" s="51"/>
      <c r="O60" s="51"/>
      <c r="P60" s="53"/>
      <c r="Q60" s="56" t="s">
        <v>26</v>
      </c>
      <c r="R60" s="57">
        <f>T58-S58</f>
        <v>0</v>
      </c>
      <c r="S60" s="47"/>
      <c r="T60" s="48"/>
      <c r="U60" s="51"/>
      <c r="V60" s="51"/>
      <c r="W60" s="53"/>
      <c r="X60" s="56" t="s">
        <v>26</v>
      </c>
      <c r="Y60" s="57">
        <f>AA58-Z58</f>
        <v>0</v>
      </c>
      <c r="Z60" s="47"/>
      <c r="AA60" s="48"/>
      <c r="AB60" s="51"/>
      <c r="AC60" s="51"/>
      <c r="AD60" s="53"/>
      <c r="AE60" s="56" t="s">
        <v>26</v>
      </c>
      <c r="AF60" s="57">
        <f>AH58-AG58</f>
        <v>0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2" t="s">
        <v>1</v>
      </c>
      <c r="K61" s="4" t="s">
        <v>7</v>
      </c>
      <c r="L61" s="2" t="s">
        <v>3</v>
      </c>
      <c r="M61" s="2" t="s">
        <v>4</v>
      </c>
      <c r="N61" s="2" t="s">
        <v>5</v>
      </c>
      <c r="O61" s="5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1" t="s">
        <v>1</v>
      </c>
      <c r="Y61" s="307" t="s">
        <v>7</v>
      </c>
      <c r="Z61" s="1" t="s">
        <v>3</v>
      </c>
      <c r="AA61" s="1" t="s">
        <v>4</v>
      </c>
      <c r="AB61" s="1" t="s">
        <v>5</v>
      </c>
      <c r="AC61" s="308" t="s">
        <v>6</v>
      </c>
      <c r="AD61" s="2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>
        <v>45815.0</v>
      </c>
      <c r="C62" s="9" t="s">
        <v>10</v>
      </c>
      <c r="D62" s="10"/>
      <c r="E62" s="10"/>
      <c r="F62" s="10"/>
      <c r="G62" s="10"/>
      <c r="H62" s="11"/>
      <c r="I62" s="12">
        <v>45822.0</v>
      </c>
      <c r="J62" s="9" t="s">
        <v>10</v>
      </c>
      <c r="K62" s="10"/>
      <c r="L62" s="10"/>
      <c r="M62" s="10"/>
      <c r="N62" s="10"/>
      <c r="O62" s="11"/>
      <c r="P62" s="8">
        <v>45829.0</v>
      </c>
      <c r="Q62" s="9" t="s">
        <v>10</v>
      </c>
      <c r="R62" s="10"/>
      <c r="S62" s="10"/>
      <c r="T62" s="10"/>
      <c r="U62" s="10"/>
      <c r="V62" s="11"/>
      <c r="W62" s="8">
        <v>45836.0</v>
      </c>
      <c r="X62" s="9" t="s">
        <v>10</v>
      </c>
      <c r="Y62" s="10"/>
      <c r="Z62" s="10"/>
      <c r="AA62" s="10"/>
      <c r="AB62" s="10"/>
      <c r="AC62" s="11"/>
      <c r="AD62" s="12"/>
      <c r="AE62" s="9" t="s">
        <v>10</v>
      </c>
      <c r="AF62" s="10"/>
      <c r="AG62" s="10"/>
      <c r="AH62" s="10"/>
      <c r="AI62" s="10"/>
      <c r="AJ62" s="11"/>
      <c r="AL62" s="18" t="s">
        <v>40</v>
      </c>
      <c r="AM62" s="9" t="s">
        <v>10</v>
      </c>
      <c r="AN62" s="10">
        <f t="shared" ref="AN62:AP62" si="76">D62+K62+R62+Y62+AF62</f>
        <v>0</v>
      </c>
      <c r="AO62" s="10">
        <f t="shared" si="76"/>
        <v>0</v>
      </c>
      <c r="AP62" s="10">
        <f t="shared" si="76"/>
        <v>0</v>
      </c>
      <c r="AQ62" s="11">
        <f t="shared" ref="AQ62:AQ69" si="78">H62+O62+V62+AC62+AJ62</f>
        <v>0</v>
      </c>
    </row>
    <row r="63">
      <c r="A63" s="19"/>
      <c r="B63" s="19"/>
      <c r="C63" s="9" t="s">
        <v>12</v>
      </c>
      <c r="D63" s="10"/>
      <c r="E63" s="10"/>
      <c r="F63" s="10"/>
      <c r="G63" s="10"/>
      <c r="H63" s="11"/>
      <c r="I63" s="19"/>
      <c r="J63" s="9" t="s">
        <v>12</v>
      </c>
      <c r="K63" s="10"/>
      <c r="L63" s="10"/>
      <c r="M63" s="10"/>
      <c r="N63" s="10"/>
      <c r="O63" s="11"/>
      <c r="P63" s="19"/>
      <c r="Q63" s="9" t="s">
        <v>12</v>
      </c>
      <c r="R63" s="72"/>
      <c r="S63" s="10"/>
      <c r="T63" s="72"/>
      <c r="U63" s="10"/>
      <c r="V63" s="11"/>
      <c r="W63" s="19"/>
      <c r="X63" s="9" t="s">
        <v>12</v>
      </c>
      <c r="Y63" s="10"/>
      <c r="Z63" s="10"/>
      <c r="AA63" s="10"/>
      <c r="AB63" s="10"/>
      <c r="AC63" s="11"/>
      <c r="AD63" s="19"/>
      <c r="AE63" s="9" t="s">
        <v>12</v>
      </c>
      <c r="AF63" s="10"/>
      <c r="AG63" s="10"/>
      <c r="AH63" s="10"/>
      <c r="AI63" s="10"/>
      <c r="AJ63" s="11"/>
      <c r="AL63" s="19"/>
      <c r="AM63" s="9" t="s">
        <v>12</v>
      </c>
      <c r="AN63" s="10">
        <f t="shared" ref="AN63:AP63" si="77">D63+K63+R63+Y63+AF63</f>
        <v>0</v>
      </c>
      <c r="AO63" s="10">
        <f t="shared" si="77"/>
        <v>0</v>
      </c>
      <c r="AP63" s="10">
        <f t="shared" si="77"/>
        <v>0</v>
      </c>
      <c r="AQ63" s="11">
        <f t="shared" si="78"/>
        <v>0</v>
      </c>
    </row>
    <row r="64">
      <c r="A64" s="19"/>
      <c r="B64" s="19"/>
      <c r="C64" s="290" t="s">
        <v>14</v>
      </c>
      <c r="D64" s="291"/>
      <c r="E64" s="10"/>
      <c r="F64" s="10"/>
      <c r="G64" s="10"/>
      <c r="H64" s="11"/>
      <c r="I64" s="19"/>
      <c r="J64" s="9" t="s">
        <v>14</v>
      </c>
      <c r="K64" s="10"/>
      <c r="L64" s="10"/>
      <c r="M64" s="10"/>
      <c r="N64" s="10"/>
      <c r="O64" s="11"/>
      <c r="P64" s="19"/>
      <c r="Q64" s="9" t="s">
        <v>14</v>
      </c>
      <c r="R64" s="10"/>
      <c r="S64" s="10"/>
      <c r="T64" s="10"/>
      <c r="U64" s="10"/>
      <c r="V64" s="11"/>
      <c r="W64" s="19"/>
      <c r="X64" s="9" t="s">
        <v>14</v>
      </c>
      <c r="Y64" s="10"/>
      <c r="Z64" s="10"/>
      <c r="AA64" s="10"/>
      <c r="AB64" s="10"/>
      <c r="AC64" s="11"/>
      <c r="AD64" s="19"/>
      <c r="AE64" s="9" t="s">
        <v>14</v>
      </c>
      <c r="AF64" s="10"/>
      <c r="AG64" s="10"/>
      <c r="AH64" s="10"/>
      <c r="AI64" s="10"/>
      <c r="AJ64" s="11"/>
      <c r="AL64" s="19"/>
      <c r="AM64" s="9" t="s">
        <v>14</v>
      </c>
      <c r="AN64" s="10">
        <f t="shared" ref="AN64:AP64" si="79">D64+K64+R64+Y64+AF64</f>
        <v>0</v>
      </c>
      <c r="AO64" s="10">
        <f t="shared" si="79"/>
        <v>0</v>
      </c>
      <c r="AP64" s="10">
        <f t="shared" si="79"/>
        <v>0</v>
      </c>
      <c r="AQ64" s="11">
        <f t="shared" si="78"/>
        <v>0</v>
      </c>
    </row>
    <row r="65">
      <c r="A65" s="19"/>
      <c r="B65" s="19"/>
      <c r="C65" s="9" t="s">
        <v>16</v>
      </c>
      <c r="D65" s="10"/>
      <c r="E65" s="10"/>
      <c r="F65" s="10"/>
      <c r="G65" s="10"/>
      <c r="H65" s="11"/>
      <c r="I65" s="19"/>
      <c r="J65" s="9" t="s">
        <v>16</v>
      </c>
      <c r="K65" s="10"/>
      <c r="L65" s="10"/>
      <c r="M65" s="10"/>
      <c r="N65" s="10"/>
      <c r="O65" s="11"/>
      <c r="P65" s="19"/>
      <c r="Q65" s="9" t="s">
        <v>16</v>
      </c>
      <c r="R65" s="10"/>
      <c r="S65" s="10"/>
      <c r="T65" s="10"/>
      <c r="U65" s="10"/>
      <c r="V65" s="11"/>
      <c r="W65" s="19"/>
      <c r="X65" s="9" t="s">
        <v>16</v>
      </c>
      <c r="Y65" s="10"/>
      <c r="Z65" s="10"/>
      <c r="AA65" s="10"/>
      <c r="AB65" s="10"/>
      <c r="AC65" s="11"/>
      <c r="AD65" s="19"/>
      <c r="AE65" s="9" t="s">
        <v>16</v>
      </c>
      <c r="AF65" s="10"/>
      <c r="AG65" s="10"/>
      <c r="AH65" s="10"/>
      <c r="AI65" s="10"/>
      <c r="AJ65" s="11"/>
      <c r="AL65" s="19"/>
      <c r="AM65" s="9" t="s">
        <v>16</v>
      </c>
      <c r="AN65" s="10">
        <f t="shared" ref="AN65:AP65" si="80">D65+K65+R65+Y65+AF65</f>
        <v>0</v>
      </c>
      <c r="AO65" s="10">
        <f t="shared" si="80"/>
        <v>0</v>
      </c>
      <c r="AP65" s="10">
        <f t="shared" si="80"/>
        <v>0</v>
      </c>
      <c r="AQ65" s="11">
        <f t="shared" si="78"/>
        <v>0</v>
      </c>
    </row>
    <row r="66">
      <c r="A66" s="19"/>
      <c r="B66" s="19"/>
      <c r="C66" s="9" t="s">
        <v>17</v>
      </c>
      <c r="D66" s="10"/>
      <c r="E66" s="10"/>
      <c r="F66" s="10"/>
      <c r="G66" s="10"/>
      <c r="H66" s="11"/>
      <c r="I66" s="19"/>
      <c r="J66" s="9" t="s">
        <v>17</v>
      </c>
      <c r="K66" s="10"/>
      <c r="L66" s="10"/>
      <c r="M66" s="10"/>
      <c r="N66" s="10"/>
      <c r="O66" s="11"/>
      <c r="P66" s="19"/>
      <c r="Q66" s="9" t="s">
        <v>17</v>
      </c>
      <c r="R66" s="10"/>
      <c r="S66" s="10"/>
      <c r="T66" s="10"/>
      <c r="U66" s="10"/>
      <c r="V66" s="11"/>
      <c r="W66" s="19"/>
      <c r="X66" s="9" t="s">
        <v>17</v>
      </c>
      <c r="Y66" s="10"/>
      <c r="Z66" s="10"/>
      <c r="AA66" s="10"/>
      <c r="AB66" s="10"/>
      <c r="AC66" s="11"/>
      <c r="AD66" s="19"/>
      <c r="AE66" s="9" t="s">
        <v>17</v>
      </c>
      <c r="AF66" s="10"/>
      <c r="AG66" s="10"/>
      <c r="AH66" s="10"/>
      <c r="AI66" s="10"/>
      <c r="AJ66" s="11"/>
      <c r="AL66" s="19"/>
      <c r="AM66" s="9" t="s">
        <v>17</v>
      </c>
      <c r="AN66" s="10">
        <f t="shared" ref="AN66:AP66" si="81">D66+K66+R66+Y66+AF66</f>
        <v>0</v>
      </c>
      <c r="AO66" s="10">
        <f t="shared" si="81"/>
        <v>0</v>
      </c>
      <c r="AP66" s="10">
        <f t="shared" si="81"/>
        <v>0</v>
      </c>
      <c r="AQ66" s="11">
        <f t="shared" si="78"/>
        <v>0</v>
      </c>
    </row>
    <row r="67">
      <c r="A67" s="19"/>
      <c r="B67" s="19"/>
      <c r="C67" s="9" t="s">
        <v>18</v>
      </c>
      <c r="D67" s="10"/>
      <c r="E67" s="10"/>
      <c r="F67" s="10"/>
      <c r="G67" s="10"/>
      <c r="H67" s="11"/>
      <c r="I67" s="19"/>
      <c r="J67" s="9" t="s">
        <v>18</v>
      </c>
      <c r="K67" s="10"/>
      <c r="L67" s="10"/>
      <c r="M67" s="10"/>
      <c r="N67" s="10"/>
      <c r="O67" s="11"/>
      <c r="P67" s="19"/>
      <c r="Q67" s="9" t="s">
        <v>18</v>
      </c>
      <c r="R67" s="10"/>
      <c r="S67" s="10"/>
      <c r="T67" s="10"/>
      <c r="U67" s="10"/>
      <c r="V67" s="11"/>
      <c r="W67" s="19"/>
      <c r="X67" s="9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2">D67+K67+R67+Y67+AF67</f>
        <v>0</v>
      </c>
      <c r="AO67" s="10">
        <f t="shared" si="82"/>
        <v>0</v>
      </c>
      <c r="AP67" s="10">
        <f t="shared" si="82"/>
        <v>0</v>
      </c>
      <c r="AQ67" s="11">
        <f t="shared" si="78"/>
        <v>0</v>
      </c>
    </row>
    <row r="68">
      <c r="A68" s="19"/>
      <c r="B68" s="19"/>
      <c r="C68" s="9" t="s">
        <v>20</v>
      </c>
      <c r="D68" s="10"/>
      <c r="E68" s="10"/>
      <c r="F68" s="10"/>
      <c r="G68" s="10"/>
      <c r="H68" s="11"/>
      <c r="I68" s="19"/>
      <c r="J68" s="9" t="s">
        <v>20</v>
      </c>
      <c r="K68" s="10"/>
      <c r="L68" s="10"/>
      <c r="M68" s="10"/>
      <c r="N68" s="10"/>
      <c r="O68" s="11"/>
      <c r="P68" s="19"/>
      <c r="Q68" s="9" t="s">
        <v>19</v>
      </c>
      <c r="R68" s="10"/>
      <c r="S68" s="10"/>
      <c r="T68" s="10"/>
      <c r="U68" s="10"/>
      <c r="V68" s="11"/>
      <c r="W68" s="19"/>
      <c r="X68" s="9" t="s">
        <v>19</v>
      </c>
      <c r="Y68" s="10"/>
      <c r="Z68" s="10"/>
      <c r="AA68" s="10"/>
      <c r="AB68" s="10"/>
      <c r="AC68" s="11"/>
      <c r="AD68" s="19"/>
      <c r="AE68" s="9" t="s">
        <v>19</v>
      </c>
      <c r="AF68" s="10"/>
      <c r="AG68" s="10"/>
      <c r="AH68" s="10"/>
      <c r="AI68" s="10"/>
      <c r="AJ68" s="11"/>
      <c r="AL68" s="19"/>
      <c r="AM68" s="9" t="s">
        <v>19</v>
      </c>
      <c r="AN68" s="10">
        <f t="shared" ref="AN68:AP68" si="83">D68+K68+R68+Y68+AF68</f>
        <v>0</v>
      </c>
      <c r="AO68" s="10">
        <f t="shared" si="83"/>
        <v>0</v>
      </c>
      <c r="AP68" s="10">
        <f t="shared" si="83"/>
        <v>0</v>
      </c>
      <c r="AQ68" s="11">
        <f t="shared" si="78"/>
        <v>0</v>
      </c>
    </row>
    <row r="69">
      <c r="A69" s="19"/>
      <c r="B69" s="19"/>
      <c r="C69" s="26" t="s">
        <v>21</v>
      </c>
      <c r="D69" s="10"/>
      <c r="E69" s="10"/>
      <c r="F69" s="10"/>
      <c r="G69" s="10"/>
      <c r="H69" s="11"/>
      <c r="I69" s="19"/>
      <c r="J69" s="26" t="s">
        <v>21</v>
      </c>
      <c r="K69" s="10"/>
      <c r="L69" s="10"/>
      <c r="M69" s="10"/>
      <c r="N69" s="10"/>
      <c r="O69" s="11"/>
      <c r="P69" s="19"/>
      <c r="Q69" s="26" t="s">
        <v>21</v>
      </c>
      <c r="R69" s="10"/>
      <c r="S69" s="10"/>
      <c r="T69" s="10"/>
      <c r="U69" s="10"/>
      <c r="V69" s="11"/>
      <c r="W69" s="19"/>
      <c r="X69" s="26" t="s">
        <v>21</v>
      </c>
      <c r="Y69" s="10"/>
      <c r="Z69" s="10"/>
      <c r="AA69" s="10"/>
      <c r="AB69" s="10"/>
      <c r="AC69" s="11"/>
      <c r="AD69" s="19"/>
      <c r="AE69" s="26" t="s">
        <v>21</v>
      </c>
      <c r="AF69" s="10"/>
      <c r="AG69" s="10"/>
      <c r="AH69" s="10"/>
      <c r="AI69" s="10"/>
      <c r="AJ69" s="11"/>
      <c r="AL69" s="19"/>
      <c r="AM69" s="26" t="s">
        <v>21</v>
      </c>
      <c r="AN69" s="10">
        <f t="shared" ref="AN69:AP69" si="84">D69+K69+R69+Y69+AF69</f>
        <v>0</v>
      </c>
      <c r="AO69" s="10">
        <f t="shared" si="84"/>
        <v>0</v>
      </c>
      <c r="AP69" s="10">
        <f t="shared" si="84"/>
        <v>0</v>
      </c>
      <c r="AQ69" s="11">
        <f t="shared" si="78"/>
        <v>0</v>
      </c>
    </row>
    <row r="70">
      <c r="A70" s="19"/>
      <c r="B70" s="19"/>
      <c r="C70" s="28" t="s">
        <v>23</v>
      </c>
      <c r="D70" s="61">
        <f t="shared" ref="D70:H70" si="85">D62+D63+D64+D65+D66+D67+D68+D69</f>
        <v>0</v>
      </c>
      <c r="E70" s="30">
        <f t="shared" si="85"/>
        <v>0</v>
      </c>
      <c r="F70" s="36">
        <f t="shared" si="85"/>
        <v>0</v>
      </c>
      <c r="G70" s="40">
        <f t="shared" si="85"/>
        <v>0</v>
      </c>
      <c r="H70" s="33">
        <f t="shared" si="85"/>
        <v>0</v>
      </c>
      <c r="I70" s="19"/>
      <c r="J70" s="28" t="s">
        <v>23</v>
      </c>
      <c r="K70" s="29">
        <f t="shared" ref="K70:O70" si="86">K62+K63+K64+K65+K66+K67+K68+K69</f>
        <v>0</v>
      </c>
      <c r="L70" s="30">
        <f t="shared" si="86"/>
        <v>0</v>
      </c>
      <c r="M70" s="31">
        <f t="shared" si="86"/>
        <v>0</v>
      </c>
      <c r="N70" s="40">
        <f t="shared" si="86"/>
        <v>0</v>
      </c>
      <c r="O70" s="33">
        <f t="shared" si="86"/>
        <v>0</v>
      </c>
      <c r="P70" s="19"/>
      <c r="Q70" s="28" t="s">
        <v>23</v>
      </c>
      <c r="R70" s="29">
        <f t="shared" ref="R70:V70" si="87">R62+R63+R64+R65+R66+R67+R68+R69</f>
        <v>0</v>
      </c>
      <c r="S70" s="30">
        <f t="shared" si="87"/>
        <v>0</v>
      </c>
      <c r="T70" s="31">
        <f t="shared" si="87"/>
        <v>0</v>
      </c>
      <c r="U70" s="37">
        <f t="shared" si="87"/>
        <v>0</v>
      </c>
      <c r="V70" s="33">
        <f t="shared" si="87"/>
        <v>0</v>
      </c>
      <c r="W70" s="19"/>
      <c r="X70" s="28" t="s">
        <v>23</v>
      </c>
      <c r="Y70" s="61">
        <f t="shared" ref="Y70:AC70" si="88">Y62+Y63+Y64+Y65+Y66+Y67+Y68+Y69</f>
        <v>0</v>
      </c>
      <c r="Z70" s="30">
        <f t="shared" si="88"/>
        <v>0</v>
      </c>
      <c r="AA70" s="31">
        <f t="shared" si="88"/>
        <v>0</v>
      </c>
      <c r="AB70" s="37">
        <f t="shared" si="88"/>
        <v>0</v>
      </c>
      <c r="AC70" s="33">
        <f t="shared" si="88"/>
        <v>0</v>
      </c>
      <c r="AD70" s="19"/>
      <c r="AE70" s="28" t="s">
        <v>23</v>
      </c>
      <c r="AF70" s="29">
        <f t="shared" ref="AF70:AJ70" si="89">AF62+AF63+AF64+AF65+AF66+AF67+AF68+AF69</f>
        <v>0</v>
      </c>
      <c r="AG70" s="30">
        <f t="shared" si="89"/>
        <v>0</v>
      </c>
      <c r="AH70" s="31">
        <f t="shared" si="89"/>
        <v>0</v>
      </c>
      <c r="AI70" s="32">
        <f t="shared" si="89"/>
        <v>0</v>
      </c>
      <c r="AJ70" s="33">
        <f t="shared" si="89"/>
        <v>0</v>
      </c>
      <c r="AL70" s="19"/>
      <c r="AM70" s="28" t="s">
        <v>23</v>
      </c>
      <c r="AN70" s="41">
        <f t="shared" ref="AN70:AQ70" si="90">AN62+AN63+AN64+AN65+AN66+AN67+AN68+AN69</f>
        <v>0</v>
      </c>
      <c r="AO70" s="42">
        <f t="shared" si="90"/>
        <v>0</v>
      </c>
      <c r="AP70" s="43">
        <f t="shared" si="90"/>
        <v>0</v>
      </c>
      <c r="AQ70" s="44">
        <f t="shared" si="90"/>
        <v>0</v>
      </c>
    </row>
    <row r="71" hidden="1">
      <c r="A71" s="19"/>
      <c r="B71" s="19"/>
      <c r="C71" s="45" t="s">
        <v>24</v>
      </c>
      <c r="D71" s="50">
        <f>D70-E70</f>
        <v>0</v>
      </c>
      <c r="E71" s="47"/>
      <c r="F71" s="48"/>
      <c r="G71" s="51"/>
      <c r="H71" s="51"/>
      <c r="I71" s="19"/>
      <c r="J71" s="45" t="s">
        <v>24</v>
      </c>
      <c r="K71" s="50">
        <f>K70-L70</f>
        <v>0</v>
      </c>
      <c r="L71" s="47"/>
      <c r="M71" s="48"/>
      <c r="N71" s="51"/>
      <c r="O71" s="51"/>
      <c r="P71" s="19"/>
      <c r="Q71" s="45" t="s">
        <v>24</v>
      </c>
      <c r="R71" s="50">
        <f>R70-S70</f>
        <v>0</v>
      </c>
      <c r="S71" s="47"/>
      <c r="T71" s="48"/>
      <c r="U71" s="51"/>
      <c r="V71" s="51"/>
      <c r="W71" s="19"/>
      <c r="X71" s="45" t="s">
        <v>24</v>
      </c>
      <c r="Y71" s="50">
        <f>Y70-Z70</f>
        <v>0</v>
      </c>
      <c r="Z71" s="47"/>
      <c r="AA71" s="48"/>
      <c r="AB71" s="51"/>
      <c r="AC71" s="51"/>
      <c r="AD71" s="19"/>
      <c r="AE71" s="45" t="s">
        <v>24</v>
      </c>
      <c r="AF71" s="50">
        <f>AF70-AG70</f>
        <v>0</v>
      </c>
      <c r="AG71" s="47"/>
      <c r="AH71" s="48"/>
      <c r="AI71" s="51"/>
      <c r="AJ71" s="51"/>
      <c r="AL71" s="53"/>
      <c r="AM71" s="45" t="s">
        <v>25</v>
      </c>
      <c r="AN71" s="50">
        <f>AN70-AO70</f>
        <v>0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0</v>
      </c>
      <c r="E72" s="47"/>
      <c r="F72" s="48"/>
      <c r="G72" s="59"/>
      <c r="H72" s="51"/>
      <c r="I72" s="53"/>
      <c r="J72" s="56" t="s">
        <v>26</v>
      </c>
      <c r="K72" s="57">
        <f>M70-L70</f>
        <v>0</v>
      </c>
      <c r="L72" s="47"/>
      <c r="M72" s="48"/>
      <c r="N72" s="51"/>
      <c r="O72" s="51"/>
      <c r="P72" s="53"/>
      <c r="Q72" s="56" t="s">
        <v>26</v>
      </c>
      <c r="R72" s="57">
        <f>T70-S70</f>
        <v>0</v>
      </c>
      <c r="S72" s="47"/>
      <c r="T72" s="48"/>
      <c r="U72" s="51"/>
      <c r="V72" s="51"/>
      <c r="W72" s="53"/>
      <c r="X72" s="56" t="s">
        <v>26</v>
      </c>
      <c r="Y72" s="57">
        <f>AA70-Z70</f>
        <v>0</v>
      </c>
      <c r="Z72" s="47"/>
      <c r="AA72" s="48"/>
      <c r="AB72" s="59"/>
      <c r="AC72" s="51"/>
      <c r="AD72" s="53"/>
      <c r="AE72" s="56" t="s">
        <v>26</v>
      </c>
      <c r="AF72" s="57">
        <f>AH70-AG70</f>
        <v>0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45816.0</v>
      </c>
      <c r="C74" s="9" t="s">
        <v>10</v>
      </c>
      <c r="D74" s="10"/>
      <c r="E74" s="10"/>
      <c r="F74" s="10"/>
      <c r="G74" s="10"/>
      <c r="H74" s="11"/>
      <c r="I74" s="12">
        <v>45823.0</v>
      </c>
      <c r="J74" s="9"/>
      <c r="K74" s="10"/>
      <c r="L74" s="10"/>
      <c r="M74" s="10"/>
      <c r="N74" s="10"/>
      <c r="O74" s="11"/>
      <c r="P74" s="8">
        <v>45830.0</v>
      </c>
      <c r="Q74" s="9"/>
      <c r="R74" s="10"/>
      <c r="S74" s="10"/>
      <c r="T74" s="10"/>
      <c r="U74" s="10"/>
      <c r="V74" s="11"/>
      <c r="W74" s="8">
        <v>45837.0</v>
      </c>
      <c r="X74" s="9"/>
      <c r="Y74" s="10"/>
      <c r="Z74" s="10"/>
      <c r="AA74" s="10"/>
      <c r="AB74" s="10"/>
      <c r="AC74" s="11"/>
      <c r="AD74" s="12"/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/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9" t="s">
        <v>14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/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/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/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/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/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22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1">D81+K81+R81+Y81+AF81</f>
        <v>0</v>
      </c>
      <c r="AO81" s="10">
        <f t="shared" si="91"/>
        <v>0</v>
      </c>
      <c r="AP81" s="10">
        <f t="shared" si="91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2">D74+D75+D76+D77+D78+D79+D80+D81</f>
        <v>0</v>
      </c>
      <c r="E82" s="30">
        <f t="shared" si="92"/>
        <v>0</v>
      </c>
      <c r="F82" s="31">
        <f t="shared" si="92"/>
        <v>0</v>
      </c>
      <c r="G82" s="32">
        <f t="shared" si="92"/>
        <v>0</v>
      </c>
      <c r="H82" s="33">
        <f t="shared" si="92"/>
        <v>0</v>
      </c>
      <c r="I82" s="19"/>
      <c r="J82" s="28" t="s">
        <v>23</v>
      </c>
      <c r="K82" s="29">
        <f t="shared" ref="K82:O82" si="93">K74+K75+K76+K77+K78+K79+K80+K81</f>
        <v>0</v>
      </c>
      <c r="L82" s="30">
        <f t="shared" si="93"/>
        <v>0</v>
      </c>
      <c r="M82" s="31">
        <f t="shared" si="93"/>
        <v>0</v>
      </c>
      <c r="N82" s="32">
        <f t="shared" si="93"/>
        <v>0</v>
      </c>
      <c r="O82" s="33">
        <f t="shared" si="93"/>
        <v>0</v>
      </c>
      <c r="P82" s="19"/>
      <c r="Q82" s="28" t="s">
        <v>23</v>
      </c>
      <c r="R82" s="29">
        <f t="shared" ref="R82:V82" si="94">R74+R75+R76+R77+R78+R79+R80+R81</f>
        <v>0</v>
      </c>
      <c r="S82" s="30">
        <f t="shared" si="94"/>
        <v>0</v>
      </c>
      <c r="T82" s="31">
        <f t="shared" si="94"/>
        <v>0</v>
      </c>
      <c r="U82" s="32">
        <f t="shared" si="94"/>
        <v>0</v>
      </c>
      <c r="V82" s="33">
        <f t="shared" si="94"/>
        <v>0</v>
      </c>
      <c r="W82" s="19"/>
      <c r="X82" s="28" t="s">
        <v>23</v>
      </c>
      <c r="Y82" s="29">
        <f t="shared" ref="Y82:AC82" si="95">Y74+Y75+Y76+Y77+Y78+Y79+Y80+Y81</f>
        <v>0</v>
      </c>
      <c r="Z82" s="30">
        <f t="shared" si="95"/>
        <v>0</v>
      </c>
      <c r="AA82" s="31">
        <f t="shared" si="95"/>
        <v>0</v>
      </c>
      <c r="AB82" s="32">
        <f t="shared" si="95"/>
        <v>0</v>
      </c>
      <c r="AC82" s="33">
        <f t="shared" si="95"/>
        <v>0</v>
      </c>
      <c r="AD82" s="19"/>
      <c r="AE82" s="28" t="s">
        <v>23</v>
      </c>
      <c r="AF82" s="29">
        <f t="shared" ref="AF82:AJ82" si="96">AF74+AF75+AF76+AF77+AF78+AF79+AF80+AF81</f>
        <v>0</v>
      </c>
      <c r="AG82" s="30">
        <f t="shared" si="96"/>
        <v>0</v>
      </c>
      <c r="AH82" s="31">
        <f t="shared" si="96"/>
        <v>0</v>
      </c>
      <c r="AI82" s="32">
        <f t="shared" si="96"/>
        <v>0</v>
      </c>
      <c r="AJ82" s="33">
        <f t="shared" si="96"/>
        <v>0</v>
      </c>
      <c r="AL82" s="19"/>
      <c r="AM82" s="28" t="s">
        <v>23</v>
      </c>
      <c r="AN82" s="41">
        <f t="shared" ref="AN82:AQ82" si="97">AN74+AN75+AN76+AN77+AN78+AN79+AN80+AN81</f>
        <v>0</v>
      </c>
      <c r="AO82" s="42">
        <f t="shared" si="97"/>
        <v>0</v>
      </c>
      <c r="AP82" s="43">
        <f t="shared" si="97"/>
        <v>0</v>
      </c>
      <c r="AQ82" s="44">
        <f t="shared" si="97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44</v>
      </c>
      <c r="D87" s="47"/>
      <c r="E87" s="47"/>
      <c r="F87" s="47"/>
      <c r="G87" s="47"/>
      <c r="H87" s="48"/>
      <c r="I87" s="76"/>
      <c r="J87" s="77" t="s">
        <v>44</v>
      </c>
      <c r="K87" s="47"/>
      <c r="L87" s="47"/>
      <c r="M87" s="47"/>
      <c r="N87" s="47"/>
      <c r="O87" s="48"/>
      <c r="P87" s="76"/>
      <c r="Q87" s="77" t="s">
        <v>44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45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0</v>
      </c>
      <c r="E88" s="47"/>
      <c r="F88" s="47"/>
      <c r="G88" s="47"/>
      <c r="H88" s="48"/>
      <c r="J88" s="9" t="s">
        <v>7</v>
      </c>
      <c r="K88" s="79">
        <f>K10+K22+K34+K46+K58+K70+K82</f>
        <v>0</v>
      </c>
      <c r="L88" s="47"/>
      <c r="M88" s="47"/>
      <c r="N88" s="47"/>
      <c r="O88" s="48"/>
      <c r="Q88" s="9" t="s">
        <v>7</v>
      </c>
      <c r="R88" s="79">
        <f>R10+R22+R34+R46+R58+R70+R82</f>
        <v>0</v>
      </c>
      <c r="S88" s="47"/>
      <c r="T88" s="47"/>
      <c r="U88" s="47"/>
      <c r="V88" s="48"/>
      <c r="X88" s="9" t="s">
        <v>7</v>
      </c>
      <c r="Y88" s="79">
        <f>Y10+Y22+Y34+Y46+Y58+Y70+Y82</f>
        <v>0</v>
      </c>
      <c r="Z88" s="47"/>
      <c r="AA88" s="47"/>
      <c r="AB88" s="47"/>
      <c r="AC88" s="48"/>
      <c r="AE88" s="9" t="s">
        <v>7</v>
      </c>
      <c r="AF88" s="79">
        <f>AF10+AF22+AF34+AF46+AF58+AF70+AF82</f>
        <v>0</v>
      </c>
      <c r="AG88" s="47"/>
      <c r="AH88" s="47"/>
      <c r="AI88" s="47"/>
      <c r="AJ88" s="48"/>
      <c r="AN88" s="55">
        <f t="array" ref="AN88">AN10+AN22+AN34+AN46+AN58+AN70</f>
        <v>0</v>
      </c>
      <c r="AP88" s="55">
        <f t="array" ref="AP88">AP10+AP22+AP34+AP46+AP58+AP70</f>
        <v>0</v>
      </c>
    </row>
    <row r="89">
      <c r="A89" s="78"/>
      <c r="C89" s="9" t="s">
        <v>3</v>
      </c>
      <c r="D89" s="80">
        <f>E10+E22+E34+E46+E58+E70+E82</f>
        <v>0</v>
      </c>
      <c r="E89" s="47"/>
      <c r="F89" s="47"/>
      <c r="G89" s="47"/>
      <c r="H89" s="48"/>
      <c r="J89" s="9" t="s">
        <v>3</v>
      </c>
      <c r="K89" s="80">
        <f>L10+L22+L34+L46+L58+L70+L82</f>
        <v>0</v>
      </c>
      <c r="L89" s="47"/>
      <c r="M89" s="47"/>
      <c r="N89" s="47"/>
      <c r="O89" s="48"/>
      <c r="Q89" s="9" t="s">
        <v>3</v>
      </c>
      <c r="R89" s="80">
        <f>S10+S22+S34+S46+S58+S70+S82</f>
        <v>0</v>
      </c>
      <c r="S89" s="47"/>
      <c r="T89" s="47"/>
      <c r="U89" s="47"/>
      <c r="V89" s="48"/>
      <c r="X89" s="9" t="s">
        <v>3</v>
      </c>
      <c r="Y89" s="80">
        <f>Z10+Z22+Z34+Z46+Z58+Z70+Z82</f>
        <v>0</v>
      </c>
      <c r="Z89" s="47"/>
      <c r="AA89" s="47"/>
      <c r="AB89" s="47"/>
      <c r="AC89" s="48"/>
      <c r="AE89" s="9" t="s">
        <v>3</v>
      </c>
      <c r="AF89" s="80">
        <f>AG10+AG22+AG34+AG46+AG58+AG70+AG82</f>
        <v>0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0</v>
      </c>
      <c r="E90" s="47"/>
      <c r="F90" s="47"/>
      <c r="G90" s="47"/>
      <c r="H90" s="48"/>
      <c r="J90" s="9" t="s">
        <v>46</v>
      </c>
      <c r="K90" s="81">
        <f>M10+M22+M34+M46+M58+M70+M82</f>
        <v>0</v>
      </c>
      <c r="L90" s="47"/>
      <c r="M90" s="47"/>
      <c r="N90" s="47"/>
      <c r="O90" s="48"/>
      <c r="Q90" s="9" t="s">
        <v>46</v>
      </c>
      <c r="R90" s="81">
        <f>T10+T22+T34+T46+T58+T70+T82</f>
        <v>0</v>
      </c>
      <c r="S90" s="47"/>
      <c r="T90" s="47"/>
      <c r="U90" s="47"/>
      <c r="V90" s="48"/>
      <c r="X90" s="9" t="s">
        <v>46</v>
      </c>
      <c r="Y90" s="81">
        <f>AA10+AA22+AA34+AA46+AA58+AA70+AA82</f>
        <v>0</v>
      </c>
      <c r="Z90" s="47"/>
      <c r="AA90" s="47"/>
      <c r="AB90" s="47"/>
      <c r="AC90" s="48"/>
      <c r="AE90" s="9" t="s">
        <v>46</v>
      </c>
      <c r="AF90" s="81">
        <f>AH10+AH22+AH34+AH46+AH58+AH70+AH82</f>
        <v>0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0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0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0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0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0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0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0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0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0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0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0</v>
      </c>
      <c r="E93" s="47"/>
      <c r="F93" s="47"/>
      <c r="G93" s="47"/>
      <c r="H93" s="48"/>
      <c r="J93" s="9" t="s">
        <v>49</v>
      </c>
      <c r="K93" s="84">
        <f t="array" ref="K93">O10+O22+O34+O46+O58+O70+O82</f>
        <v>0</v>
      </c>
      <c r="L93" s="47"/>
      <c r="M93" s="47"/>
      <c r="N93" s="47"/>
      <c r="O93" s="48"/>
      <c r="Q93" s="9" t="s">
        <v>49</v>
      </c>
      <c r="R93" s="84">
        <f t="array" ref="R93">V10+V22+V34+V46+V58+V70+V82</f>
        <v>0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0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0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8">D2+D14+D26+D38+D50+D62</f>
        <v>0</v>
      </c>
      <c r="E98" s="10">
        <f t="shared" si="98"/>
        <v>0</v>
      </c>
      <c r="F98" s="10">
        <f t="shared" si="98"/>
        <v>0</v>
      </c>
      <c r="G98" s="86">
        <f t="shared" ref="G98:G105" si="104">F98-E98</f>
        <v>0</v>
      </c>
      <c r="H98" s="87">
        <f t="shared" ref="H98:H104" si="105">H2+H14+H26+H38+H50+H62</f>
        <v>0</v>
      </c>
      <c r="J98" s="9" t="s">
        <v>10</v>
      </c>
      <c r="K98" s="85">
        <f t="shared" ref="K98:M98" si="99">K2+K14+K26+K38+K50+K62</f>
        <v>0</v>
      </c>
      <c r="L98" s="10">
        <f t="shared" si="99"/>
        <v>0</v>
      </c>
      <c r="M98" s="10">
        <f t="shared" si="99"/>
        <v>0</v>
      </c>
      <c r="N98" s="86">
        <f t="shared" ref="N98:N105" si="107">M98-L98</f>
        <v>0</v>
      </c>
      <c r="O98" s="87">
        <f t="shared" ref="O98:O104" si="108">O2+O14+O26+O38+O50+O62</f>
        <v>0</v>
      </c>
      <c r="Q98" s="9" t="s">
        <v>10</v>
      </c>
      <c r="R98" s="85">
        <f t="shared" ref="R98:T98" si="100">R2+R14+R26+R38+R50+R62</f>
        <v>0</v>
      </c>
      <c r="S98" s="10">
        <f t="shared" si="100"/>
        <v>0</v>
      </c>
      <c r="T98" s="10">
        <f t="shared" si="100"/>
        <v>0</v>
      </c>
      <c r="U98" s="86">
        <f t="shared" ref="U98:U105" si="110">T98-S98</f>
        <v>0</v>
      </c>
      <c r="V98" s="87">
        <f t="shared" ref="V98:V104" si="111">V2+V14+V26+V38+V50+V62</f>
        <v>0</v>
      </c>
      <c r="X98" s="9" t="s">
        <v>10</v>
      </c>
      <c r="Y98" s="85">
        <f t="shared" ref="Y98:AA98" si="101">Y2+Y14+Y26+Y38+Y50+Y62</f>
        <v>0</v>
      </c>
      <c r="Z98" s="10">
        <f t="shared" si="101"/>
        <v>0</v>
      </c>
      <c r="AA98" s="10">
        <f t="shared" si="101"/>
        <v>0</v>
      </c>
      <c r="AB98" s="86">
        <f t="shared" ref="AB98:AB105" si="113">AA98-Z98</f>
        <v>0</v>
      </c>
      <c r="AC98" s="87">
        <f t="shared" ref="AC98:AC104" si="114">AC2+AC14+AC26+AC38+AC50+AC62</f>
        <v>0</v>
      </c>
      <c r="AE98" s="9" t="s">
        <v>10</v>
      </c>
      <c r="AF98" s="85">
        <f t="shared" ref="AF98:AH98" si="102">AF2+AF14+AF26+AF38+AF50+AF62</f>
        <v>0</v>
      </c>
      <c r="AG98" s="10">
        <f t="shared" si="102"/>
        <v>0</v>
      </c>
      <c r="AH98" s="10">
        <f t="shared" si="102"/>
        <v>0</v>
      </c>
      <c r="AI98" s="86">
        <f t="shared" ref="AI98:AI105" si="116">AH98-AG98</f>
        <v>0</v>
      </c>
      <c r="AJ98" s="87">
        <f t="shared" ref="AJ98:AJ104" si="117">AJ2+AJ14+AJ26+AJ38+AJ50+AJ62</f>
        <v>0</v>
      </c>
    </row>
    <row r="99">
      <c r="C99" s="9" t="s">
        <v>12</v>
      </c>
      <c r="D99" s="85">
        <f t="shared" ref="D99:F99" si="103">D3+D15+D27+D39+D51+D63</f>
        <v>0</v>
      </c>
      <c r="E99" s="10">
        <f t="shared" si="103"/>
        <v>0</v>
      </c>
      <c r="F99" s="10">
        <f t="shared" si="103"/>
        <v>0</v>
      </c>
      <c r="G99" s="86">
        <f t="shared" si="104"/>
        <v>0</v>
      </c>
      <c r="H99" s="87">
        <f t="shared" si="105"/>
        <v>0</v>
      </c>
      <c r="J99" s="9" t="s">
        <v>12</v>
      </c>
      <c r="K99" s="85">
        <f t="shared" ref="K99:M99" si="106">K3+K15+K27+K39+K51+K63</f>
        <v>0</v>
      </c>
      <c r="L99" s="10">
        <f t="shared" si="106"/>
        <v>0</v>
      </c>
      <c r="M99" s="10">
        <f t="shared" si="106"/>
        <v>0</v>
      </c>
      <c r="N99" s="86">
        <f t="shared" si="107"/>
        <v>0</v>
      </c>
      <c r="O99" s="87">
        <f t="shared" si="108"/>
        <v>0</v>
      </c>
      <c r="Q99" s="9" t="s">
        <v>12</v>
      </c>
      <c r="R99" s="85">
        <f t="shared" ref="R99:T99" si="109">R3+R15+R27+R39+R51+R63</f>
        <v>0</v>
      </c>
      <c r="S99" s="10">
        <f t="shared" si="109"/>
        <v>0</v>
      </c>
      <c r="T99" s="10">
        <f t="shared" si="109"/>
        <v>0</v>
      </c>
      <c r="U99" s="86">
        <f t="shared" si="110"/>
        <v>0</v>
      </c>
      <c r="V99" s="87">
        <f t="shared" si="111"/>
        <v>0</v>
      </c>
      <c r="X99" s="9" t="s">
        <v>12</v>
      </c>
      <c r="Y99" s="85">
        <f t="shared" ref="Y99:AA99" si="112">Y3+Y15+Y27+Y39+Y51+Y63</f>
        <v>0</v>
      </c>
      <c r="Z99" s="10">
        <f t="shared" si="112"/>
        <v>0</v>
      </c>
      <c r="AA99" s="10">
        <f t="shared" si="112"/>
        <v>0</v>
      </c>
      <c r="AB99" s="86">
        <f t="shared" si="113"/>
        <v>0</v>
      </c>
      <c r="AC99" s="87">
        <f t="shared" si="114"/>
        <v>0</v>
      </c>
      <c r="AE99" s="9" t="s">
        <v>12</v>
      </c>
      <c r="AF99" s="85">
        <f t="shared" ref="AF99:AH99" si="115">AF3+AF15+AF27+AF39+AF51+AF63</f>
        <v>0</v>
      </c>
      <c r="AG99" s="10">
        <f t="shared" si="115"/>
        <v>0</v>
      </c>
      <c r="AH99" s="10">
        <f t="shared" si="115"/>
        <v>0</v>
      </c>
      <c r="AI99" s="86">
        <f t="shared" si="116"/>
        <v>0</v>
      </c>
      <c r="AJ99" s="87">
        <f t="shared" si="117"/>
        <v>0</v>
      </c>
    </row>
    <row r="100">
      <c r="C100" s="9" t="s">
        <v>14</v>
      </c>
      <c r="D100" s="85">
        <f t="shared" ref="D100:F100" si="118">D4+D16+D28+D40+D52+D64</f>
        <v>0</v>
      </c>
      <c r="E100" s="10">
        <f t="shared" si="118"/>
        <v>0</v>
      </c>
      <c r="F100" s="10">
        <f t="shared" si="118"/>
        <v>0</v>
      </c>
      <c r="G100" s="86">
        <f t="shared" si="104"/>
        <v>0</v>
      </c>
      <c r="H100" s="87">
        <f t="shared" si="105"/>
        <v>0</v>
      </c>
      <c r="J100" s="9" t="s">
        <v>14</v>
      </c>
      <c r="K100" s="85">
        <f t="shared" ref="K100:M100" si="119">K4+K16+K28+K40+K52+K64</f>
        <v>0</v>
      </c>
      <c r="L100" s="10">
        <f t="shared" si="119"/>
        <v>0</v>
      </c>
      <c r="M100" s="10">
        <f t="shared" si="119"/>
        <v>0</v>
      </c>
      <c r="N100" s="86">
        <f t="shared" si="107"/>
        <v>0</v>
      </c>
      <c r="O100" s="87">
        <f t="shared" si="108"/>
        <v>0</v>
      </c>
      <c r="Q100" s="9" t="s">
        <v>14</v>
      </c>
      <c r="R100" s="85">
        <f t="shared" ref="R100:T100" si="120">R4+R16+R28+R40+R52+R64</f>
        <v>0</v>
      </c>
      <c r="S100" s="10">
        <f t="shared" si="120"/>
        <v>0</v>
      </c>
      <c r="T100" s="10">
        <f t="shared" si="120"/>
        <v>0</v>
      </c>
      <c r="U100" s="86">
        <f t="shared" si="110"/>
        <v>0</v>
      </c>
      <c r="V100" s="87">
        <f t="shared" si="111"/>
        <v>0</v>
      </c>
      <c r="X100" s="9" t="s">
        <v>14</v>
      </c>
      <c r="Y100" s="85">
        <f t="shared" ref="Y100:AA100" si="121">Y4+Y16+Y28+Y40+Y52+Y64</f>
        <v>0</v>
      </c>
      <c r="Z100" s="10">
        <f t="shared" si="121"/>
        <v>0</v>
      </c>
      <c r="AA100" s="10">
        <f t="shared" si="121"/>
        <v>0</v>
      </c>
      <c r="AB100" s="86">
        <f t="shared" si="113"/>
        <v>0</v>
      </c>
      <c r="AC100" s="87">
        <f t="shared" si="114"/>
        <v>0</v>
      </c>
      <c r="AE100" s="9" t="s">
        <v>14</v>
      </c>
      <c r="AF100" s="85">
        <f t="shared" ref="AF100:AH100" si="122">AF4+AF16+AF28+AF40+AF52+AF64</f>
        <v>0</v>
      </c>
      <c r="AG100" s="10">
        <f t="shared" si="122"/>
        <v>0</v>
      </c>
      <c r="AH100" s="10">
        <f t="shared" si="122"/>
        <v>0</v>
      </c>
      <c r="AI100" s="86">
        <f t="shared" si="116"/>
        <v>0</v>
      </c>
      <c r="AJ100" s="87">
        <f t="shared" si="117"/>
        <v>0</v>
      </c>
    </row>
    <row r="101">
      <c r="C101" s="9" t="s">
        <v>16</v>
      </c>
      <c r="D101" s="85">
        <f t="shared" ref="D101:F101" si="123">D5+D17+D29+D41+D53+D65</f>
        <v>0</v>
      </c>
      <c r="E101" s="10">
        <f t="shared" si="123"/>
        <v>0</v>
      </c>
      <c r="F101" s="10">
        <f t="shared" si="123"/>
        <v>0</v>
      </c>
      <c r="G101" s="86">
        <f t="shared" si="104"/>
        <v>0</v>
      </c>
      <c r="H101" s="87">
        <f t="shared" si="105"/>
        <v>0</v>
      </c>
      <c r="J101" s="9" t="s">
        <v>16</v>
      </c>
      <c r="K101" s="85">
        <f t="shared" ref="K101:M101" si="124">K5+K17+K29+K41+K53+K65</f>
        <v>0</v>
      </c>
      <c r="L101" s="10">
        <f t="shared" si="124"/>
        <v>0</v>
      </c>
      <c r="M101" s="10">
        <f t="shared" si="124"/>
        <v>0</v>
      </c>
      <c r="N101" s="86">
        <f t="shared" si="107"/>
        <v>0</v>
      </c>
      <c r="O101" s="87">
        <f t="shared" si="108"/>
        <v>0</v>
      </c>
      <c r="Q101" s="9" t="s">
        <v>16</v>
      </c>
      <c r="R101" s="85">
        <f t="shared" ref="R101:T101" si="125">R5+R17+R29+R41+R53+R65</f>
        <v>0</v>
      </c>
      <c r="S101" s="10">
        <f t="shared" si="125"/>
        <v>0</v>
      </c>
      <c r="T101" s="10">
        <f t="shared" si="125"/>
        <v>0</v>
      </c>
      <c r="U101" s="86">
        <f t="shared" si="110"/>
        <v>0</v>
      </c>
      <c r="V101" s="87">
        <f t="shared" si="111"/>
        <v>0</v>
      </c>
      <c r="X101" s="9" t="s">
        <v>16</v>
      </c>
      <c r="Y101" s="85">
        <f t="shared" ref="Y101:AA101" si="126">Y5+Y17+Y29+Y41+Y53+Y65</f>
        <v>0</v>
      </c>
      <c r="Z101" s="10">
        <f t="shared" si="126"/>
        <v>0</v>
      </c>
      <c r="AA101" s="10">
        <f t="shared" si="126"/>
        <v>0</v>
      </c>
      <c r="AB101" s="86">
        <f t="shared" si="113"/>
        <v>0</v>
      </c>
      <c r="AC101" s="87">
        <f t="shared" si="114"/>
        <v>0</v>
      </c>
      <c r="AE101" s="9" t="s">
        <v>16</v>
      </c>
      <c r="AF101" s="85">
        <f t="shared" ref="AF101:AH101" si="127">AF5+AF17+AF29+AF41+AF53+AF65</f>
        <v>0</v>
      </c>
      <c r="AG101" s="10">
        <f t="shared" si="127"/>
        <v>0</v>
      </c>
      <c r="AH101" s="10">
        <f t="shared" si="127"/>
        <v>0</v>
      </c>
      <c r="AI101" s="86">
        <f t="shared" si="116"/>
        <v>0</v>
      </c>
      <c r="AJ101" s="87">
        <f t="shared" si="117"/>
        <v>0</v>
      </c>
    </row>
    <row r="102">
      <c r="C102" s="9" t="s">
        <v>17</v>
      </c>
      <c r="D102" s="85">
        <f t="shared" ref="D102:F102" si="128">D6+D18+D30+D42+D54+D66</f>
        <v>0</v>
      </c>
      <c r="E102" s="10">
        <f t="shared" si="128"/>
        <v>0</v>
      </c>
      <c r="F102" s="10">
        <f t="shared" si="128"/>
        <v>0</v>
      </c>
      <c r="G102" s="86">
        <f t="shared" si="104"/>
        <v>0</v>
      </c>
      <c r="H102" s="87">
        <f t="shared" si="105"/>
        <v>0</v>
      </c>
      <c r="J102" s="9" t="s">
        <v>17</v>
      </c>
      <c r="K102" s="85">
        <f t="shared" ref="K102:M102" si="129">K6+K18+K30+K42+K54+K66</f>
        <v>0</v>
      </c>
      <c r="L102" s="10">
        <f t="shared" si="129"/>
        <v>0</v>
      </c>
      <c r="M102" s="10">
        <f t="shared" si="129"/>
        <v>0</v>
      </c>
      <c r="N102" s="86">
        <f t="shared" si="107"/>
        <v>0</v>
      </c>
      <c r="O102" s="87">
        <f t="shared" si="108"/>
        <v>0</v>
      </c>
      <c r="Q102" s="9" t="s">
        <v>17</v>
      </c>
      <c r="R102" s="85">
        <f t="shared" ref="R102:T102" si="130">R6+R18+R30+R42+R54+R66</f>
        <v>0</v>
      </c>
      <c r="S102" s="10">
        <f t="shared" si="130"/>
        <v>0</v>
      </c>
      <c r="T102" s="10">
        <f t="shared" si="130"/>
        <v>0</v>
      </c>
      <c r="U102" s="86">
        <f t="shared" si="110"/>
        <v>0</v>
      </c>
      <c r="V102" s="87">
        <f t="shared" si="111"/>
        <v>0</v>
      </c>
      <c r="X102" s="9" t="s">
        <v>17</v>
      </c>
      <c r="Y102" s="85">
        <f t="shared" ref="Y102:AA102" si="131">Y6+Y18+Y30+Y42+Y54+Y66</f>
        <v>0</v>
      </c>
      <c r="Z102" s="10">
        <f t="shared" si="131"/>
        <v>0</v>
      </c>
      <c r="AA102" s="10">
        <f t="shared" si="131"/>
        <v>0</v>
      </c>
      <c r="AB102" s="86">
        <f t="shared" si="113"/>
        <v>0</v>
      </c>
      <c r="AC102" s="87">
        <f t="shared" si="114"/>
        <v>0</v>
      </c>
      <c r="AE102" s="9" t="s">
        <v>17</v>
      </c>
      <c r="AF102" s="85">
        <f t="shared" ref="AF102:AH102" si="132">AF6+AF18+AF30+AF42+AF54+AF66</f>
        <v>0</v>
      </c>
      <c r="AG102" s="10">
        <f t="shared" si="132"/>
        <v>0</v>
      </c>
      <c r="AH102" s="10">
        <f t="shared" si="132"/>
        <v>0</v>
      </c>
      <c r="AI102" s="86">
        <f t="shared" si="116"/>
        <v>0</v>
      </c>
      <c r="AJ102" s="87">
        <f t="shared" si="117"/>
        <v>0</v>
      </c>
    </row>
    <row r="103">
      <c r="C103" s="9" t="s">
        <v>18</v>
      </c>
      <c r="D103" s="85">
        <f t="shared" ref="D103:F103" si="133">D7+D19+D31+D43+D55+D67</f>
        <v>0</v>
      </c>
      <c r="E103" s="85">
        <f t="shared" si="133"/>
        <v>0</v>
      </c>
      <c r="F103" s="85">
        <f t="shared" si="133"/>
        <v>0</v>
      </c>
      <c r="G103" s="86">
        <f t="shared" si="104"/>
        <v>0</v>
      </c>
      <c r="H103" s="87">
        <f t="shared" si="105"/>
        <v>0</v>
      </c>
      <c r="J103" s="9" t="s">
        <v>18</v>
      </c>
      <c r="K103" s="85">
        <f t="shared" ref="K103:M103" si="134">K7+K19+K31+K43+K55+K67</f>
        <v>0</v>
      </c>
      <c r="L103" s="85">
        <f t="shared" si="134"/>
        <v>0</v>
      </c>
      <c r="M103" s="85">
        <f t="shared" si="134"/>
        <v>0</v>
      </c>
      <c r="N103" s="86">
        <f t="shared" si="107"/>
        <v>0</v>
      </c>
      <c r="O103" s="87">
        <f t="shared" si="108"/>
        <v>0</v>
      </c>
      <c r="Q103" s="9" t="s">
        <v>18</v>
      </c>
      <c r="R103" s="85">
        <f t="shared" ref="R103:T103" si="135">R7+R19+R31+R43+R55+R67</f>
        <v>0</v>
      </c>
      <c r="S103" s="85">
        <f t="shared" si="135"/>
        <v>0</v>
      </c>
      <c r="T103" s="85">
        <f t="shared" si="135"/>
        <v>0</v>
      </c>
      <c r="U103" s="86">
        <f t="shared" si="110"/>
        <v>0</v>
      </c>
      <c r="V103" s="87">
        <f t="shared" si="111"/>
        <v>0</v>
      </c>
      <c r="X103" s="9" t="s">
        <v>18</v>
      </c>
      <c r="Y103" s="85">
        <f t="shared" ref="Y103:AA103" si="136">Y7+Y19+Y31+Y43+Y55+Y67</f>
        <v>0</v>
      </c>
      <c r="Z103" s="85">
        <f t="shared" si="136"/>
        <v>0</v>
      </c>
      <c r="AA103" s="85">
        <f t="shared" si="136"/>
        <v>0</v>
      </c>
      <c r="AB103" s="86">
        <f t="shared" si="113"/>
        <v>0</v>
      </c>
      <c r="AC103" s="87">
        <f t="shared" si="114"/>
        <v>0</v>
      </c>
      <c r="AE103" s="9" t="s">
        <v>18</v>
      </c>
      <c r="AF103" s="85">
        <f t="shared" ref="AF103:AH103" si="137">AF7+AF19+AF31+AF43+AF55+AF67</f>
        <v>0</v>
      </c>
      <c r="AG103" s="85">
        <f t="shared" si="137"/>
        <v>0</v>
      </c>
      <c r="AH103" s="85">
        <f t="shared" si="137"/>
        <v>0</v>
      </c>
      <c r="AI103" s="86">
        <f t="shared" si="116"/>
        <v>0</v>
      </c>
      <c r="AJ103" s="87">
        <f t="shared" si="117"/>
        <v>0</v>
      </c>
    </row>
    <row r="104">
      <c r="C104" s="9" t="s">
        <v>19</v>
      </c>
      <c r="D104" s="85">
        <f t="shared" ref="D104:F104" si="138">D8+D20+D32+D44+D56+D68</f>
        <v>0</v>
      </c>
      <c r="E104" s="10">
        <f t="shared" si="138"/>
        <v>0</v>
      </c>
      <c r="F104" s="10">
        <f t="shared" si="138"/>
        <v>0</v>
      </c>
      <c r="G104" s="86">
        <f t="shared" si="104"/>
        <v>0</v>
      </c>
      <c r="H104" s="87">
        <f t="shared" si="105"/>
        <v>0</v>
      </c>
      <c r="J104" s="9" t="s">
        <v>19</v>
      </c>
      <c r="K104" s="85">
        <f t="shared" ref="K104:M104" si="139">K8+K20+K32+K44+K56+K68</f>
        <v>0</v>
      </c>
      <c r="L104" s="10">
        <f t="shared" si="139"/>
        <v>0</v>
      </c>
      <c r="M104" s="10">
        <f t="shared" si="139"/>
        <v>0</v>
      </c>
      <c r="N104" s="86">
        <f t="shared" si="107"/>
        <v>0</v>
      </c>
      <c r="O104" s="87">
        <f t="shared" si="108"/>
        <v>0</v>
      </c>
      <c r="Q104" s="9" t="s">
        <v>19</v>
      </c>
      <c r="R104" s="85">
        <f t="shared" ref="R104:T104" si="140">R8+R20+R32+R44+R56+R68</f>
        <v>0</v>
      </c>
      <c r="S104" s="10">
        <f t="shared" si="140"/>
        <v>0</v>
      </c>
      <c r="T104" s="10">
        <f t="shared" si="140"/>
        <v>0</v>
      </c>
      <c r="U104" s="86">
        <f t="shared" si="110"/>
        <v>0</v>
      </c>
      <c r="V104" s="87">
        <f t="shared" si="111"/>
        <v>0</v>
      </c>
      <c r="X104" s="9" t="s">
        <v>19</v>
      </c>
      <c r="Y104" s="85">
        <f t="shared" ref="Y104:AA104" si="141">Y8+Y20+Y32+Y44+Y56+Y68</f>
        <v>0</v>
      </c>
      <c r="Z104" s="10">
        <f t="shared" si="141"/>
        <v>0</v>
      </c>
      <c r="AA104" s="10">
        <f t="shared" si="141"/>
        <v>0</v>
      </c>
      <c r="AB104" s="86">
        <f t="shared" si="113"/>
        <v>0</v>
      </c>
      <c r="AC104" s="87">
        <f t="shared" si="114"/>
        <v>0</v>
      </c>
      <c r="AE104" s="9" t="s">
        <v>19</v>
      </c>
      <c r="AF104" s="85">
        <f t="shared" ref="AF104:AH104" si="142">AF8+AF20+AF32+AF44+AF56+AF68</f>
        <v>0</v>
      </c>
      <c r="AG104" s="10">
        <f t="shared" si="142"/>
        <v>0</v>
      </c>
      <c r="AH104" s="10">
        <f t="shared" si="142"/>
        <v>0</v>
      </c>
      <c r="AI104" s="86">
        <f t="shared" si="116"/>
        <v>0</v>
      </c>
      <c r="AJ104" s="87">
        <f t="shared" si="117"/>
        <v>0</v>
      </c>
    </row>
    <row r="105">
      <c r="C105" s="26" t="s">
        <v>21</v>
      </c>
      <c r="D105" s="85">
        <f t="shared" ref="D105:F105" si="143">D9+D21+D33+D45+D57+D69+D81</f>
        <v>0</v>
      </c>
      <c r="E105" s="10">
        <f t="shared" si="143"/>
        <v>0</v>
      </c>
      <c r="F105" s="10">
        <f t="shared" si="143"/>
        <v>0</v>
      </c>
      <c r="G105" s="86">
        <f t="shared" si="104"/>
        <v>0</v>
      </c>
      <c r="H105" s="87">
        <f>H9+H21+H33+H45+H57+H69+H81</f>
        <v>0</v>
      </c>
      <c r="J105" s="26" t="s">
        <v>21</v>
      </c>
      <c r="K105" s="85">
        <f t="shared" ref="K105:M105" si="144">K9+K21+K33+K45+K57+K69+K81</f>
        <v>0</v>
      </c>
      <c r="L105" s="10">
        <f t="shared" si="144"/>
        <v>0</v>
      </c>
      <c r="M105" s="10">
        <f t="shared" si="144"/>
        <v>0</v>
      </c>
      <c r="N105" s="86">
        <f t="shared" si="107"/>
        <v>0</v>
      </c>
      <c r="O105" s="87">
        <f>O9+O21+O33+O45+O57+O69+O81</f>
        <v>0</v>
      </c>
      <c r="Q105" s="26" t="s">
        <v>21</v>
      </c>
      <c r="R105" s="85">
        <f t="shared" ref="R105:T105" si="145">R9+R21+R33+R45+R57+R69+R81</f>
        <v>0</v>
      </c>
      <c r="S105" s="10">
        <f t="shared" si="145"/>
        <v>0</v>
      </c>
      <c r="T105" s="10">
        <f t="shared" si="145"/>
        <v>0</v>
      </c>
      <c r="U105" s="86">
        <f t="shared" si="110"/>
        <v>0</v>
      </c>
      <c r="V105" s="87">
        <f>V9+V21+V33+V45+V57+V69+V81</f>
        <v>0</v>
      </c>
      <c r="X105" s="26" t="s">
        <v>21</v>
      </c>
      <c r="Y105" s="85">
        <f t="shared" ref="Y105:AA105" si="146">Y9+Y21+Y33+Y45+Y57+Y69+Y81</f>
        <v>0</v>
      </c>
      <c r="Z105" s="10">
        <f t="shared" si="146"/>
        <v>0</v>
      </c>
      <c r="AA105" s="10">
        <f t="shared" si="146"/>
        <v>0</v>
      </c>
      <c r="AB105" s="86">
        <f t="shared" si="113"/>
        <v>0</v>
      </c>
      <c r="AC105" s="87">
        <f>AC9+AC21+AC33+AC45+AC57+AC69+AC81</f>
        <v>0</v>
      </c>
      <c r="AE105" s="26" t="s">
        <v>21</v>
      </c>
      <c r="AF105" s="85">
        <f t="shared" ref="AF105:AH105" si="147">AF9+AF21+AF33+AF45+AF57+AF69+AF81</f>
        <v>0</v>
      </c>
      <c r="AG105" s="10">
        <f t="shared" si="147"/>
        <v>0</v>
      </c>
      <c r="AH105" s="10">
        <f t="shared" si="147"/>
        <v>0</v>
      </c>
      <c r="AI105" s="86">
        <f t="shared" si="116"/>
        <v>0</v>
      </c>
      <c r="AJ105" s="87">
        <f>AJ9+AJ21+AJ33+AJ45+AJ57+AJ69+AJ81</f>
        <v>0</v>
      </c>
    </row>
    <row r="106">
      <c r="C106" s="88" t="s">
        <v>57</v>
      </c>
      <c r="D106" s="41">
        <f t="array" ref="D106">D98+D99+D100+D101+D102+D103+D104+D105</f>
        <v>0</v>
      </c>
      <c r="E106" s="42">
        <f t="array" ref="E106">E98+E99+E100+E101+E102+E103+E104+E105</f>
        <v>0</v>
      </c>
      <c r="F106" s="43">
        <f t="array" ref="F106">F98+F99+F100+F101+F102+F103+F104+F105</f>
        <v>0</v>
      </c>
      <c r="G106" s="89">
        <f t="array" ref="G106">G98+G99+G100+G101+G102+G103+G104+G105</f>
        <v>0</v>
      </c>
      <c r="H106" s="44">
        <f t="array" ref="H106">H98+H99+H100+H101+H102+H103+H104+H105</f>
        <v>0</v>
      </c>
      <c r="J106" s="88" t="s">
        <v>57</v>
      </c>
      <c r="K106" s="41">
        <f t="array" ref="K106">K98+K99+K100+K101+K102+K103+K104+K105</f>
        <v>0</v>
      </c>
      <c r="L106" s="42">
        <f t="array" ref="L106">L98+L99+L100+L101+L102+L103+L104+L105</f>
        <v>0</v>
      </c>
      <c r="M106" s="43">
        <f t="array" ref="M106">M98+M99+M100+M101+M102+M103+M104+M105</f>
        <v>0</v>
      </c>
      <c r="N106" s="89">
        <f t="array" ref="N106">N98+N99+N100+N101+N102+N103+N104+N105</f>
        <v>0</v>
      </c>
      <c r="O106" s="44">
        <f t="array" ref="O106">O98+O99+O100+O101+O102+O103+O104+O105</f>
        <v>0</v>
      </c>
      <c r="Q106" s="88" t="s">
        <v>57</v>
      </c>
      <c r="R106" s="41">
        <f t="array" ref="R106">R98+R99+R100+R101+R102+R103+R104+R105</f>
        <v>0</v>
      </c>
      <c r="S106" s="42">
        <f t="array" ref="S106">S98+S99+S100+S101+S102+S103+S104+S105</f>
        <v>0</v>
      </c>
      <c r="T106" s="43">
        <f t="array" ref="T106">T98+T99+T100+T101+T102+T103+T104+T105</f>
        <v>0</v>
      </c>
      <c r="U106" s="89">
        <f t="array" ref="U106">U98+U99+U100+U101+U102+U103+U104+U105</f>
        <v>0</v>
      </c>
      <c r="V106" s="44">
        <f t="array" ref="V106">V98+V99+V100+V101+V102+V103+V104+V105</f>
        <v>0</v>
      </c>
      <c r="X106" s="88" t="s">
        <v>57</v>
      </c>
      <c r="Y106" s="41">
        <f t="array" ref="Y106">Y98+Y99+Y100+Y101+Y102+Y103+Y104+Y105</f>
        <v>0</v>
      </c>
      <c r="Z106" s="42">
        <f t="array" ref="Z106">Z98+Z99+Z100+Z101+Z102+Z103+Z104+Z105</f>
        <v>0</v>
      </c>
      <c r="AA106" s="43">
        <f t="array" ref="AA106">AA98+AA99+AA100+AA101+AA102+AA103+AA104+AA105</f>
        <v>0</v>
      </c>
      <c r="AB106" s="89">
        <f t="array" ref="AB106">AB98+AB99+AB100+AB101+AB102+AB103+AB104+AB105</f>
        <v>0</v>
      </c>
      <c r="AC106" s="44">
        <f t="array" ref="AC106">AC98+AC99+AC100+AC101+AC102+AC103+AC104+AC105</f>
        <v>0</v>
      </c>
      <c r="AE106" s="88" t="s">
        <v>57</v>
      </c>
      <c r="AF106" s="41">
        <f t="array" ref="AF106">AF98+AF99+AF100+AF101+AF102+AF103+AF104+AF105</f>
        <v>0</v>
      </c>
      <c r="AG106" s="42">
        <f t="array" ref="AG106">AG98+AG99+AG100+AG101+AG102+AG103+AG104+AG105</f>
        <v>0</v>
      </c>
      <c r="AH106" s="43">
        <f t="array" ref="AH106">AH98+AH99+AH100+AH101+AH102+AH103+AH104+AH105</f>
        <v>0</v>
      </c>
      <c r="AI106" s="89">
        <f t="array" ref="AI106">AI98+AI99+AI100+AI101+AI102+AI103+AI104+AI105</f>
        <v>0</v>
      </c>
      <c r="AJ106" s="44">
        <f t="array" ref="AJ106">AJ98+AJ99+AJ100+AJ101+AJ102+AJ103+AJ104+AJ105</f>
        <v>0</v>
      </c>
    </row>
    <row r="107">
      <c r="A107" s="55"/>
      <c r="B107" s="55"/>
      <c r="C107" s="90" t="s">
        <v>58</v>
      </c>
      <c r="D107" s="91">
        <f t="shared" ref="D107:H107" si="148">D106/6</f>
        <v>0</v>
      </c>
      <c r="E107" s="92">
        <f t="shared" si="148"/>
        <v>0</v>
      </c>
      <c r="F107" s="93">
        <f t="shared" si="148"/>
        <v>0</v>
      </c>
      <c r="G107" s="89">
        <f t="shared" si="148"/>
        <v>0</v>
      </c>
      <c r="H107" s="94">
        <f t="shared" si="148"/>
        <v>0</v>
      </c>
      <c r="I107" s="55"/>
      <c r="J107" s="90" t="s">
        <v>58</v>
      </c>
      <c r="K107" s="91">
        <f t="shared" ref="K107:O107" si="149">K106/6</f>
        <v>0</v>
      </c>
      <c r="L107" s="92">
        <f t="shared" si="149"/>
        <v>0</v>
      </c>
      <c r="M107" s="93">
        <f t="shared" si="149"/>
        <v>0</v>
      </c>
      <c r="N107" s="89">
        <f t="shared" si="149"/>
        <v>0</v>
      </c>
      <c r="O107" s="94">
        <f t="shared" si="149"/>
        <v>0</v>
      </c>
      <c r="P107" s="55"/>
      <c r="Q107" s="90" t="s">
        <v>58</v>
      </c>
      <c r="R107" s="91">
        <f t="shared" ref="R107:V107" si="150">R106/6</f>
        <v>0</v>
      </c>
      <c r="S107" s="92">
        <f t="shared" si="150"/>
        <v>0</v>
      </c>
      <c r="T107" s="93">
        <f t="shared" si="150"/>
        <v>0</v>
      </c>
      <c r="U107" s="89">
        <f t="shared" si="150"/>
        <v>0</v>
      </c>
      <c r="V107" s="94">
        <f t="shared" si="150"/>
        <v>0</v>
      </c>
      <c r="W107" s="55"/>
      <c r="X107" s="90" t="s">
        <v>58</v>
      </c>
      <c r="Y107" s="91">
        <f t="shared" ref="Y107:AC107" si="151">Y106/6</f>
        <v>0</v>
      </c>
      <c r="Z107" s="92">
        <f t="shared" si="151"/>
        <v>0</v>
      </c>
      <c r="AA107" s="93">
        <f t="shared" si="151"/>
        <v>0</v>
      </c>
      <c r="AB107" s="89">
        <f t="shared" si="151"/>
        <v>0</v>
      </c>
      <c r="AC107" s="94">
        <f t="shared" si="151"/>
        <v>0</v>
      </c>
      <c r="AD107" s="55"/>
      <c r="AE107" s="90" t="s">
        <v>58</v>
      </c>
      <c r="AF107" s="91">
        <f t="shared" ref="AF107:AJ107" si="152">AF106/6</f>
        <v>0</v>
      </c>
      <c r="AG107" s="92">
        <f t="shared" si="152"/>
        <v>0</v>
      </c>
      <c r="AH107" s="93">
        <f t="shared" si="152"/>
        <v>0</v>
      </c>
      <c r="AI107" s="89">
        <f t="shared" si="152"/>
        <v>0</v>
      </c>
      <c r="AJ107" s="94">
        <f t="shared" si="152"/>
        <v>0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L124" s="96">
        <v>45838.0</v>
      </c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Q126" s="78" t="s">
        <v>271</v>
      </c>
      <c r="V126" s="55"/>
      <c r="AC126" s="55"/>
      <c r="AJ126" s="55"/>
    </row>
    <row r="127">
      <c r="C127" s="9" t="s">
        <v>10</v>
      </c>
      <c r="D127" s="100">
        <f t="shared" ref="D127:H127" si="153">D98+K98+R98+Y98+AF98</f>
        <v>0</v>
      </c>
      <c r="E127" s="101">
        <f t="shared" si="153"/>
        <v>0</v>
      </c>
      <c r="F127" s="102">
        <f t="shared" si="153"/>
        <v>0</v>
      </c>
      <c r="G127" s="86">
        <f t="shared" si="153"/>
        <v>0</v>
      </c>
      <c r="H127" s="103">
        <f t="shared" si="153"/>
        <v>0</v>
      </c>
      <c r="I127" s="104" t="s">
        <v>71</v>
      </c>
      <c r="J127" s="105">
        <f t="shared" ref="J127:J134" si="155">D98+K98+R98+Y98+AF98</f>
        <v>0</v>
      </c>
      <c r="K127" s="105">
        <v>8336.0</v>
      </c>
      <c r="L127" s="106"/>
      <c r="M127" s="107">
        <f t="shared" ref="M127:M134" si="156">J127/25</f>
        <v>0</v>
      </c>
      <c r="N127" s="107">
        <f t="shared" ref="N127:N134" si="157">(M127*0)+J127</f>
        <v>0</v>
      </c>
      <c r="O127" s="55"/>
      <c r="Q127" s="245">
        <f t="shared" ref="Q127:Q128" si="158">N127-K127</f>
        <v>-8336</v>
      </c>
      <c r="V127" s="55"/>
      <c r="AC127" s="55"/>
      <c r="AJ127" s="55"/>
    </row>
    <row r="128">
      <c r="C128" s="9" t="s">
        <v>12</v>
      </c>
      <c r="D128" s="100">
        <f t="shared" ref="D128:H128" si="154">D99+K99+R99+Y99+AF99</f>
        <v>0</v>
      </c>
      <c r="E128" s="101">
        <f t="shared" si="154"/>
        <v>0</v>
      </c>
      <c r="F128" s="102">
        <f t="shared" si="154"/>
        <v>0</v>
      </c>
      <c r="G128" s="86">
        <f t="shared" si="154"/>
        <v>0</v>
      </c>
      <c r="H128" s="103">
        <f t="shared" si="154"/>
        <v>0</v>
      </c>
      <c r="I128" s="104" t="s">
        <v>72</v>
      </c>
      <c r="J128" s="105">
        <f t="shared" si="155"/>
        <v>0</v>
      </c>
      <c r="K128" s="105">
        <v>10424.0</v>
      </c>
      <c r="L128" s="9"/>
      <c r="M128" s="107">
        <f t="shared" si="156"/>
        <v>0</v>
      </c>
      <c r="N128" s="107">
        <f t="shared" si="157"/>
        <v>0</v>
      </c>
      <c r="O128" s="55"/>
      <c r="Q128" s="245">
        <f t="shared" si="158"/>
        <v>-10424</v>
      </c>
      <c r="V128" s="55"/>
      <c r="AC128" s="55"/>
      <c r="AJ128" s="55"/>
    </row>
    <row r="129">
      <c r="C129" s="9" t="s">
        <v>14</v>
      </c>
      <c r="D129" s="100">
        <f t="shared" ref="D129:H129" si="159">D100+K100+R100+Y100+AF100</f>
        <v>0</v>
      </c>
      <c r="E129" s="101">
        <f t="shared" si="159"/>
        <v>0</v>
      </c>
      <c r="F129" s="102">
        <f t="shared" si="159"/>
        <v>0</v>
      </c>
      <c r="G129" s="86">
        <f t="shared" si="159"/>
        <v>0</v>
      </c>
      <c r="H129" s="103">
        <f t="shared" si="159"/>
        <v>0</v>
      </c>
      <c r="I129" s="104" t="s">
        <v>73</v>
      </c>
      <c r="J129" s="105">
        <f t="shared" si="155"/>
        <v>0</v>
      </c>
      <c r="K129" s="105">
        <v>3727.0</v>
      </c>
      <c r="L129" s="9"/>
      <c r="M129" s="107">
        <f t="shared" si="156"/>
        <v>0</v>
      </c>
      <c r="N129" s="107">
        <f t="shared" si="157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60">D101+K101+R101+Y101+AF101</f>
        <v>0</v>
      </c>
      <c r="E130" s="101">
        <f t="shared" si="160"/>
        <v>0</v>
      </c>
      <c r="F130" s="102">
        <f t="shared" si="160"/>
        <v>0</v>
      </c>
      <c r="G130" s="86">
        <f t="shared" si="160"/>
        <v>0</v>
      </c>
      <c r="H130" s="103">
        <f t="shared" si="160"/>
        <v>0</v>
      </c>
      <c r="I130" s="104" t="s">
        <v>74</v>
      </c>
      <c r="J130" s="105">
        <f t="shared" si="155"/>
        <v>0</v>
      </c>
      <c r="K130" s="105">
        <v>29245.0</v>
      </c>
      <c r="L130" s="106"/>
      <c r="M130" s="107">
        <f t="shared" si="156"/>
        <v>0</v>
      </c>
      <c r="N130" s="107">
        <f t="shared" si="157"/>
        <v>0</v>
      </c>
      <c r="O130" s="55"/>
      <c r="Q130" s="245">
        <f>N130-K130</f>
        <v>-29245</v>
      </c>
      <c r="V130" s="55"/>
      <c r="AC130" s="55"/>
      <c r="AJ130" s="55"/>
    </row>
    <row r="131">
      <c r="C131" s="9" t="s">
        <v>17</v>
      </c>
      <c r="D131" s="100">
        <f t="shared" ref="D131:H131" si="161">D102+K102+R102+Y102+AF102</f>
        <v>0</v>
      </c>
      <c r="E131" s="101">
        <f t="shared" si="161"/>
        <v>0</v>
      </c>
      <c r="F131" s="102">
        <f t="shared" si="161"/>
        <v>0</v>
      </c>
      <c r="G131" s="86">
        <f t="shared" si="161"/>
        <v>0</v>
      </c>
      <c r="H131" s="103">
        <f t="shared" si="161"/>
        <v>0</v>
      </c>
      <c r="I131" s="104" t="s">
        <v>75</v>
      </c>
      <c r="J131" s="105">
        <f t="shared" si="155"/>
        <v>0</v>
      </c>
      <c r="K131" s="105">
        <v>10803.0</v>
      </c>
      <c r="L131" s="9"/>
      <c r="M131" s="107">
        <f t="shared" si="156"/>
        <v>0</v>
      </c>
      <c r="N131" s="107">
        <f t="shared" si="157"/>
        <v>0</v>
      </c>
      <c r="O131" s="55"/>
      <c r="Q131" s="245">
        <f>N131-K131-K129</f>
        <v>-14530</v>
      </c>
      <c r="V131" s="55"/>
      <c r="AC131" s="55"/>
      <c r="AJ131" s="55"/>
    </row>
    <row r="132">
      <c r="C132" s="9" t="s">
        <v>18</v>
      </c>
      <c r="D132" s="13">
        <f t="shared" ref="D132:H132" si="162">D103+K103+R103+Y103+AF103</f>
        <v>0</v>
      </c>
      <c r="E132" s="21">
        <f t="shared" si="162"/>
        <v>0</v>
      </c>
      <c r="F132" s="17">
        <f t="shared" si="162"/>
        <v>0</v>
      </c>
      <c r="G132" s="16">
        <f t="shared" si="162"/>
        <v>0</v>
      </c>
      <c r="H132" s="109">
        <f t="shared" si="162"/>
        <v>0</v>
      </c>
      <c r="I132" s="104" t="s">
        <v>76</v>
      </c>
      <c r="J132" s="105">
        <f t="shared" si="155"/>
        <v>0</v>
      </c>
      <c r="K132" s="105">
        <v>11819.0</v>
      </c>
      <c r="L132" s="9"/>
      <c r="M132" s="107">
        <f t="shared" si="156"/>
        <v>0</v>
      </c>
      <c r="N132" s="107">
        <f t="shared" si="157"/>
        <v>0</v>
      </c>
      <c r="O132" s="55"/>
      <c r="Q132" s="245">
        <f t="shared" ref="Q132:Q134" si="164">N132-K132</f>
        <v>-11819</v>
      </c>
      <c r="V132" s="55"/>
      <c r="AC132" s="55"/>
      <c r="AJ132" s="55"/>
    </row>
    <row r="133">
      <c r="C133" s="9" t="s">
        <v>19</v>
      </c>
      <c r="D133" s="100">
        <f t="shared" ref="D133:H133" si="163">D104+K104+R104+Y104+AF104</f>
        <v>0</v>
      </c>
      <c r="E133" s="101">
        <f t="shared" si="163"/>
        <v>0</v>
      </c>
      <c r="F133" s="102">
        <f t="shared" si="163"/>
        <v>0</v>
      </c>
      <c r="G133" s="86">
        <f t="shared" si="163"/>
        <v>0</v>
      </c>
      <c r="H133" s="103">
        <f t="shared" si="163"/>
        <v>0</v>
      </c>
      <c r="I133" s="104" t="s">
        <v>77</v>
      </c>
      <c r="J133" s="105">
        <f t="shared" si="155"/>
        <v>0</v>
      </c>
      <c r="K133" s="105">
        <v>9982.0</v>
      </c>
      <c r="L133" s="106"/>
      <c r="M133" s="107">
        <f t="shared" si="156"/>
        <v>0</v>
      </c>
      <c r="N133" s="107">
        <f t="shared" si="157"/>
        <v>0</v>
      </c>
      <c r="O133" s="55"/>
      <c r="Q133" s="245">
        <f t="shared" si="164"/>
        <v>-9982</v>
      </c>
      <c r="V133" s="55"/>
      <c r="AC133" s="55"/>
      <c r="AJ133" s="55"/>
    </row>
    <row r="134">
      <c r="C134" s="26" t="s">
        <v>22</v>
      </c>
      <c r="D134" s="100">
        <f t="shared" ref="D134:H134" si="165">D105+K105+R105+Y105+AF105</f>
        <v>0</v>
      </c>
      <c r="E134" s="101">
        <f t="shared" si="165"/>
        <v>0</v>
      </c>
      <c r="F134" s="102">
        <f t="shared" si="165"/>
        <v>0</v>
      </c>
      <c r="G134" s="86">
        <f t="shared" si="165"/>
        <v>0</v>
      </c>
      <c r="H134" s="103">
        <f t="shared" si="165"/>
        <v>0</v>
      </c>
      <c r="I134" s="104" t="s">
        <v>78</v>
      </c>
      <c r="J134" s="105">
        <f t="shared" si="155"/>
        <v>0</v>
      </c>
      <c r="K134" s="105">
        <v>22653.0</v>
      </c>
      <c r="L134" s="106"/>
      <c r="M134" s="107">
        <f t="shared" si="156"/>
        <v>0</v>
      </c>
      <c r="N134" s="107">
        <f t="shared" si="157"/>
        <v>0</v>
      </c>
      <c r="O134" s="55"/>
      <c r="Q134" s="245">
        <f t="shared" si="164"/>
        <v>-22653</v>
      </c>
      <c r="V134" s="55"/>
      <c r="AC134" s="55"/>
      <c r="AJ134" s="55"/>
    </row>
    <row r="135">
      <c r="C135" s="78"/>
      <c r="I135" s="104" t="s">
        <v>79</v>
      </c>
      <c r="J135" s="105"/>
      <c r="K135" s="105">
        <v>39651.0</v>
      </c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>
        <v>14735.0</v>
      </c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>
        <v>32841.0</v>
      </c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>
        <v>15280.85</v>
      </c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0</v>
      </c>
      <c r="K139" s="112">
        <f>SUM(K127+K128+K129+K130+K131+K132+K133+K134+K135+K136+K137+K138)</f>
        <v>209496.85</v>
      </c>
      <c r="L139" s="113"/>
      <c r="M139" s="112">
        <f t="shared" ref="M139:N139" si="166">SUM(M127+M128+M129+M130+M131+M132+M133+M134)</f>
        <v>0</v>
      </c>
      <c r="N139" s="112">
        <f t="shared" si="166"/>
        <v>0</v>
      </c>
      <c r="O139" s="55"/>
      <c r="Q139" s="245">
        <f>Q127+Q128+Q130+Q131+Q132+Q133+Q134</f>
        <v>-106989</v>
      </c>
      <c r="R139" s="78" t="s">
        <v>272</v>
      </c>
      <c r="V139" s="55"/>
      <c r="AC139" s="55"/>
      <c r="AJ139" s="55"/>
    </row>
    <row r="140">
      <c r="K140" s="78" t="s">
        <v>273</v>
      </c>
      <c r="O140" s="55"/>
      <c r="Q140" s="245">
        <f>K135+K136+K137+K138</f>
        <v>102507.85</v>
      </c>
      <c r="R140" s="78" t="s">
        <v>274</v>
      </c>
      <c r="V140" s="55"/>
      <c r="AC140" s="55"/>
      <c r="AJ140" s="55"/>
    </row>
    <row r="141">
      <c r="K141" s="78" t="s">
        <v>275</v>
      </c>
      <c r="O141" s="55"/>
      <c r="Q141" s="245">
        <f>Q139-Q140</f>
        <v>-209496.85</v>
      </c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-209496.85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0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0</v>
      </c>
      <c r="E144" s="47"/>
      <c r="F144" s="47"/>
      <c r="G144" s="47"/>
      <c r="H144" s="48"/>
      <c r="L144" s="97" t="s">
        <v>87</v>
      </c>
      <c r="M144" s="114">
        <f>J139+(M139*0)</f>
        <v>0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0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0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0</v>
      </c>
      <c r="E147" s="47"/>
      <c r="F147" s="47"/>
      <c r="G147" s="47"/>
      <c r="H147" s="48"/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0</v>
      </c>
      <c r="E148" s="47"/>
      <c r="F148" s="47"/>
      <c r="G148" s="47"/>
      <c r="H148" s="48"/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0</v>
      </c>
      <c r="E151" s="47"/>
      <c r="F151" s="47"/>
      <c r="G151" s="47"/>
      <c r="H151" s="48"/>
      <c r="O151" s="55"/>
      <c r="V151" s="55"/>
      <c r="AC151" s="55"/>
      <c r="AJ151" s="55"/>
    </row>
    <row r="152"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0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0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0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D143:G143/25</f>
        <v>0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29"/>
      <c r="Q203" s="9" t="s">
        <v>10</v>
      </c>
      <c r="R203" s="120"/>
      <c r="S203" s="49"/>
      <c r="T203" s="49"/>
      <c r="U203" s="49"/>
      <c r="V203" s="51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9">
        <v>202.0</v>
      </c>
      <c r="R204" s="122"/>
      <c r="S204" s="49"/>
      <c r="T204" s="49"/>
      <c r="U204" s="49"/>
      <c r="V204" s="51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9">
        <v>213.0</v>
      </c>
      <c r="R205" s="122"/>
      <c r="S205" s="49"/>
      <c r="T205" s="49"/>
      <c r="U205" s="49"/>
      <c r="V205" s="51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9">
        <v>307.0</v>
      </c>
      <c r="R206" s="122"/>
      <c r="S206" s="49"/>
      <c r="T206" s="49"/>
      <c r="U206" s="49"/>
      <c r="V206" s="51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9">
        <v>313.0</v>
      </c>
      <c r="R207" s="122"/>
      <c r="S207" s="49"/>
      <c r="T207" s="49"/>
      <c r="U207" s="49"/>
      <c r="V207" s="51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9" t="s">
        <v>19</v>
      </c>
      <c r="R208" s="122"/>
      <c r="S208" s="49"/>
      <c r="T208" s="49"/>
      <c r="U208" s="49"/>
      <c r="V208" s="51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9" t="s">
        <v>22</v>
      </c>
      <c r="R209" s="123"/>
      <c r="S209" s="48"/>
      <c r="T209" s="120"/>
      <c r="U209" s="49"/>
      <c r="V209" s="51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0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0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4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R209:S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2" t="s">
        <v>1</v>
      </c>
      <c r="Y1" s="4" t="s">
        <v>7</v>
      </c>
      <c r="Z1" s="2" t="s">
        <v>3</v>
      </c>
      <c r="AA1" s="2" t="s">
        <v>4</v>
      </c>
      <c r="AB1" s="2" t="s">
        <v>5</v>
      </c>
      <c r="AC1" s="5" t="s">
        <v>6</v>
      </c>
      <c r="AD1" s="2" t="s">
        <v>0</v>
      </c>
      <c r="AE1" s="1" t="s">
        <v>1</v>
      </c>
      <c r="AF1" s="307" t="s">
        <v>7</v>
      </c>
      <c r="AG1" s="1" t="s">
        <v>3</v>
      </c>
      <c r="AH1" s="1" t="s">
        <v>4</v>
      </c>
      <c r="AI1" s="1" t="s">
        <v>5</v>
      </c>
      <c r="AJ1" s="308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/>
      <c r="C2" s="9" t="s">
        <v>10</v>
      </c>
      <c r="D2" s="10"/>
      <c r="E2" s="10"/>
      <c r="F2" s="10"/>
      <c r="G2" s="10"/>
      <c r="H2" s="11"/>
      <c r="I2" s="12">
        <v>45845.0</v>
      </c>
      <c r="J2" s="9" t="s">
        <v>10</v>
      </c>
      <c r="K2" s="10"/>
      <c r="L2" s="10"/>
      <c r="M2" s="10"/>
      <c r="N2" s="10"/>
      <c r="O2" s="11"/>
      <c r="P2" s="12">
        <v>45852.0</v>
      </c>
      <c r="Q2" s="9" t="s">
        <v>10</v>
      </c>
      <c r="R2" s="10"/>
      <c r="S2" s="10"/>
      <c r="T2" s="10"/>
      <c r="U2" s="10"/>
      <c r="V2" s="11"/>
      <c r="W2" s="8">
        <v>45859.0</v>
      </c>
      <c r="X2" s="9" t="s">
        <v>10</v>
      </c>
      <c r="Y2" s="10"/>
      <c r="Z2" s="10"/>
      <c r="AA2" s="10"/>
      <c r="AB2" s="10"/>
      <c r="AC2" s="11"/>
      <c r="AD2" s="8">
        <v>45866.0</v>
      </c>
      <c r="AE2" s="9" t="s">
        <v>10</v>
      </c>
      <c r="AF2" s="10"/>
      <c r="AG2" s="10"/>
      <c r="AH2" s="10"/>
      <c r="AI2" s="10"/>
      <c r="AJ2" s="11"/>
      <c r="AL2" s="18" t="s">
        <v>11</v>
      </c>
      <c r="AM2" s="9" t="s">
        <v>10</v>
      </c>
      <c r="AN2" s="10">
        <f t="shared" ref="AN2:AP2" si="1">D2+K2+R2+Y2+AF2</f>
        <v>0</v>
      </c>
      <c r="AO2" s="10">
        <f t="shared" si="1"/>
        <v>0</v>
      </c>
      <c r="AP2" s="10">
        <f t="shared" si="1"/>
        <v>0</v>
      </c>
      <c r="AQ2" s="11">
        <f t="shared" ref="AQ2:AQ9" si="3">H2+O2+V2+AC2+AJ2</f>
        <v>0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9" t="s">
        <v>12</v>
      </c>
      <c r="K3" s="10"/>
      <c r="L3" s="10"/>
      <c r="M3" s="10"/>
      <c r="N3" s="10"/>
      <c r="O3" s="11"/>
      <c r="P3" s="19"/>
      <c r="Q3" s="9" t="s">
        <v>12</v>
      </c>
      <c r="R3" s="10"/>
      <c r="S3" s="10"/>
      <c r="T3" s="10"/>
      <c r="U3" s="10"/>
      <c r="V3" s="11"/>
      <c r="W3" s="19"/>
      <c r="X3" s="9" t="s">
        <v>12</v>
      </c>
      <c r="Y3" s="10"/>
      <c r="Z3" s="10"/>
      <c r="AA3" s="10"/>
      <c r="AB3" s="10"/>
      <c r="AC3" s="11"/>
      <c r="AD3" s="19"/>
      <c r="AE3" s="9" t="s">
        <v>12</v>
      </c>
      <c r="AF3" s="10"/>
      <c r="AG3" s="10"/>
      <c r="AH3" s="10"/>
      <c r="AI3" s="10"/>
      <c r="AJ3" s="11"/>
      <c r="AL3" s="19"/>
      <c r="AM3" s="9" t="s">
        <v>12</v>
      </c>
      <c r="AN3" s="10">
        <f t="shared" ref="AN3:AP3" si="2">D3+K3+R3+Y3+AF3</f>
        <v>0</v>
      </c>
      <c r="AO3" s="10">
        <f t="shared" si="2"/>
        <v>0</v>
      </c>
      <c r="AP3" s="10">
        <f t="shared" si="2"/>
        <v>0</v>
      </c>
      <c r="AQ3" s="11">
        <f t="shared" si="3"/>
        <v>0</v>
      </c>
    </row>
    <row r="4">
      <c r="B4" s="19"/>
      <c r="C4" s="9" t="s">
        <v>14</v>
      </c>
      <c r="D4" s="10"/>
      <c r="E4" s="10"/>
      <c r="F4" s="10"/>
      <c r="G4" s="10"/>
      <c r="H4" s="11"/>
      <c r="I4" s="19"/>
      <c r="J4" s="290" t="s">
        <v>14</v>
      </c>
      <c r="K4" s="291"/>
      <c r="L4" s="10"/>
      <c r="M4" s="10"/>
      <c r="N4" s="10"/>
      <c r="O4" s="11"/>
      <c r="P4" s="19"/>
      <c r="Q4" s="290" t="s">
        <v>14</v>
      </c>
      <c r="R4" s="291"/>
      <c r="S4" s="10"/>
      <c r="T4" s="10"/>
      <c r="U4" s="10"/>
      <c r="V4" s="11"/>
      <c r="W4" s="19"/>
      <c r="X4" s="9" t="s">
        <v>276</v>
      </c>
      <c r="Y4" s="10"/>
      <c r="Z4" s="10"/>
      <c r="AA4" s="10"/>
      <c r="AB4" s="10"/>
      <c r="AC4" s="11"/>
      <c r="AD4" s="19"/>
      <c r="AE4" s="9" t="s">
        <v>276</v>
      </c>
      <c r="AF4" s="10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10"/>
      <c r="H5" s="11"/>
      <c r="I5" s="19"/>
      <c r="J5" s="9" t="s">
        <v>16</v>
      </c>
      <c r="K5" s="10"/>
      <c r="L5" s="10"/>
      <c r="M5" s="10"/>
      <c r="N5" s="10"/>
      <c r="O5" s="11"/>
      <c r="P5" s="19"/>
      <c r="Q5" s="9" t="s">
        <v>16</v>
      </c>
      <c r="R5" s="10"/>
      <c r="S5" s="10"/>
      <c r="T5" s="10"/>
      <c r="U5" s="10"/>
      <c r="V5" s="163"/>
      <c r="W5" s="19"/>
      <c r="X5" s="9" t="s">
        <v>16</v>
      </c>
      <c r="Y5" s="10"/>
      <c r="Z5" s="10"/>
      <c r="AA5" s="10"/>
      <c r="AB5" s="10"/>
      <c r="AC5" s="163"/>
      <c r="AD5" s="19"/>
      <c r="AE5" s="9" t="s">
        <v>16</v>
      </c>
      <c r="AF5" s="10"/>
      <c r="AG5" s="10"/>
      <c r="AH5" s="10"/>
      <c r="AI5" s="10"/>
      <c r="AJ5" s="11"/>
      <c r="AL5" s="19"/>
      <c r="AM5" s="9" t="s">
        <v>16</v>
      </c>
      <c r="AN5" s="10">
        <f t="shared" ref="AN5:AP5" si="5">D5+K5+R5+Y5+AF5</f>
        <v>0</v>
      </c>
      <c r="AO5" s="10">
        <f t="shared" si="5"/>
        <v>0</v>
      </c>
      <c r="AP5" s="10">
        <f t="shared" si="5"/>
        <v>0</v>
      </c>
      <c r="AQ5" s="11">
        <f t="shared" si="3"/>
        <v>0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10"/>
      <c r="L6" s="10"/>
      <c r="M6" s="10"/>
      <c r="N6" s="10"/>
      <c r="O6" s="11"/>
      <c r="P6" s="19"/>
      <c r="Q6" s="9" t="s">
        <v>17</v>
      </c>
      <c r="R6" s="10"/>
      <c r="S6" s="10"/>
      <c r="T6" s="10"/>
      <c r="U6" s="10"/>
      <c r="V6" s="11"/>
      <c r="W6" s="19"/>
      <c r="X6" s="9" t="s">
        <v>17</v>
      </c>
      <c r="Y6" s="10"/>
      <c r="Z6" s="10"/>
      <c r="AA6" s="10"/>
      <c r="AB6" s="10"/>
      <c r="AC6" s="11"/>
      <c r="AD6" s="19"/>
      <c r="AE6" s="9" t="s">
        <v>17</v>
      </c>
      <c r="AF6" s="10"/>
      <c r="AG6" s="10"/>
      <c r="AH6" s="10"/>
      <c r="AI6" s="10"/>
      <c r="AJ6" s="11"/>
      <c r="AL6" s="19"/>
      <c r="AM6" s="9" t="s">
        <v>17</v>
      </c>
      <c r="AN6" s="10">
        <f t="shared" ref="AN6:AP6" si="6">D6+K6+R6+Y6+AF6</f>
        <v>0</v>
      </c>
      <c r="AO6" s="10">
        <f t="shared" si="6"/>
        <v>0</v>
      </c>
      <c r="AP6" s="10">
        <f t="shared" si="6"/>
        <v>0</v>
      </c>
      <c r="AQ6" s="11">
        <f t="shared" si="3"/>
        <v>0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9" t="s">
        <v>18</v>
      </c>
      <c r="K7" s="10"/>
      <c r="L7" s="10"/>
      <c r="M7" s="10"/>
      <c r="N7" s="10"/>
      <c r="O7" s="11"/>
      <c r="P7" s="19"/>
      <c r="Q7" s="9" t="s">
        <v>18</v>
      </c>
      <c r="R7" s="10"/>
      <c r="S7" s="10"/>
      <c r="T7" s="10"/>
      <c r="U7" s="10"/>
      <c r="V7" s="11"/>
      <c r="W7" s="19"/>
      <c r="X7" s="9" t="s">
        <v>18</v>
      </c>
      <c r="Y7" s="10"/>
      <c r="Z7" s="10"/>
      <c r="AA7" s="10"/>
      <c r="AB7" s="10"/>
      <c r="AC7" s="11"/>
      <c r="AD7" s="19"/>
      <c r="AE7" s="9" t="s">
        <v>18</v>
      </c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0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9" t="s">
        <v>20</v>
      </c>
      <c r="K8" s="10"/>
      <c r="L8" s="10"/>
      <c r="M8" s="10"/>
      <c r="N8" s="10"/>
      <c r="O8" s="11"/>
      <c r="P8" s="19"/>
      <c r="Q8" s="9" t="s">
        <v>19</v>
      </c>
      <c r="R8" s="10"/>
      <c r="S8" s="10"/>
      <c r="T8" s="10"/>
      <c r="U8" s="10"/>
      <c r="V8" s="11"/>
      <c r="W8" s="19"/>
      <c r="X8" s="9" t="s">
        <v>19</v>
      </c>
      <c r="Y8" s="10"/>
      <c r="Z8" s="10"/>
      <c r="AA8" s="10"/>
      <c r="AB8" s="10"/>
      <c r="AC8" s="11"/>
      <c r="AD8" s="19"/>
      <c r="AE8" s="9" t="s">
        <v>19</v>
      </c>
      <c r="AF8" s="10"/>
      <c r="AG8" s="10"/>
      <c r="AH8" s="10"/>
      <c r="AI8" s="10"/>
      <c r="AJ8" s="11"/>
      <c r="AL8" s="19"/>
      <c r="AM8" s="9" t="s">
        <v>19</v>
      </c>
      <c r="AN8" s="10">
        <f t="shared" ref="AN8:AP8" si="8">D8+K8+R8+Y8+AF8</f>
        <v>0</v>
      </c>
      <c r="AO8" s="10">
        <f t="shared" si="8"/>
        <v>0</v>
      </c>
      <c r="AP8" s="10">
        <f t="shared" si="8"/>
        <v>0</v>
      </c>
      <c r="AQ8" s="11">
        <f t="shared" si="3"/>
        <v>0</v>
      </c>
    </row>
    <row r="9">
      <c r="B9" s="19"/>
      <c r="C9" s="26" t="s">
        <v>21</v>
      </c>
      <c r="D9" s="10"/>
      <c r="E9" s="10"/>
      <c r="F9" s="10"/>
      <c r="G9" s="10"/>
      <c r="H9" s="11"/>
      <c r="I9" s="19"/>
      <c r="J9" s="26" t="s">
        <v>22</v>
      </c>
      <c r="K9" s="10"/>
      <c r="L9" s="10"/>
      <c r="M9" s="10"/>
      <c r="N9" s="310"/>
      <c r="O9" s="11"/>
      <c r="P9" s="19"/>
      <c r="Q9" s="26" t="s">
        <v>21</v>
      </c>
      <c r="R9" s="310"/>
      <c r="S9" s="10"/>
      <c r="T9" s="10"/>
      <c r="U9" s="310"/>
      <c r="V9" s="11"/>
      <c r="W9" s="19"/>
      <c r="X9" s="26" t="s">
        <v>21</v>
      </c>
      <c r="Y9" s="10"/>
      <c r="Z9" s="10"/>
      <c r="AA9" s="10"/>
      <c r="AB9" s="310"/>
      <c r="AC9" s="11"/>
      <c r="AD9" s="19"/>
      <c r="AE9" s="26" t="s">
        <v>21</v>
      </c>
      <c r="AF9" s="10"/>
      <c r="AG9" s="10"/>
      <c r="AH9" s="10"/>
      <c r="AI9" s="310"/>
      <c r="AJ9" s="11"/>
      <c r="AL9" s="19"/>
      <c r="AM9" s="26" t="s">
        <v>21</v>
      </c>
      <c r="AN9" s="10">
        <f t="shared" ref="AN9:AP9" si="9">D9+K9+R9+Y9+AF9</f>
        <v>0</v>
      </c>
      <c r="AO9" s="10">
        <f t="shared" si="9"/>
        <v>0</v>
      </c>
      <c r="AP9" s="10">
        <f t="shared" si="9"/>
        <v>0</v>
      </c>
      <c r="AQ9" s="11">
        <f t="shared" si="3"/>
        <v>0</v>
      </c>
    </row>
    <row r="10">
      <c r="B10" s="19"/>
      <c r="C10" s="28" t="s">
        <v>23</v>
      </c>
      <c r="D10" s="29">
        <f t="shared" ref="D10:H10" si="10">D2+D3+D4+D5+D6+D7+D8+D9</f>
        <v>0</v>
      </c>
      <c r="E10" s="30">
        <f t="shared" si="10"/>
        <v>0</v>
      </c>
      <c r="F10" s="31">
        <f t="shared" si="10"/>
        <v>0</v>
      </c>
      <c r="G10" s="32">
        <f t="shared" si="10"/>
        <v>0</v>
      </c>
      <c r="H10" s="294">
        <f t="shared" si="10"/>
        <v>0</v>
      </c>
      <c r="I10" s="19"/>
      <c r="J10" s="28" t="s">
        <v>23</v>
      </c>
      <c r="K10" s="34">
        <f t="shared" ref="K10:O10" si="11">K2+K3+K4+K5+K6+K7+K8+K9</f>
        <v>0</v>
      </c>
      <c r="L10" s="30">
        <f t="shared" si="11"/>
        <v>0</v>
      </c>
      <c r="M10" s="31">
        <f t="shared" si="11"/>
        <v>0</v>
      </c>
      <c r="N10" s="37">
        <f t="shared" si="11"/>
        <v>0</v>
      </c>
      <c r="O10" s="294">
        <f t="shared" si="11"/>
        <v>0</v>
      </c>
      <c r="P10" s="19"/>
      <c r="Q10" s="28" t="s">
        <v>23</v>
      </c>
      <c r="R10" s="34">
        <f t="shared" ref="R10:V10" si="12">R2+R3+R4+R5+R6+R7+R8+R9</f>
        <v>0</v>
      </c>
      <c r="S10" s="40">
        <f t="shared" si="12"/>
        <v>0</v>
      </c>
      <c r="T10" s="39">
        <f t="shared" si="12"/>
        <v>0</v>
      </c>
      <c r="U10" s="37">
        <f t="shared" si="12"/>
        <v>0</v>
      </c>
      <c r="V10" s="33">
        <f t="shared" si="12"/>
        <v>0</v>
      </c>
      <c r="W10" s="19"/>
      <c r="X10" s="28" t="s">
        <v>23</v>
      </c>
      <c r="Y10" s="34">
        <f t="shared" ref="Y10:AC10" si="13">Y2+Y3+Y4+Y5+Y6+Y7+Y8+Y9</f>
        <v>0</v>
      </c>
      <c r="Z10" s="35">
        <f t="shared" si="13"/>
        <v>0</v>
      </c>
      <c r="AA10" s="39">
        <f t="shared" si="13"/>
        <v>0</v>
      </c>
      <c r="AB10" s="37">
        <f t="shared" si="13"/>
        <v>0</v>
      </c>
      <c r="AC10" s="33">
        <f t="shared" si="13"/>
        <v>0</v>
      </c>
      <c r="AD10" s="19"/>
      <c r="AE10" s="28" t="s">
        <v>23</v>
      </c>
      <c r="AF10" s="61">
        <f t="shared" ref="AF10:AJ10" si="14">AF2+AF3+AF4+AF5+AF6+AF7+AF8+AF9</f>
        <v>0</v>
      </c>
      <c r="AG10" s="40">
        <f t="shared" si="14"/>
        <v>0</v>
      </c>
      <c r="AH10" s="31">
        <f t="shared" si="14"/>
        <v>0</v>
      </c>
      <c r="AI10" s="37">
        <f t="shared" si="14"/>
        <v>0</v>
      </c>
      <c r="AJ10" s="33">
        <f t="shared" si="14"/>
        <v>0</v>
      </c>
      <c r="AL10" s="19"/>
      <c r="AM10" s="28" t="s">
        <v>23</v>
      </c>
      <c r="AN10" s="41">
        <f t="shared" ref="AN10:AQ10" si="15">AN2+AN3+AN4+AN5+AN6+AN7+AN8+AN9</f>
        <v>0</v>
      </c>
      <c r="AO10" s="42">
        <f t="shared" si="15"/>
        <v>0</v>
      </c>
      <c r="AP10" s="43">
        <f t="shared" si="15"/>
        <v>0</v>
      </c>
      <c r="AQ10" s="44">
        <f t="shared" si="15"/>
        <v>0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0</v>
      </c>
      <c r="L11" s="47"/>
      <c r="M11" s="48"/>
      <c r="N11" s="51"/>
      <c r="O11" s="52"/>
      <c r="P11" s="19"/>
      <c r="Q11" s="45" t="s">
        <v>24</v>
      </c>
      <c r="R11" s="50">
        <f>R10-S10</f>
        <v>0</v>
      </c>
      <c r="S11" s="47"/>
      <c r="T11" s="48"/>
      <c r="U11" s="51"/>
      <c r="V11" s="52"/>
      <c r="W11" s="19"/>
      <c r="X11" s="45" t="s">
        <v>24</v>
      </c>
      <c r="Y11" s="50">
        <f>Y10-Z10</f>
        <v>0</v>
      </c>
      <c r="Z11" s="47"/>
      <c r="AA11" s="48"/>
      <c r="AB11" s="51"/>
      <c r="AC11" s="52"/>
      <c r="AD11" s="19"/>
      <c r="AE11" s="45" t="s">
        <v>24</v>
      </c>
      <c r="AF11" s="50">
        <f>AF10-AG10</f>
        <v>0</v>
      </c>
      <c r="AG11" s="47"/>
      <c r="AH11" s="48"/>
      <c r="AI11" s="51"/>
      <c r="AJ11" s="52"/>
      <c r="AL11" s="53"/>
      <c r="AM11" s="45" t="s">
        <v>25</v>
      </c>
      <c r="AN11" s="50">
        <f>AN10-AO10</f>
        <v>0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0</v>
      </c>
      <c r="L12" s="47"/>
      <c r="M12" s="48"/>
      <c r="N12" s="51"/>
      <c r="O12" s="52"/>
      <c r="P12" s="53"/>
      <c r="Q12" s="56" t="s">
        <v>26</v>
      </c>
      <c r="R12" s="57">
        <f>T10-S10</f>
        <v>0</v>
      </c>
      <c r="S12" s="47"/>
      <c r="T12" s="48"/>
      <c r="U12" s="51"/>
      <c r="V12" s="52"/>
      <c r="W12" s="53"/>
      <c r="X12" s="56" t="s">
        <v>26</v>
      </c>
      <c r="Y12" s="57">
        <f>AA10-Z10</f>
        <v>0</v>
      </c>
      <c r="Z12" s="47"/>
      <c r="AA12" s="48"/>
      <c r="AB12" s="51"/>
      <c r="AC12" s="52"/>
      <c r="AD12" s="53"/>
      <c r="AE12" s="56" t="s">
        <v>26</v>
      </c>
      <c r="AF12" s="57">
        <f>AH10-AG10</f>
        <v>0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2" t="s">
        <v>1</v>
      </c>
      <c r="Y13" s="4" t="s">
        <v>7</v>
      </c>
      <c r="Z13" s="2" t="s">
        <v>3</v>
      </c>
      <c r="AA13" s="2" t="s">
        <v>4</v>
      </c>
      <c r="AB13" s="2" t="s">
        <v>5</v>
      </c>
      <c r="AC13" s="5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>
        <v>45839.0</v>
      </c>
      <c r="C14" s="9" t="s">
        <v>10</v>
      </c>
      <c r="D14" s="10"/>
      <c r="E14" s="10"/>
      <c r="F14" s="10"/>
      <c r="G14" s="10"/>
      <c r="H14" s="11"/>
      <c r="I14" s="12">
        <v>45846.0</v>
      </c>
      <c r="J14" s="9" t="s">
        <v>10</v>
      </c>
      <c r="K14" s="10"/>
      <c r="L14" s="10"/>
      <c r="M14" s="10"/>
      <c r="N14" s="10"/>
      <c r="O14" s="11"/>
      <c r="P14" s="8">
        <v>45853.0</v>
      </c>
      <c r="Q14" s="9" t="s">
        <v>10</v>
      </c>
      <c r="R14" s="10"/>
      <c r="S14" s="10"/>
      <c r="T14" s="10"/>
      <c r="U14" s="10"/>
      <c r="V14" s="11"/>
      <c r="W14" s="8">
        <v>45860.0</v>
      </c>
      <c r="X14" s="9" t="s">
        <v>10</v>
      </c>
      <c r="Y14" s="10"/>
      <c r="Z14" s="10"/>
      <c r="AA14" s="10"/>
      <c r="AB14" s="10"/>
      <c r="AC14" s="11"/>
      <c r="AD14" s="8">
        <v>45867.0</v>
      </c>
      <c r="AE14" s="9" t="s">
        <v>10</v>
      </c>
      <c r="AF14" s="10"/>
      <c r="AG14" s="10"/>
      <c r="AH14" s="10"/>
      <c r="AI14" s="10"/>
      <c r="AJ14" s="11"/>
      <c r="AL14" s="18" t="s">
        <v>28</v>
      </c>
      <c r="AM14" s="9" t="s">
        <v>10</v>
      </c>
      <c r="AN14" s="10">
        <f t="shared" ref="AN14:AP14" si="16">D14+K14+R14+Y14+AF14</f>
        <v>0</v>
      </c>
      <c r="AO14" s="10">
        <f t="shared" si="16"/>
        <v>0</v>
      </c>
      <c r="AP14" s="10">
        <f t="shared" si="16"/>
        <v>0</v>
      </c>
      <c r="AQ14" s="11">
        <f t="shared" ref="AQ14:AQ21" si="18">H14+O14+V14+AC14+AJ14</f>
        <v>0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9" t="s">
        <v>12</v>
      </c>
      <c r="K15" s="10"/>
      <c r="L15" s="10"/>
      <c r="M15" s="10"/>
      <c r="N15" s="10"/>
      <c r="O15" s="11"/>
      <c r="P15" s="19"/>
      <c r="Q15" s="9" t="s">
        <v>12</v>
      </c>
      <c r="R15" s="10"/>
      <c r="S15" s="10"/>
      <c r="T15" s="10"/>
      <c r="U15" s="10"/>
      <c r="V15" s="11"/>
      <c r="W15" s="19"/>
      <c r="X15" s="9" t="s">
        <v>12</v>
      </c>
      <c r="Y15" s="10"/>
      <c r="Z15" s="10"/>
      <c r="AA15" s="10"/>
      <c r="AB15" s="10"/>
      <c r="AC15" s="11"/>
      <c r="AD15" s="19"/>
      <c r="AE15" s="9" t="s">
        <v>12</v>
      </c>
      <c r="AF15" s="10"/>
      <c r="AG15" s="10"/>
      <c r="AH15" s="10"/>
      <c r="AI15" s="10"/>
      <c r="AJ15" s="11"/>
      <c r="AL15" s="19"/>
      <c r="AM15" s="9" t="s">
        <v>12</v>
      </c>
      <c r="AN15" s="10">
        <f t="shared" ref="AN15:AP15" si="17">D15+K15+R15+Y15+AF15</f>
        <v>0</v>
      </c>
      <c r="AO15" s="10">
        <f t="shared" si="17"/>
        <v>0</v>
      </c>
      <c r="AP15" s="10">
        <f t="shared" si="17"/>
        <v>0</v>
      </c>
      <c r="AQ15" s="11">
        <f t="shared" si="18"/>
        <v>0</v>
      </c>
    </row>
    <row r="16">
      <c r="A16" s="19"/>
      <c r="B16" s="19"/>
      <c r="C16" s="290" t="s">
        <v>14</v>
      </c>
      <c r="D16" s="291"/>
      <c r="E16" s="10"/>
      <c r="F16" s="10"/>
      <c r="G16" s="10"/>
      <c r="H16" s="11"/>
      <c r="I16" s="19"/>
      <c r="J16" s="290" t="s">
        <v>14</v>
      </c>
      <c r="K16" s="291"/>
      <c r="L16" s="10"/>
      <c r="M16" s="10"/>
      <c r="N16" s="10"/>
      <c r="O16" s="11"/>
      <c r="P16" s="19"/>
      <c r="Q16" s="9" t="s">
        <v>14</v>
      </c>
      <c r="R16" s="10"/>
      <c r="S16" s="10"/>
      <c r="T16" s="10"/>
      <c r="U16" s="10"/>
      <c r="V16" s="11"/>
      <c r="W16" s="19"/>
      <c r="X16" s="9" t="s">
        <v>276</v>
      </c>
      <c r="Y16" s="10"/>
      <c r="Z16" s="10"/>
      <c r="AA16" s="10"/>
      <c r="AB16" s="10"/>
      <c r="AC16" s="11"/>
      <c r="AD16" s="19"/>
      <c r="AE16" s="9" t="s">
        <v>276</v>
      </c>
      <c r="AF16" s="10"/>
      <c r="AG16" s="10"/>
      <c r="AH16" s="10"/>
      <c r="AI16" s="10"/>
      <c r="AJ16" s="11"/>
      <c r="AL16" s="19"/>
      <c r="AM16" s="9" t="s">
        <v>14</v>
      </c>
      <c r="AN16" s="10">
        <f t="shared" ref="AN16:AP16" si="19">D16+K16+R16+Y16+AF16</f>
        <v>0</v>
      </c>
      <c r="AO16" s="10">
        <f t="shared" si="19"/>
        <v>0</v>
      </c>
      <c r="AP16" s="10">
        <f t="shared" si="19"/>
        <v>0</v>
      </c>
      <c r="AQ16" s="11">
        <f t="shared" si="18"/>
        <v>0</v>
      </c>
    </row>
    <row r="17">
      <c r="A17" s="19"/>
      <c r="B17" s="19"/>
      <c r="C17" s="9" t="s">
        <v>16</v>
      </c>
      <c r="D17" s="10"/>
      <c r="E17" s="10"/>
      <c r="F17" s="10"/>
      <c r="G17" s="10"/>
      <c r="H17" s="11"/>
      <c r="I17" s="19"/>
      <c r="J17" s="9" t="s">
        <v>16</v>
      </c>
      <c r="K17" s="10"/>
      <c r="L17" s="10"/>
      <c r="M17" s="10"/>
      <c r="N17" s="10"/>
      <c r="O17" s="11"/>
      <c r="P17" s="19"/>
      <c r="Q17" s="9" t="s">
        <v>15</v>
      </c>
      <c r="R17" s="10"/>
      <c r="S17" s="10"/>
      <c r="T17" s="10"/>
      <c r="U17" s="10"/>
      <c r="V17" s="11"/>
      <c r="W17" s="19"/>
      <c r="X17" s="9" t="s">
        <v>16</v>
      </c>
      <c r="Y17" s="10"/>
      <c r="Z17" s="10"/>
      <c r="AA17" s="10"/>
      <c r="AB17" s="310"/>
      <c r="AC17" s="11"/>
      <c r="AD17" s="19"/>
      <c r="AE17" s="9" t="s">
        <v>16</v>
      </c>
      <c r="AF17" s="10"/>
      <c r="AG17" s="10"/>
      <c r="AH17" s="10"/>
      <c r="AI17" s="10"/>
      <c r="AJ17" s="11"/>
      <c r="AL17" s="19"/>
      <c r="AM17" s="9" t="s">
        <v>16</v>
      </c>
      <c r="AN17" s="10">
        <f t="shared" ref="AN17:AP17" si="20">D17+K17+R17+Y17+AF17</f>
        <v>0</v>
      </c>
      <c r="AO17" s="10">
        <f t="shared" si="20"/>
        <v>0</v>
      </c>
      <c r="AP17" s="10">
        <f t="shared" si="20"/>
        <v>0</v>
      </c>
      <c r="AQ17" s="11">
        <f t="shared" si="18"/>
        <v>0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9" t="s">
        <v>17</v>
      </c>
      <c r="K18" s="10"/>
      <c r="L18" s="10"/>
      <c r="M18" s="10"/>
      <c r="N18" s="10"/>
      <c r="O18" s="11"/>
      <c r="P18" s="19"/>
      <c r="Q18" s="9" t="s">
        <v>17</v>
      </c>
      <c r="R18" s="10"/>
      <c r="S18" s="10"/>
      <c r="T18" s="10"/>
      <c r="U18" s="10"/>
      <c r="V18" s="11"/>
      <c r="W18" s="19"/>
      <c r="X18" s="9" t="s">
        <v>17</v>
      </c>
      <c r="Y18" s="10"/>
      <c r="Z18" s="10"/>
      <c r="AA18" s="10"/>
      <c r="AB18" s="10"/>
      <c r="AC18" s="11"/>
      <c r="AD18" s="19"/>
      <c r="AE18" s="9" t="s">
        <v>17</v>
      </c>
      <c r="AF18" s="10"/>
      <c r="AG18" s="10"/>
      <c r="AH18" s="10"/>
      <c r="AI18" s="10"/>
      <c r="AJ18" s="11"/>
      <c r="AL18" s="19"/>
      <c r="AM18" s="9" t="s">
        <v>17</v>
      </c>
      <c r="AN18" s="10">
        <f t="shared" ref="AN18:AP18" si="21">D18+K18+R18+Y18+AF18</f>
        <v>0</v>
      </c>
      <c r="AO18" s="10">
        <f t="shared" si="21"/>
        <v>0</v>
      </c>
      <c r="AP18" s="10">
        <f t="shared" si="21"/>
        <v>0</v>
      </c>
      <c r="AQ18" s="11">
        <f t="shared" si="18"/>
        <v>0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9" t="s">
        <v>18</v>
      </c>
      <c r="K19" s="10"/>
      <c r="L19" s="10"/>
      <c r="M19" s="10"/>
      <c r="N19" s="10"/>
      <c r="O19" s="11"/>
      <c r="P19" s="19"/>
      <c r="Q19" s="9" t="s">
        <v>18</v>
      </c>
      <c r="R19" s="10"/>
      <c r="S19" s="10"/>
      <c r="T19" s="10"/>
      <c r="U19" s="10"/>
      <c r="V19" s="11"/>
      <c r="W19" s="19"/>
      <c r="X19" s="9" t="s">
        <v>18</v>
      </c>
      <c r="Y19" s="10"/>
      <c r="Z19" s="10"/>
      <c r="AA19" s="10"/>
      <c r="AB19" s="10"/>
      <c r="AC19" s="11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2">D19+K19+R19+Y19+AF19</f>
        <v>0</v>
      </c>
      <c r="AO19" s="10">
        <f t="shared" si="22"/>
        <v>0</v>
      </c>
      <c r="AP19" s="10">
        <f t="shared" si="22"/>
        <v>0</v>
      </c>
      <c r="AQ19" s="11">
        <f t="shared" si="18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0"/>
      <c r="L20" s="10"/>
      <c r="M20" s="10"/>
      <c r="N20" s="10"/>
      <c r="O20" s="11"/>
      <c r="P20" s="19"/>
      <c r="Q20" s="9" t="s">
        <v>19</v>
      </c>
      <c r="R20" s="10"/>
      <c r="S20" s="10"/>
      <c r="T20" s="10"/>
      <c r="U20" s="10"/>
      <c r="V20" s="11"/>
      <c r="W20" s="19"/>
      <c r="X20" s="9" t="s">
        <v>19</v>
      </c>
      <c r="Y20" s="10"/>
      <c r="Z20" s="10"/>
      <c r="AA20" s="10"/>
      <c r="AB20" s="10"/>
      <c r="AC20" s="11"/>
      <c r="AD20" s="19"/>
      <c r="AE20" s="9" t="s">
        <v>19</v>
      </c>
      <c r="AF20" s="10"/>
      <c r="AG20" s="10"/>
      <c r="AH20" s="10"/>
      <c r="AI20" s="10"/>
      <c r="AJ20" s="11"/>
      <c r="AL20" s="19"/>
      <c r="AM20" s="9" t="s">
        <v>19</v>
      </c>
      <c r="AN20" s="10">
        <f t="shared" ref="AN20:AP20" si="23">D20+K20+R20+Y20+AF20</f>
        <v>0</v>
      </c>
      <c r="AO20" s="10">
        <f t="shared" si="23"/>
        <v>0</v>
      </c>
      <c r="AP20" s="10">
        <f t="shared" si="23"/>
        <v>0</v>
      </c>
      <c r="AQ20" s="11">
        <f t="shared" si="18"/>
        <v>0</v>
      </c>
    </row>
    <row r="21">
      <c r="A21" s="19"/>
      <c r="B21" s="19"/>
      <c r="C21" s="26" t="s">
        <v>21</v>
      </c>
      <c r="D21" s="10"/>
      <c r="E21" s="10"/>
      <c r="F21" s="10"/>
      <c r="G21" s="10"/>
      <c r="H21" s="11"/>
      <c r="I21" s="19"/>
      <c r="J21" s="26" t="s">
        <v>22</v>
      </c>
      <c r="K21" s="10"/>
      <c r="L21" s="10"/>
      <c r="M21" s="10"/>
      <c r="N21" s="310"/>
      <c r="O21" s="11"/>
      <c r="P21" s="19"/>
      <c r="Q21" s="26" t="s">
        <v>21</v>
      </c>
      <c r="R21" s="10"/>
      <c r="S21" s="10"/>
      <c r="T21" s="10"/>
      <c r="U21" s="310"/>
      <c r="V21" s="11"/>
      <c r="W21" s="19"/>
      <c r="X21" s="26" t="s">
        <v>21</v>
      </c>
      <c r="Y21" s="10"/>
      <c r="Z21" s="10"/>
      <c r="AA21" s="10"/>
      <c r="AB21" s="310"/>
      <c r="AC21" s="11"/>
      <c r="AD21" s="19"/>
      <c r="AE21" s="26" t="s">
        <v>21</v>
      </c>
      <c r="AF21" s="10"/>
      <c r="AG21" s="10"/>
      <c r="AH21" s="10"/>
      <c r="AI21" s="310"/>
      <c r="AJ21" s="11"/>
      <c r="AL21" s="19"/>
      <c r="AM21" s="26" t="s">
        <v>21</v>
      </c>
      <c r="AN21" s="10">
        <f t="shared" ref="AN21:AP21" si="24">D21+K21+R21+Y21+AF21</f>
        <v>0</v>
      </c>
      <c r="AO21" s="10">
        <f t="shared" si="24"/>
        <v>0</v>
      </c>
      <c r="AP21" s="10">
        <f t="shared" si="24"/>
        <v>0</v>
      </c>
      <c r="AQ21" s="11">
        <f t="shared" si="18"/>
        <v>0</v>
      </c>
    </row>
    <row r="22">
      <c r="A22" s="19"/>
      <c r="B22" s="19"/>
      <c r="C22" s="28" t="s">
        <v>23</v>
      </c>
      <c r="D22" s="29">
        <f t="shared" ref="D22:H22" si="25">D14+D15+D16+D17+D18+D19+D20+D21</f>
        <v>0</v>
      </c>
      <c r="E22" s="35">
        <f t="shared" si="25"/>
        <v>0</v>
      </c>
      <c r="F22" s="31">
        <f t="shared" si="25"/>
        <v>0</v>
      </c>
      <c r="G22" s="37">
        <f t="shared" si="25"/>
        <v>0</v>
      </c>
      <c r="H22" s="33">
        <f t="shared" si="25"/>
        <v>0</v>
      </c>
      <c r="I22" s="19"/>
      <c r="J22" s="28" t="s">
        <v>23</v>
      </c>
      <c r="K22" s="32">
        <f t="shared" ref="K22:O22" si="26">K14+K15+K16+K17+K18+K19+K20+K21</f>
        <v>0</v>
      </c>
      <c r="L22" s="30">
        <f t="shared" si="26"/>
        <v>0</v>
      </c>
      <c r="M22" s="31">
        <f t="shared" si="26"/>
        <v>0</v>
      </c>
      <c r="N22" s="37">
        <f t="shared" si="26"/>
        <v>0</v>
      </c>
      <c r="O22" s="33">
        <f t="shared" si="26"/>
        <v>0</v>
      </c>
      <c r="P22" s="19"/>
      <c r="Q22" s="28" t="s">
        <v>23</v>
      </c>
      <c r="R22" s="29">
        <f t="shared" ref="R22:V22" si="27">R14+R15+R16+R17+R18+R19+R20+R21</f>
        <v>0</v>
      </c>
      <c r="S22" s="30">
        <f t="shared" si="27"/>
        <v>0</v>
      </c>
      <c r="T22" s="36">
        <f t="shared" si="27"/>
        <v>0</v>
      </c>
      <c r="U22" s="37">
        <f t="shared" si="27"/>
        <v>0</v>
      </c>
      <c r="V22" s="33">
        <f t="shared" si="27"/>
        <v>0</v>
      </c>
      <c r="W22" s="19"/>
      <c r="X22" s="28" t="s">
        <v>23</v>
      </c>
      <c r="Y22" s="34">
        <f t="shared" ref="Y22:AC22" si="28">Y14+Y15+Y16+Y17+Y18+Y19+Y20+Y21</f>
        <v>0</v>
      </c>
      <c r="Z22" s="40">
        <f t="shared" si="28"/>
        <v>0</v>
      </c>
      <c r="AA22" s="39">
        <f t="shared" si="28"/>
        <v>0</v>
      </c>
      <c r="AB22" s="37">
        <f t="shared" si="28"/>
        <v>0</v>
      </c>
      <c r="AC22" s="33">
        <f t="shared" si="28"/>
        <v>0</v>
      </c>
      <c r="AD22" s="19"/>
      <c r="AE22" s="28" t="s">
        <v>23</v>
      </c>
      <c r="AF22" s="34">
        <f t="shared" ref="AF22:AJ22" si="29">AF14+AF15+AF16+AF17+AF18+AF19+AF20+AF21</f>
        <v>0</v>
      </c>
      <c r="AG22" s="30">
        <f t="shared" si="29"/>
        <v>0</v>
      </c>
      <c r="AH22" s="36">
        <f t="shared" si="29"/>
        <v>0</v>
      </c>
      <c r="AI22" s="37">
        <f t="shared" si="29"/>
        <v>0</v>
      </c>
      <c r="AJ22" s="33">
        <f t="shared" si="29"/>
        <v>0</v>
      </c>
      <c r="AL22" s="19"/>
      <c r="AM22" s="28" t="s">
        <v>23</v>
      </c>
      <c r="AN22" s="41">
        <f t="shared" ref="AN22:AQ22" si="30">AN14+AN15+AN16+AN17+AN18+AN19+AN20+AN21</f>
        <v>0</v>
      </c>
      <c r="AO22" s="42">
        <f t="shared" si="30"/>
        <v>0</v>
      </c>
      <c r="AP22" s="43">
        <f t="shared" si="30"/>
        <v>0</v>
      </c>
      <c r="AQ22" s="44">
        <f t="shared" si="30"/>
        <v>0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0</v>
      </c>
      <c r="L23" s="47"/>
      <c r="M23" s="48"/>
      <c r="N23" s="51"/>
      <c r="O23" s="51"/>
      <c r="P23" s="19"/>
      <c r="Q23" s="45" t="s">
        <v>24</v>
      </c>
      <c r="R23" s="50">
        <f>R22-S22</f>
        <v>0</v>
      </c>
      <c r="S23" s="47"/>
      <c r="T23" s="48"/>
      <c r="U23" s="51"/>
      <c r="V23" s="51"/>
      <c r="W23" s="19"/>
      <c r="X23" s="45" t="s">
        <v>24</v>
      </c>
      <c r="Y23" s="50">
        <f>Y22-Z22</f>
        <v>0</v>
      </c>
      <c r="Z23" s="47"/>
      <c r="AA23" s="48"/>
      <c r="AB23" s="51"/>
      <c r="AC23" s="51"/>
      <c r="AD23" s="19"/>
      <c r="AE23" s="45" t="s">
        <v>24</v>
      </c>
      <c r="AF23" s="50">
        <f>AF22-AG22</f>
        <v>0</v>
      </c>
      <c r="AG23" s="47"/>
      <c r="AH23" s="48"/>
      <c r="AI23" s="51"/>
      <c r="AJ23" s="51"/>
      <c r="AL23" s="53"/>
      <c r="AM23" s="45" t="s">
        <v>25</v>
      </c>
      <c r="AN23" s="50">
        <f>AN22-AO22</f>
        <v>0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0</v>
      </c>
      <c r="L24" s="47"/>
      <c r="M24" s="48"/>
      <c r="N24" s="51"/>
      <c r="O24" s="51"/>
      <c r="P24" s="53"/>
      <c r="Q24" s="56" t="s">
        <v>26</v>
      </c>
      <c r="R24" s="57">
        <f>T22-S22</f>
        <v>0</v>
      </c>
      <c r="S24" s="47"/>
      <c r="T24" s="48"/>
      <c r="U24" s="51"/>
      <c r="V24" s="51"/>
      <c r="W24" s="53"/>
      <c r="X24" s="56" t="s">
        <v>26</v>
      </c>
      <c r="Y24" s="57">
        <f>AA22-Z22</f>
        <v>0</v>
      </c>
      <c r="Z24" s="47"/>
      <c r="AA24" s="48"/>
      <c r="AB24" s="51"/>
      <c r="AC24" s="51"/>
      <c r="AD24" s="53"/>
      <c r="AE24" s="56" t="s">
        <v>26</v>
      </c>
      <c r="AF24" s="57">
        <f>AH22-AG22</f>
        <v>0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1" t="s">
        <v>1</v>
      </c>
      <c r="K25" s="307" t="s">
        <v>7</v>
      </c>
      <c r="L25" s="1" t="s">
        <v>3</v>
      </c>
      <c r="M25" s="1" t="s">
        <v>4</v>
      </c>
      <c r="N25" s="1" t="s">
        <v>5</v>
      </c>
      <c r="O25" s="308" t="s">
        <v>6</v>
      </c>
      <c r="P25" s="2" t="s">
        <v>0</v>
      </c>
      <c r="Q25" s="1" t="s">
        <v>1</v>
      </c>
      <c r="R25" s="307" t="s">
        <v>7</v>
      </c>
      <c r="S25" s="1" t="s">
        <v>3</v>
      </c>
      <c r="T25" s="1" t="s">
        <v>4</v>
      </c>
      <c r="U25" s="1" t="s">
        <v>5</v>
      </c>
      <c r="V25" s="308" t="s">
        <v>6</v>
      </c>
      <c r="W25" s="2" t="s">
        <v>0</v>
      </c>
      <c r="X25" s="2" t="s">
        <v>1</v>
      </c>
      <c r="Y25" s="4" t="s">
        <v>7</v>
      </c>
      <c r="Z25" s="2" t="s">
        <v>3</v>
      </c>
      <c r="AA25" s="2" t="s">
        <v>4</v>
      </c>
      <c r="AB25" s="2" t="s">
        <v>5</v>
      </c>
      <c r="AC25" s="5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168">
        <v>45840.0</v>
      </c>
      <c r="C26" s="9" t="s">
        <v>10</v>
      </c>
      <c r="D26" s="10"/>
      <c r="E26" s="10"/>
      <c r="F26" s="10"/>
      <c r="G26" s="10"/>
      <c r="H26" s="11"/>
      <c r="I26" s="12">
        <v>45847.0</v>
      </c>
      <c r="J26" s="9" t="s">
        <v>10</v>
      </c>
      <c r="K26" s="10"/>
      <c r="L26" s="10"/>
      <c r="M26" s="10"/>
      <c r="N26" s="10"/>
      <c r="O26" s="11"/>
      <c r="P26" s="8">
        <v>45854.0</v>
      </c>
      <c r="Q26" s="9" t="s">
        <v>10</v>
      </c>
      <c r="R26" s="10"/>
      <c r="S26" s="10"/>
      <c r="T26" s="10"/>
      <c r="U26" s="10"/>
      <c r="V26" s="11"/>
      <c r="W26" s="8">
        <v>45861.0</v>
      </c>
      <c r="X26" s="9" t="s">
        <v>10</v>
      </c>
      <c r="Y26" s="10"/>
      <c r="Z26" s="10"/>
      <c r="AA26" s="10"/>
      <c r="AB26" s="10"/>
      <c r="AC26" s="11"/>
      <c r="AD26" s="8">
        <v>45868.0</v>
      </c>
      <c r="AE26" s="9" t="s">
        <v>10</v>
      </c>
      <c r="AF26" s="10"/>
      <c r="AG26" s="10"/>
      <c r="AH26" s="10"/>
      <c r="AI26" s="10"/>
      <c r="AJ26" s="11"/>
      <c r="AL26" s="18" t="s">
        <v>31</v>
      </c>
      <c r="AM26" s="9" t="s">
        <v>10</v>
      </c>
      <c r="AN26" s="10">
        <f t="shared" ref="AN26:AP26" si="31">D26+K26+R26+Y26+AF26</f>
        <v>0</v>
      </c>
      <c r="AO26" s="10">
        <f t="shared" si="31"/>
        <v>0</v>
      </c>
      <c r="AP26" s="10">
        <f t="shared" si="31"/>
        <v>0</v>
      </c>
      <c r="AQ26" s="11">
        <f t="shared" ref="AQ26:AQ33" si="33">H26+O26+V26+AC26+AJ26</f>
        <v>0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0"/>
      <c r="L27" s="10"/>
      <c r="M27" s="10"/>
      <c r="N27" s="10"/>
      <c r="O27" s="11"/>
      <c r="P27" s="19"/>
      <c r="Q27" s="9" t="s">
        <v>12</v>
      </c>
      <c r="R27" s="10"/>
      <c r="S27" s="10"/>
      <c r="T27" s="10"/>
      <c r="U27" s="10"/>
      <c r="V27" s="11"/>
      <c r="W27" s="19"/>
      <c r="X27" s="9" t="s">
        <v>12</v>
      </c>
      <c r="Y27" s="10"/>
      <c r="Z27" s="10"/>
      <c r="AA27" s="10"/>
      <c r="AB27" s="10"/>
      <c r="AC27" s="11"/>
      <c r="AD27" s="19"/>
      <c r="AE27" s="9" t="s">
        <v>12</v>
      </c>
      <c r="AF27" s="10"/>
      <c r="AG27" s="10"/>
      <c r="AH27" s="10"/>
      <c r="AI27" s="10"/>
      <c r="AJ27" s="11"/>
      <c r="AL27" s="19"/>
      <c r="AM27" s="9" t="s">
        <v>12</v>
      </c>
      <c r="AN27" s="10">
        <f t="shared" ref="AN27:AP27" si="32">D27+K27+R27+Y27+AF27</f>
        <v>0</v>
      </c>
      <c r="AO27" s="10">
        <f t="shared" si="32"/>
        <v>0</v>
      </c>
      <c r="AP27" s="10">
        <f t="shared" si="32"/>
        <v>0</v>
      </c>
      <c r="AQ27" s="11">
        <f t="shared" si="33"/>
        <v>0</v>
      </c>
    </row>
    <row r="28">
      <c r="A28" s="19"/>
      <c r="B28" s="19"/>
      <c r="C28" s="290" t="s">
        <v>14</v>
      </c>
      <c r="D28" s="291"/>
      <c r="E28" s="10"/>
      <c r="F28" s="10"/>
      <c r="G28" s="10"/>
      <c r="H28" s="11"/>
      <c r="I28" s="19"/>
      <c r="J28" s="290" t="s">
        <v>14</v>
      </c>
      <c r="K28" s="291"/>
      <c r="L28" s="10"/>
      <c r="M28" s="10"/>
      <c r="N28" s="10"/>
      <c r="O28" s="11"/>
      <c r="P28" s="19"/>
      <c r="Q28" s="9" t="s">
        <v>33</v>
      </c>
      <c r="R28" s="10"/>
      <c r="S28" s="10"/>
      <c r="T28" s="10"/>
      <c r="U28" s="10"/>
      <c r="V28" s="11"/>
      <c r="W28" s="19"/>
      <c r="X28" s="9" t="s">
        <v>276</v>
      </c>
      <c r="Y28" s="10"/>
      <c r="Z28" s="10"/>
      <c r="AA28" s="10"/>
      <c r="AB28" s="10"/>
      <c r="AC28" s="11"/>
      <c r="AD28" s="19"/>
      <c r="AE28" s="9" t="s">
        <v>276</v>
      </c>
      <c r="AF28" s="10"/>
      <c r="AG28" s="10"/>
      <c r="AH28" s="10"/>
      <c r="AI28" s="10"/>
      <c r="AJ28" s="11"/>
      <c r="AL28" s="19"/>
      <c r="AM28" s="9" t="s">
        <v>14</v>
      </c>
      <c r="AN28" s="10">
        <f t="shared" ref="AN28:AP28" si="34">D28+K28+R28+Y28+AF28</f>
        <v>0</v>
      </c>
      <c r="AO28" s="10">
        <f t="shared" si="34"/>
        <v>0</v>
      </c>
      <c r="AP28" s="10">
        <f t="shared" si="34"/>
        <v>0</v>
      </c>
      <c r="AQ28" s="11">
        <f t="shared" si="33"/>
        <v>0</v>
      </c>
    </row>
    <row r="29">
      <c r="A29" s="19"/>
      <c r="B29" s="19"/>
      <c r="C29" s="9" t="s">
        <v>15</v>
      </c>
      <c r="D29" s="10"/>
      <c r="E29" s="10"/>
      <c r="F29" s="10"/>
      <c r="G29" s="10"/>
      <c r="H29" s="11"/>
      <c r="I29" s="19"/>
      <c r="J29" s="9" t="s">
        <v>15</v>
      </c>
      <c r="K29" s="10"/>
      <c r="L29" s="10"/>
      <c r="M29" s="10"/>
      <c r="N29" s="10"/>
      <c r="O29" s="11"/>
      <c r="P29" s="19"/>
      <c r="Q29" s="9" t="s">
        <v>15</v>
      </c>
      <c r="R29" s="10"/>
      <c r="S29" s="10"/>
      <c r="T29" s="10"/>
      <c r="U29" s="10"/>
      <c r="V29" s="11"/>
      <c r="W29" s="19"/>
      <c r="X29" s="9" t="s">
        <v>16</v>
      </c>
      <c r="Y29" s="10"/>
      <c r="Z29" s="10"/>
      <c r="AA29" s="10"/>
      <c r="AB29" s="310"/>
      <c r="AC29" s="11"/>
      <c r="AD29" s="19"/>
      <c r="AE29" s="9" t="s">
        <v>16</v>
      </c>
      <c r="AF29" s="10"/>
      <c r="AG29" s="10"/>
      <c r="AH29" s="10"/>
      <c r="AI29" s="10"/>
      <c r="AJ29" s="11"/>
      <c r="AL29" s="19"/>
      <c r="AM29" s="9" t="s">
        <v>16</v>
      </c>
      <c r="AN29" s="10">
        <f t="shared" ref="AN29:AP29" si="35">D29+K29+R29+Y29+AF29</f>
        <v>0</v>
      </c>
      <c r="AO29" s="10">
        <f t="shared" si="35"/>
        <v>0</v>
      </c>
      <c r="AP29" s="10">
        <f t="shared" si="35"/>
        <v>0</v>
      </c>
      <c r="AQ29" s="11">
        <f t="shared" si="33"/>
        <v>0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9" t="s">
        <v>17</v>
      </c>
      <c r="K30" s="10"/>
      <c r="L30" s="10"/>
      <c r="M30" s="10"/>
      <c r="N30" s="10"/>
      <c r="O30" s="11"/>
      <c r="P30" s="19"/>
      <c r="Q30" s="9" t="s">
        <v>17</v>
      </c>
      <c r="R30" s="10"/>
      <c r="S30" s="10"/>
      <c r="T30" s="10"/>
      <c r="U30" s="10"/>
      <c r="V30" s="11"/>
      <c r="W30" s="19"/>
      <c r="X30" s="9" t="s">
        <v>17</v>
      </c>
      <c r="Y30" s="10"/>
      <c r="Z30" s="10"/>
      <c r="AA30" s="10"/>
      <c r="AB30" s="10"/>
      <c r="AC30" s="11"/>
      <c r="AD30" s="19"/>
      <c r="AE30" s="9" t="s">
        <v>17</v>
      </c>
      <c r="AF30" s="10"/>
      <c r="AG30" s="10"/>
      <c r="AH30" s="10"/>
      <c r="AI30" s="10"/>
      <c r="AJ30" s="11"/>
      <c r="AL30" s="19"/>
      <c r="AM30" s="9" t="s">
        <v>17</v>
      </c>
      <c r="AN30" s="10">
        <f t="shared" ref="AN30:AP30" si="36">D30+K30+R30+Y30+AF30</f>
        <v>0</v>
      </c>
      <c r="AO30" s="10">
        <f t="shared" si="36"/>
        <v>0</v>
      </c>
      <c r="AP30" s="10">
        <f t="shared" si="36"/>
        <v>0</v>
      </c>
      <c r="AQ30" s="11">
        <f t="shared" si="33"/>
        <v>0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9" t="s">
        <v>29</v>
      </c>
      <c r="K31" s="10"/>
      <c r="L31" s="10"/>
      <c r="M31" s="10"/>
      <c r="N31" s="10"/>
      <c r="O31" s="11"/>
      <c r="P31" s="19"/>
      <c r="Q31" s="9" t="s">
        <v>18</v>
      </c>
      <c r="R31" s="10"/>
      <c r="S31" s="10"/>
      <c r="T31" s="10"/>
      <c r="U31" s="10"/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7">D31+K31+R31+Y31+AF31</f>
        <v>0</v>
      </c>
      <c r="AO31" s="10">
        <f t="shared" si="37"/>
        <v>0</v>
      </c>
      <c r="AP31" s="10">
        <f t="shared" si="37"/>
        <v>0</v>
      </c>
      <c r="AQ31" s="11">
        <f t="shared" si="33"/>
        <v>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9" t="s">
        <v>19</v>
      </c>
      <c r="K32" s="10"/>
      <c r="L32" s="10"/>
      <c r="M32" s="10"/>
      <c r="N32" s="10"/>
      <c r="O32" s="11"/>
      <c r="P32" s="19"/>
      <c r="Q32" s="9" t="s">
        <v>19</v>
      </c>
      <c r="R32" s="10"/>
      <c r="S32" s="10"/>
      <c r="T32" s="10"/>
      <c r="U32" s="10"/>
      <c r="V32" s="11"/>
      <c r="W32" s="19"/>
      <c r="X32" s="9" t="s">
        <v>19</v>
      </c>
      <c r="Y32" s="10"/>
      <c r="Z32" s="10"/>
      <c r="AA32" s="10"/>
      <c r="AB32" s="10"/>
      <c r="AC32" s="11"/>
      <c r="AD32" s="19"/>
      <c r="AE32" s="9" t="s">
        <v>19</v>
      </c>
      <c r="AF32" s="10"/>
      <c r="AG32" s="10"/>
      <c r="AH32" s="10"/>
      <c r="AI32" s="10"/>
      <c r="AJ32" s="11"/>
      <c r="AL32" s="19"/>
      <c r="AM32" s="9" t="s">
        <v>19</v>
      </c>
      <c r="AN32" s="10">
        <f t="shared" ref="AN32:AP32" si="38">D32+K32+R32+Y32+AF32</f>
        <v>0</v>
      </c>
      <c r="AO32" s="10">
        <f t="shared" si="38"/>
        <v>0</v>
      </c>
      <c r="AP32" s="10">
        <f t="shared" si="38"/>
        <v>0</v>
      </c>
      <c r="AQ32" s="11">
        <f t="shared" si="33"/>
        <v>0</v>
      </c>
    </row>
    <row r="33">
      <c r="A33" s="19"/>
      <c r="B33" s="19"/>
      <c r="C33" s="26" t="s">
        <v>21</v>
      </c>
      <c r="D33" s="10"/>
      <c r="E33" s="10"/>
      <c r="F33" s="10"/>
      <c r="G33" s="10"/>
      <c r="H33" s="11"/>
      <c r="I33" s="19"/>
      <c r="J33" s="26" t="s">
        <v>21</v>
      </c>
      <c r="K33" s="10"/>
      <c r="L33" s="10"/>
      <c r="M33" s="10"/>
      <c r="N33" s="310"/>
      <c r="O33" s="11"/>
      <c r="P33" s="19"/>
      <c r="Q33" s="26" t="s">
        <v>22</v>
      </c>
      <c r="R33" s="10"/>
      <c r="S33" s="10"/>
      <c r="T33" s="10"/>
      <c r="U33" s="310"/>
      <c r="V33" s="11"/>
      <c r="W33" s="19"/>
      <c r="X33" s="26" t="s">
        <v>21</v>
      </c>
      <c r="Y33" s="10"/>
      <c r="Z33" s="10"/>
      <c r="AA33" s="10"/>
      <c r="AB33" s="310"/>
      <c r="AC33" s="11"/>
      <c r="AD33" s="19"/>
      <c r="AE33" s="26" t="s">
        <v>21</v>
      </c>
      <c r="AF33" s="10"/>
      <c r="AG33" s="10"/>
      <c r="AH33" s="10"/>
      <c r="AI33" s="310"/>
      <c r="AJ33" s="11"/>
      <c r="AL33" s="19"/>
      <c r="AM33" s="26" t="s">
        <v>21</v>
      </c>
      <c r="AN33" s="10">
        <f t="shared" ref="AN33:AP33" si="39">D33+K33+R33+Y33+AF33</f>
        <v>0</v>
      </c>
      <c r="AO33" s="10">
        <f t="shared" si="39"/>
        <v>0</v>
      </c>
      <c r="AP33" s="10">
        <f t="shared" si="39"/>
        <v>0</v>
      </c>
      <c r="AQ33" s="11">
        <f t="shared" si="33"/>
        <v>0</v>
      </c>
    </row>
    <row r="34">
      <c r="A34" s="19"/>
      <c r="B34" s="19"/>
      <c r="C34" s="28" t="s">
        <v>23</v>
      </c>
      <c r="D34" s="29">
        <f t="shared" ref="D34:H34" si="40">D26+D27+D28+D29+D30+D31+D32+D33</f>
        <v>0</v>
      </c>
      <c r="E34" s="30">
        <f t="shared" si="40"/>
        <v>0</v>
      </c>
      <c r="F34" s="36">
        <f t="shared" si="40"/>
        <v>0</v>
      </c>
      <c r="G34" s="40">
        <f t="shared" si="40"/>
        <v>0</v>
      </c>
      <c r="H34" s="33">
        <f t="shared" si="40"/>
        <v>0</v>
      </c>
      <c r="I34" s="19"/>
      <c r="J34" s="28" t="s">
        <v>23</v>
      </c>
      <c r="K34" s="34">
        <f t="shared" ref="K34:O34" si="41">K26+K27+K28+K29+K30+K31+K32+K33</f>
        <v>0</v>
      </c>
      <c r="L34" s="30">
        <f t="shared" si="41"/>
        <v>0</v>
      </c>
      <c r="M34" s="39">
        <f t="shared" si="41"/>
        <v>0</v>
      </c>
      <c r="N34" s="37">
        <f t="shared" si="41"/>
        <v>0</v>
      </c>
      <c r="O34" s="38">
        <f t="shared" si="41"/>
        <v>0</v>
      </c>
      <c r="P34" s="19"/>
      <c r="Q34" s="28" t="s">
        <v>23</v>
      </c>
      <c r="R34" s="29">
        <f t="shared" ref="R34:V34" si="42">R26+R27+R28+R29+R30+R31+R32+R33</f>
        <v>0</v>
      </c>
      <c r="S34" s="30">
        <f t="shared" si="42"/>
        <v>0</v>
      </c>
      <c r="T34" s="31">
        <f t="shared" si="42"/>
        <v>0</v>
      </c>
      <c r="U34" s="37">
        <f t="shared" si="42"/>
        <v>0</v>
      </c>
      <c r="V34" s="33">
        <f t="shared" si="42"/>
        <v>0</v>
      </c>
      <c r="W34" s="19"/>
      <c r="X34" s="28" t="s">
        <v>23</v>
      </c>
      <c r="Y34" s="29">
        <f t="shared" ref="Y34:AC34" si="43">Y26+Y27+Y28+Y29+Y30+Y31+Y32+Y33</f>
        <v>0</v>
      </c>
      <c r="Z34" s="30">
        <f t="shared" si="43"/>
        <v>0</v>
      </c>
      <c r="AA34" s="31">
        <f t="shared" si="43"/>
        <v>0</v>
      </c>
      <c r="AB34" s="37">
        <f t="shared" si="43"/>
        <v>0</v>
      </c>
      <c r="AC34" s="33">
        <f t="shared" si="43"/>
        <v>0</v>
      </c>
      <c r="AD34" s="19"/>
      <c r="AE34" s="28" t="s">
        <v>23</v>
      </c>
      <c r="AF34" s="61">
        <f t="shared" ref="AF34:AJ34" si="44">AF26+AF27+AF28+AF29+AF30+AF31+AF32+AF33</f>
        <v>0</v>
      </c>
      <c r="AG34" s="30">
        <f t="shared" si="44"/>
        <v>0</v>
      </c>
      <c r="AH34" s="31">
        <f t="shared" si="44"/>
        <v>0</v>
      </c>
      <c r="AI34" s="37">
        <f t="shared" si="44"/>
        <v>0</v>
      </c>
      <c r="AJ34" s="33">
        <f t="shared" si="44"/>
        <v>0</v>
      </c>
      <c r="AL34" s="19"/>
      <c r="AM34" s="28" t="s">
        <v>23</v>
      </c>
      <c r="AN34" s="41">
        <f t="shared" ref="AN34:AQ34" si="45">AN26+AN27+AN28+AN29+AN30+AN31+AN32+AN33</f>
        <v>0</v>
      </c>
      <c r="AO34" s="42">
        <f t="shared" si="45"/>
        <v>0</v>
      </c>
      <c r="AP34" s="43">
        <f t="shared" si="45"/>
        <v>0</v>
      </c>
      <c r="AQ34" s="44">
        <f t="shared" si="45"/>
        <v>0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0</v>
      </c>
      <c r="L35" s="47"/>
      <c r="M35" s="48"/>
      <c r="N35" s="51"/>
      <c r="O35" s="51"/>
      <c r="P35" s="19"/>
      <c r="Q35" s="45" t="s">
        <v>24</v>
      </c>
      <c r="R35" s="50">
        <f>R34-S34</f>
        <v>0</v>
      </c>
      <c r="S35" s="47"/>
      <c r="T35" s="48"/>
      <c r="U35" s="51"/>
      <c r="V35" s="51"/>
      <c r="W35" s="19"/>
      <c r="X35" s="45" t="s">
        <v>24</v>
      </c>
      <c r="Y35" s="50">
        <f>Y34-Z34</f>
        <v>0</v>
      </c>
      <c r="Z35" s="47"/>
      <c r="AA35" s="48"/>
      <c r="AB35" s="51"/>
      <c r="AC35" s="51"/>
      <c r="AD35" s="19"/>
      <c r="AE35" s="45" t="s">
        <v>24</v>
      </c>
      <c r="AF35" s="50">
        <f>AF34-AG34</f>
        <v>0</v>
      </c>
      <c r="AG35" s="47"/>
      <c r="AH35" s="48"/>
      <c r="AI35" s="51"/>
      <c r="AJ35" s="51"/>
      <c r="AL35" s="53"/>
      <c r="AM35" s="45" t="s">
        <v>25</v>
      </c>
      <c r="AN35" s="50">
        <f>AN34-AO34</f>
        <v>0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0</v>
      </c>
      <c r="L36" s="47"/>
      <c r="M36" s="48"/>
      <c r="N36" s="51"/>
      <c r="O36" s="51"/>
      <c r="P36" s="53"/>
      <c r="Q36" s="56" t="s">
        <v>26</v>
      </c>
      <c r="R36" s="57">
        <f>T34-S34</f>
        <v>0</v>
      </c>
      <c r="S36" s="47"/>
      <c r="T36" s="48"/>
      <c r="U36" s="51"/>
      <c r="V36" s="51"/>
      <c r="W36" s="53"/>
      <c r="X36" s="56" t="s">
        <v>26</v>
      </c>
      <c r="Y36" s="57">
        <f>AA34-Z34</f>
        <v>0</v>
      </c>
      <c r="Z36" s="47"/>
      <c r="AA36" s="48"/>
      <c r="AB36" s="51"/>
      <c r="AC36" s="51"/>
      <c r="AD36" s="53"/>
      <c r="AE36" s="56" t="s">
        <v>26</v>
      </c>
      <c r="AF36" s="57">
        <f>AH34-AG34</f>
        <v>0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1" t="s">
        <v>1</v>
      </c>
      <c r="K37" s="307" t="s">
        <v>7</v>
      </c>
      <c r="L37" s="1" t="s">
        <v>3</v>
      </c>
      <c r="M37" s="1" t="s">
        <v>4</v>
      </c>
      <c r="N37" s="1" t="s">
        <v>5</v>
      </c>
      <c r="O37" s="308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2" t="s">
        <v>1</v>
      </c>
      <c r="Y37" s="4" t="s">
        <v>7</v>
      </c>
      <c r="Z37" s="2" t="s">
        <v>3</v>
      </c>
      <c r="AA37" s="2" t="s">
        <v>4</v>
      </c>
      <c r="AB37" s="2" t="s">
        <v>5</v>
      </c>
      <c r="AC37" s="5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12">
        <v>45841.0</v>
      </c>
      <c r="C38" s="9" t="s">
        <v>10</v>
      </c>
      <c r="D38" s="10"/>
      <c r="E38" s="10"/>
      <c r="F38" s="10"/>
      <c r="G38" s="10"/>
      <c r="H38" s="11"/>
      <c r="I38" s="12">
        <v>45848.0</v>
      </c>
      <c r="J38" s="9" t="s">
        <v>10</v>
      </c>
      <c r="K38" s="10"/>
      <c r="L38" s="10"/>
      <c r="M38" s="10"/>
      <c r="N38" s="10"/>
      <c r="O38" s="11"/>
      <c r="P38" s="8">
        <v>45855.0</v>
      </c>
      <c r="Q38" s="9" t="s">
        <v>10</v>
      </c>
      <c r="R38" s="10"/>
      <c r="S38" s="10"/>
      <c r="T38" s="10"/>
      <c r="U38" s="10"/>
      <c r="V38" s="11"/>
      <c r="W38" s="8">
        <v>45862.0</v>
      </c>
      <c r="X38" s="9" t="s">
        <v>10</v>
      </c>
      <c r="Y38" s="10"/>
      <c r="Z38" s="10"/>
      <c r="AA38" s="10"/>
      <c r="AB38" s="10"/>
      <c r="AC38" s="11"/>
      <c r="AD38" s="8">
        <v>45869.0</v>
      </c>
      <c r="AE38" s="9" t="s">
        <v>10</v>
      </c>
      <c r="AF38" s="10"/>
      <c r="AG38" s="10"/>
      <c r="AH38" s="10"/>
      <c r="AI38" s="10"/>
      <c r="AJ38" s="11"/>
      <c r="AL38" s="18" t="s">
        <v>36</v>
      </c>
      <c r="AM38" s="9" t="s">
        <v>10</v>
      </c>
      <c r="AN38" s="10">
        <f t="shared" ref="AN38:AP38" si="46">D38+K38+R38+Y38+AF38</f>
        <v>0</v>
      </c>
      <c r="AO38" s="10">
        <f t="shared" si="46"/>
        <v>0</v>
      </c>
      <c r="AP38" s="10">
        <f t="shared" si="46"/>
        <v>0</v>
      </c>
      <c r="AQ38" s="11">
        <f t="shared" ref="AQ38:AQ45" si="48">H38+O38+V38+AC38+AJ38</f>
        <v>0</v>
      </c>
    </row>
    <row r="39">
      <c r="A39" s="19"/>
      <c r="B39" s="19"/>
      <c r="C39" s="9" t="s">
        <v>12</v>
      </c>
      <c r="D39" s="10"/>
      <c r="E39" s="10"/>
      <c r="F39" s="10"/>
      <c r="G39" s="10"/>
      <c r="H39" s="11"/>
      <c r="I39" s="19"/>
      <c r="J39" s="9" t="s">
        <v>12</v>
      </c>
      <c r="K39" s="10"/>
      <c r="L39" s="10"/>
      <c r="M39" s="10"/>
      <c r="N39" s="10"/>
      <c r="O39" s="11"/>
      <c r="P39" s="19"/>
      <c r="Q39" s="9" t="s">
        <v>12</v>
      </c>
      <c r="R39" s="10"/>
      <c r="S39" s="10"/>
      <c r="T39" s="10"/>
      <c r="U39" s="10"/>
      <c r="V39" s="11"/>
      <c r="W39" s="19"/>
      <c r="X39" s="9" t="s">
        <v>12</v>
      </c>
      <c r="Y39" s="10"/>
      <c r="Z39" s="10"/>
      <c r="AA39" s="10"/>
      <c r="AB39" s="10"/>
      <c r="AC39" s="11"/>
      <c r="AD39" s="19"/>
      <c r="AE39" s="9" t="s">
        <v>12</v>
      </c>
      <c r="AF39" s="10"/>
      <c r="AG39" s="10"/>
      <c r="AH39" s="10"/>
      <c r="AI39" s="10"/>
      <c r="AJ39" s="11"/>
      <c r="AL39" s="19"/>
      <c r="AM39" s="9" t="s">
        <v>12</v>
      </c>
      <c r="AN39" s="10">
        <f t="shared" ref="AN39:AP39" si="47">D39+K39+R39+Y39+AF39</f>
        <v>0</v>
      </c>
      <c r="AO39" s="10">
        <f t="shared" si="47"/>
        <v>0</v>
      </c>
      <c r="AP39" s="10">
        <f t="shared" si="47"/>
        <v>0</v>
      </c>
      <c r="AQ39" s="11">
        <f t="shared" si="48"/>
        <v>0</v>
      </c>
    </row>
    <row r="40">
      <c r="A40" s="19"/>
      <c r="B40" s="19"/>
      <c r="C40" s="290" t="s">
        <v>14</v>
      </c>
      <c r="D40" s="291"/>
      <c r="E40" s="10"/>
      <c r="F40" s="10"/>
      <c r="G40" s="10"/>
      <c r="H40" s="11"/>
      <c r="I40" s="19"/>
      <c r="J40" s="290" t="s">
        <v>14</v>
      </c>
      <c r="K40" s="291"/>
      <c r="L40" s="10"/>
      <c r="M40" s="10"/>
      <c r="N40" s="10"/>
      <c r="O40" s="11"/>
      <c r="P40" s="19"/>
      <c r="Q40" s="9" t="s">
        <v>276</v>
      </c>
      <c r="R40" s="10"/>
      <c r="S40" s="10"/>
      <c r="T40" s="10"/>
      <c r="U40" s="10"/>
      <c r="V40" s="11"/>
      <c r="W40" s="19"/>
      <c r="X40" s="9" t="s">
        <v>276</v>
      </c>
      <c r="Y40" s="10"/>
      <c r="Z40" s="10"/>
      <c r="AA40" s="10"/>
      <c r="AB40" s="10"/>
      <c r="AC40" s="11"/>
      <c r="AD40" s="19"/>
      <c r="AE40" s="9" t="s">
        <v>276</v>
      </c>
      <c r="AF40" s="10"/>
      <c r="AG40" s="10"/>
      <c r="AH40" s="10"/>
      <c r="AI40" s="10"/>
      <c r="AJ40" s="11"/>
      <c r="AL40" s="19"/>
      <c r="AM40" s="9" t="s">
        <v>14</v>
      </c>
      <c r="AN40" s="10">
        <f t="shared" ref="AN40:AP40" si="49">D40+K40+R40+Y40+AF40</f>
        <v>0</v>
      </c>
      <c r="AO40" s="10">
        <f t="shared" si="49"/>
        <v>0</v>
      </c>
      <c r="AP40" s="10">
        <f t="shared" si="49"/>
        <v>0</v>
      </c>
      <c r="AQ40" s="11">
        <f t="shared" si="48"/>
        <v>0</v>
      </c>
    </row>
    <row r="41">
      <c r="A41" s="19"/>
      <c r="B41" s="19"/>
      <c r="C41" s="9" t="s">
        <v>16</v>
      </c>
      <c r="D41" s="10"/>
      <c r="E41" s="10"/>
      <c r="F41" s="10"/>
      <c r="G41" s="10"/>
      <c r="H41" s="11"/>
      <c r="I41" s="19"/>
      <c r="J41" s="9" t="s">
        <v>16</v>
      </c>
      <c r="K41" s="10"/>
      <c r="L41" s="10"/>
      <c r="M41" s="10"/>
      <c r="N41" s="10"/>
      <c r="O41" s="11"/>
      <c r="P41" s="19"/>
      <c r="Q41" s="9" t="s">
        <v>16</v>
      </c>
      <c r="R41" s="10"/>
      <c r="S41" s="10"/>
      <c r="T41" s="10"/>
      <c r="U41" s="10"/>
      <c r="V41" s="11"/>
      <c r="W41" s="19"/>
      <c r="X41" s="9" t="s">
        <v>16</v>
      </c>
      <c r="Y41" s="10"/>
      <c r="Z41" s="10"/>
      <c r="AA41" s="10"/>
      <c r="AB41" s="310"/>
      <c r="AC41" s="11"/>
      <c r="AD41" s="19"/>
      <c r="AE41" s="9" t="s">
        <v>16</v>
      </c>
      <c r="AF41" s="10"/>
      <c r="AG41" s="10"/>
      <c r="AH41" s="10"/>
      <c r="AI41" s="10"/>
      <c r="AJ41" s="11"/>
      <c r="AL41" s="19"/>
      <c r="AM41" s="9" t="s">
        <v>16</v>
      </c>
      <c r="AN41" s="10">
        <f t="shared" ref="AN41:AP41" si="50">D41+K41+R41+Y41+AF41</f>
        <v>0</v>
      </c>
      <c r="AO41" s="10">
        <f t="shared" si="50"/>
        <v>0</v>
      </c>
      <c r="AP41" s="10">
        <f t="shared" si="50"/>
        <v>0</v>
      </c>
      <c r="AQ41" s="11">
        <f t="shared" si="48"/>
        <v>0</v>
      </c>
    </row>
    <row r="42">
      <c r="A42" s="19"/>
      <c r="B42" s="19"/>
      <c r="C42" s="9" t="s">
        <v>17</v>
      </c>
      <c r="D42" s="10"/>
      <c r="E42" s="10"/>
      <c r="F42" s="10"/>
      <c r="G42" s="10"/>
      <c r="H42" s="11"/>
      <c r="I42" s="19"/>
      <c r="J42" s="9" t="s">
        <v>17</v>
      </c>
      <c r="K42" s="10"/>
      <c r="L42" s="10"/>
      <c r="M42" s="10"/>
      <c r="N42" s="10"/>
      <c r="O42" s="11"/>
      <c r="P42" s="19"/>
      <c r="Q42" s="9" t="s">
        <v>17</v>
      </c>
      <c r="R42" s="10"/>
      <c r="S42" s="10"/>
      <c r="T42" s="10"/>
      <c r="U42" s="10"/>
      <c r="V42" s="11"/>
      <c r="W42" s="19"/>
      <c r="X42" s="9" t="s">
        <v>17</v>
      </c>
      <c r="Y42" s="10"/>
      <c r="Z42" s="10"/>
      <c r="AA42" s="10"/>
      <c r="AB42" s="10"/>
      <c r="AC42" s="11"/>
      <c r="AD42" s="19"/>
      <c r="AE42" s="9" t="s">
        <v>17</v>
      </c>
      <c r="AF42" s="10"/>
      <c r="AG42" s="10"/>
      <c r="AH42" s="10"/>
      <c r="AI42" s="10"/>
      <c r="AJ42" s="11"/>
      <c r="AL42" s="19"/>
      <c r="AM42" s="9" t="s">
        <v>17</v>
      </c>
      <c r="AN42" s="10">
        <f t="shared" ref="AN42:AP42" si="51">D42+K42+R42+Y42+AF42</f>
        <v>0</v>
      </c>
      <c r="AO42" s="10">
        <f t="shared" si="51"/>
        <v>0</v>
      </c>
      <c r="AP42" s="10">
        <f t="shared" si="51"/>
        <v>0</v>
      </c>
      <c r="AQ42" s="11">
        <f t="shared" si="48"/>
        <v>0</v>
      </c>
    </row>
    <row r="43">
      <c r="A43" s="19"/>
      <c r="B43" s="19"/>
      <c r="C43" s="9" t="s">
        <v>18</v>
      </c>
      <c r="D43" s="10"/>
      <c r="E43" s="10"/>
      <c r="F43" s="10"/>
      <c r="G43" s="10"/>
      <c r="H43" s="11"/>
      <c r="I43" s="19"/>
      <c r="J43" s="9" t="s">
        <v>18</v>
      </c>
      <c r="K43" s="10"/>
      <c r="L43" s="10"/>
      <c r="M43" s="10"/>
      <c r="N43" s="10"/>
      <c r="O43" s="11"/>
      <c r="P43" s="19"/>
      <c r="Q43" s="9" t="s">
        <v>18</v>
      </c>
      <c r="R43" s="10"/>
      <c r="S43" s="10"/>
      <c r="T43" s="10"/>
      <c r="U43" s="10"/>
      <c r="V43" s="11"/>
      <c r="W43" s="19"/>
      <c r="X43" s="9" t="s">
        <v>18</v>
      </c>
      <c r="Y43" s="10"/>
      <c r="Z43" s="10"/>
      <c r="AA43" s="10"/>
      <c r="AB43" s="10"/>
      <c r="AC43" s="11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2">D43+K43+R43+Y43+AF43</f>
        <v>0</v>
      </c>
      <c r="AO43" s="10">
        <f t="shared" si="52"/>
        <v>0</v>
      </c>
      <c r="AP43" s="10">
        <f t="shared" si="52"/>
        <v>0</v>
      </c>
      <c r="AQ43" s="11">
        <f t="shared" si="48"/>
        <v>0</v>
      </c>
    </row>
    <row r="44">
      <c r="A44" s="19"/>
      <c r="B44" s="19"/>
      <c r="C44" s="9" t="s">
        <v>20</v>
      </c>
      <c r="D44" s="10"/>
      <c r="E44" s="10"/>
      <c r="F44" s="10"/>
      <c r="G44" s="10"/>
      <c r="H44" s="11"/>
      <c r="I44" s="19"/>
      <c r="J44" s="9" t="s">
        <v>19</v>
      </c>
      <c r="K44" s="10"/>
      <c r="L44" s="10"/>
      <c r="M44" s="10"/>
      <c r="N44" s="10"/>
      <c r="O44" s="11"/>
      <c r="P44" s="19"/>
      <c r="Q44" s="9" t="s">
        <v>19</v>
      </c>
      <c r="R44" s="10"/>
      <c r="S44" s="10"/>
      <c r="T44" s="10"/>
      <c r="U44" s="10"/>
      <c r="V44" s="11"/>
      <c r="W44" s="19"/>
      <c r="X44" s="9" t="s">
        <v>19</v>
      </c>
      <c r="Y44" s="10"/>
      <c r="Z44" s="10"/>
      <c r="AA44" s="10"/>
      <c r="AB44" s="10"/>
      <c r="AC44" s="11"/>
      <c r="AD44" s="19"/>
      <c r="AE44" s="9" t="s">
        <v>19</v>
      </c>
      <c r="AF44" s="10"/>
      <c r="AG44" s="10"/>
      <c r="AH44" s="10"/>
      <c r="AI44" s="10"/>
      <c r="AJ44" s="11"/>
      <c r="AL44" s="19"/>
      <c r="AM44" s="9" t="s">
        <v>19</v>
      </c>
      <c r="AN44" s="10">
        <f t="shared" ref="AN44:AP44" si="53">D44+K44+R44+Y44+AF44</f>
        <v>0</v>
      </c>
      <c r="AO44" s="10">
        <f t="shared" si="53"/>
        <v>0</v>
      </c>
      <c r="AP44" s="10">
        <f t="shared" si="53"/>
        <v>0</v>
      </c>
      <c r="AQ44" s="11">
        <f t="shared" si="48"/>
        <v>0</v>
      </c>
    </row>
    <row r="45">
      <c r="A45" s="19"/>
      <c r="B45" s="19"/>
      <c r="C45" s="26" t="s">
        <v>21</v>
      </c>
      <c r="D45" s="10"/>
      <c r="E45" s="10"/>
      <c r="F45" s="10"/>
      <c r="G45" s="10"/>
      <c r="H45" s="11"/>
      <c r="I45" s="19"/>
      <c r="J45" s="26" t="s">
        <v>21</v>
      </c>
      <c r="K45" s="10"/>
      <c r="L45" s="10"/>
      <c r="M45" s="10"/>
      <c r="N45" s="310"/>
      <c r="O45" s="11"/>
      <c r="P45" s="19"/>
      <c r="Q45" s="26" t="s">
        <v>21</v>
      </c>
      <c r="R45" s="10"/>
      <c r="S45" s="10"/>
      <c r="T45" s="10"/>
      <c r="U45" s="311"/>
      <c r="V45" s="11"/>
      <c r="W45" s="19"/>
      <c r="X45" s="26" t="s">
        <v>22</v>
      </c>
      <c r="Y45" s="10"/>
      <c r="Z45" s="10"/>
      <c r="AA45" s="10"/>
      <c r="AB45" s="310"/>
      <c r="AC45" s="11"/>
      <c r="AD45" s="19"/>
      <c r="AE45" s="26" t="s">
        <v>21</v>
      </c>
      <c r="AF45" s="10"/>
      <c r="AG45" s="10"/>
      <c r="AH45" s="10"/>
      <c r="AI45" s="10"/>
      <c r="AJ45" s="11"/>
      <c r="AL45" s="19"/>
      <c r="AM45" s="26" t="s">
        <v>21</v>
      </c>
      <c r="AN45" s="10">
        <f t="shared" ref="AN45:AP45" si="54">D45+K45+R45+Y45+AF45</f>
        <v>0</v>
      </c>
      <c r="AO45" s="10">
        <f t="shared" si="54"/>
        <v>0</v>
      </c>
      <c r="AP45" s="10">
        <f t="shared" si="54"/>
        <v>0</v>
      </c>
      <c r="AQ45" s="11">
        <f t="shared" si="48"/>
        <v>0</v>
      </c>
    </row>
    <row r="46">
      <c r="A46" s="19"/>
      <c r="B46" s="19"/>
      <c r="C46" s="28" t="s">
        <v>23</v>
      </c>
      <c r="D46" s="61">
        <f t="shared" ref="D46:H46" si="55">D38+D39+D40+D41+D42+D43+D44+D45</f>
        <v>0</v>
      </c>
      <c r="E46" s="30">
        <f t="shared" si="55"/>
        <v>0</v>
      </c>
      <c r="F46" s="36">
        <f t="shared" si="55"/>
        <v>0</v>
      </c>
      <c r="G46" s="40">
        <f t="shared" si="55"/>
        <v>0</v>
      </c>
      <c r="H46" s="33">
        <f t="shared" si="55"/>
        <v>0</v>
      </c>
      <c r="I46" s="19"/>
      <c r="J46" s="28" t="s">
        <v>23</v>
      </c>
      <c r="K46" s="61">
        <f t="shared" ref="K46:O46" si="56">K38+K39+K40+K41+K42+K43+K44+K45</f>
        <v>0</v>
      </c>
      <c r="L46" s="35">
        <f t="shared" si="56"/>
        <v>0</v>
      </c>
      <c r="M46" s="36">
        <f t="shared" si="56"/>
        <v>0</v>
      </c>
      <c r="N46" s="37">
        <f t="shared" si="56"/>
        <v>0</v>
      </c>
      <c r="O46" s="38">
        <f t="shared" si="56"/>
        <v>0</v>
      </c>
      <c r="P46" s="19"/>
      <c r="Q46" s="28" t="s">
        <v>23</v>
      </c>
      <c r="R46" s="29">
        <f t="shared" ref="R46:V46" si="57">R38+R39+R40+R41+R42+R43+R44+R45</f>
        <v>0</v>
      </c>
      <c r="S46" s="30">
        <f t="shared" si="57"/>
        <v>0</v>
      </c>
      <c r="T46" s="31">
        <f t="shared" si="57"/>
        <v>0</v>
      </c>
      <c r="U46" s="37">
        <f t="shared" si="57"/>
        <v>0</v>
      </c>
      <c r="V46" s="33">
        <f t="shared" si="57"/>
        <v>0</v>
      </c>
      <c r="W46" s="19"/>
      <c r="X46" s="66" t="s">
        <v>23</v>
      </c>
      <c r="Y46" s="61">
        <f t="shared" ref="Y46:AC46" si="58">Y38+Y39+Y40+Y41+Y42+Y43+Y44+Y45</f>
        <v>0</v>
      </c>
      <c r="Z46" s="40">
        <f t="shared" si="58"/>
        <v>0</v>
      </c>
      <c r="AA46" s="36">
        <f t="shared" si="58"/>
        <v>0</v>
      </c>
      <c r="AB46" s="37">
        <f t="shared" si="58"/>
        <v>0</v>
      </c>
      <c r="AC46" s="33">
        <f t="shared" si="58"/>
        <v>0</v>
      </c>
      <c r="AD46" s="19"/>
      <c r="AE46" s="28" t="s">
        <v>23</v>
      </c>
      <c r="AF46" s="61">
        <f t="shared" ref="AF46:AJ46" si="59">AF38+AF39+AF40+AF41+AF42+AF43+AF44+AF45</f>
        <v>0</v>
      </c>
      <c r="AG46" s="35">
        <f t="shared" si="59"/>
        <v>0</v>
      </c>
      <c r="AH46" s="36">
        <f t="shared" si="59"/>
        <v>0</v>
      </c>
      <c r="AI46" s="37">
        <f t="shared" si="59"/>
        <v>0</v>
      </c>
      <c r="AJ46" s="33">
        <f t="shared" si="59"/>
        <v>0</v>
      </c>
      <c r="AL46" s="19"/>
      <c r="AM46" s="28" t="s">
        <v>23</v>
      </c>
      <c r="AN46" s="41">
        <f t="shared" ref="AN46:AQ46" si="60">AN38+AN39+AN40+AN41+AN42+AN43+AN44+AN45</f>
        <v>0</v>
      </c>
      <c r="AO46" s="42">
        <f t="shared" si="60"/>
        <v>0</v>
      </c>
      <c r="AP46" s="43">
        <f t="shared" si="60"/>
        <v>0</v>
      </c>
      <c r="AQ46" s="44">
        <f t="shared" si="60"/>
        <v>0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0</v>
      </c>
      <c r="L47" s="47"/>
      <c r="M47" s="48"/>
      <c r="N47" s="51"/>
      <c r="O47" s="51"/>
      <c r="P47" s="19"/>
      <c r="Q47" s="45" t="s">
        <v>24</v>
      </c>
      <c r="R47" s="50">
        <f>R46-S46</f>
        <v>0</v>
      </c>
      <c r="S47" s="47"/>
      <c r="T47" s="48"/>
      <c r="U47" s="51"/>
      <c r="V47" s="51"/>
      <c r="W47" s="19"/>
      <c r="X47" s="45" t="s">
        <v>24</v>
      </c>
      <c r="Y47" s="50">
        <f>Y46-Z46</f>
        <v>0</v>
      </c>
      <c r="Z47" s="47"/>
      <c r="AA47" s="48"/>
      <c r="AB47" s="51"/>
      <c r="AC47" s="51"/>
      <c r="AD47" s="19"/>
      <c r="AE47" s="45" t="s">
        <v>24</v>
      </c>
      <c r="AF47" s="50">
        <f>AF46-AG46</f>
        <v>0</v>
      </c>
      <c r="AG47" s="47"/>
      <c r="AH47" s="48"/>
      <c r="AI47" s="51"/>
      <c r="AJ47" s="51"/>
      <c r="AL47" s="53"/>
      <c r="AM47" s="45" t="s">
        <v>25</v>
      </c>
      <c r="AN47" s="50">
        <f>AN46-AO46</f>
        <v>0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0</v>
      </c>
      <c r="L48" s="47"/>
      <c r="M48" s="48"/>
      <c r="N48" s="51"/>
      <c r="O48" s="51"/>
      <c r="P48" s="53"/>
      <c r="Q48" s="56" t="s">
        <v>26</v>
      </c>
      <c r="R48" s="57">
        <f>T46-S46</f>
        <v>0</v>
      </c>
      <c r="S48" s="47"/>
      <c r="T48" s="48"/>
      <c r="U48" s="51"/>
      <c r="V48" s="51"/>
      <c r="W48" s="53"/>
      <c r="X48" s="56" t="s">
        <v>26</v>
      </c>
      <c r="Y48" s="57">
        <f>AA46-Z46</f>
        <v>0</v>
      </c>
      <c r="Z48" s="47"/>
      <c r="AA48" s="48"/>
      <c r="AB48" s="51"/>
      <c r="AC48" s="51"/>
      <c r="AD48" s="53"/>
      <c r="AE48" s="56" t="s">
        <v>26</v>
      </c>
      <c r="AF48" s="57">
        <f>AH46-AG46</f>
        <v>0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1" t="s">
        <v>1</v>
      </c>
      <c r="D49" s="312" t="s">
        <v>2</v>
      </c>
      <c r="E49" s="1" t="s">
        <v>3</v>
      </c>
      <c r="F49" s="1" t="s">
        <v>4</v>
      </c>
      <c r="G49" s="1" t="s">
        <v>5</v>
      </c>
      <c r="H49" s="308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1" t="s">
        <v>1</v>
      </c>
      <c r="R49" s="307" t="s">
        <v>7</v>
      </c>
      <c r="S49" s="1" t="s">
        <v>3</v>
      </c>
      <c r="T49" s="1" t="s">
        <v>4</v>
      </c>
      <c r="U49" s="1" t="s">
        <v>5</v>
      </c>
      <c r="V49" s="308" t="s">
        <v>6</v>
      </c>
      <c r="W49" s="68" t="s">
        <v>0</v>
      </c>
      <c r="X49" s="2" t="s">
        <v>1</v>
      </c>
      <c r="Y49" s="4" t="s">
        <v>7</v>
      </c>
      <c r="Z49" s="2" t="s">
        <v>3</v>
      </c>
      <c r="AA49" s="2" t="s">
        <v>4</v>
      </c>
      <c r="AB49" s="2" t="s">
        <v>5</v>
      </c>
      <c r="AC49" s="5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>
        <v>45842.0</v>
      </c>
      <c r="C50" s="9" t="s">
        <v>10</v>
      </c>
      <c r="D50" s="10"/>
      <c r="E50" s="10"/>
      <c r="F50" s="10"/>
      <c r="G50" s="10"/>
      <c r="H50" s="11"/>
      <c r="I50" s="12">
        <v>45849.0</v>
      </c>
      <c r="J50" s="9" t="s">
        <v>10</v>
      </c>
      <c r="K50" s="10"/>
      <c r="L50" s="10"/>
      <c r="M50" s="10"/>
      <c r="N50" s="10"/>
      <c r="O50" s="11"/>
      <c r="P50" s="8">
        <v>45856.0</v>
      </c>
      <c r="Q50" s="9" t="s">
        <v>10</v>
      </c>
      <c r="R50" s="10"/>
      <c r="S50" s="10"/>
      <c r="T50" s="10"/>
      <c r="U50" s="10"/>
      <c r="V50" s="11"/>
      <c r="W50" s="8">
        <v>45863.0</v>
      </c>
      <c r="X50" s="9" t="s">
        <v>10</v>
      </c>
      <c r="Y50" s="10"/>
      <c r="Z50" s="10"/>
      <c r="AA50" s="10"/>
      <c r="AB50" s="10"/>
      <c r="AC50" s="11"/>
      <c r="AD50" s="8"/>
      <c r="AE50" s="9" t="s">
        <v>10</v>
      </c>
      <c r="AF50" s="10"/>
      <c r="AG50" s="10"/>
      <c r="AH50" s="10"/>
      <c r="AI50" s="10"/>
      <c r="AJ50" s="11"/>
      <c r="AL50" s="18" t="s">
        <v>38</v>
      </c>
      <c r="AM50" s="9" t="s">
        <v>10</v>
      </c>
      <c r="AN50" s="10">
        <f t="shared" ref="AN50:AP50" si="61">D50+K50+R50+Y50+AF50</f>
        <v>0</v>
      </c>
      <c r="AO50" s="10">
        <f t="shared" si="61"/>
        <v>0</v>
      </c>
      <c r="AP50" s="10">
        <f t="shared" si="61"/>
        <v>0</v>
      </c>
      <c r="AQ50" s="11">
        <f t="shared" ref="AQ50:AQ57" si="63">H50+O50+V50+AC50+AJ50</f>
        <v>0</v>
      </c>
    </row>
    <row r="51">
      <c r="A51" s="19"/>
      <c r="B51" s="19"/>
      <c r="C51" s="9" t="s">
        <v>12</v>
      </c>
      <c r="D51" s="10"/>
      <c r="E51" s="10"/>
      <c r="F51" s="10"/>
      <c r="G51" s="10"/>
      <c r="H51" s="11"/>
      <c r="I51" s="19"/>
      <c r="J51" s="9" t="s">
        <v>12</v>
      </c>
      <c r="K51" s="10"/>
      <c r="L51" s="10"/>
      <c r="M51" s="10"/>
      <c r="N51" s="10"/>
      <c r="O51" s="11"/>
      <c r="P51" s="19"/>
      <c r="Q51" s="9" t="s">
        <v>32</v>
      </c>
      <c r="R51" s="10"/>
      <c r="S51" s="10"/>
      <c r="T51" s="10"/>
      <c r="U51" s="10"/>
      <c r="V51" s="11"/>
      <c r="W51" s="19"/>
      <c r="X51" s="9" t="s">
        <v>12</v>
      </c>
      <c r="Y51" s="10"/>
      <c r="Z51" s="10"/>
      <c r="AA51" s="10"/>
      <c r="AB51" s="10"/>
      <c r="AC51" s="11"/>
      <c r="AD51" s="19"/>
      <c r="AE51" s="9" t="s">
        <v>12</v>
      </c>
      <c r="AF51" s="10"/>
      <c r="AG51" s="10"/>
      <c r="AH51" s="10"/>
      <c r="AI51" s="10"/>
      <c r="AJ51" s="11"/>
      <c r="AL51" s="19"/>
      <c r="AM51" s="9" t="s">
        <v>12</v>
      </c>
      <c r="AN51" s="10">
        <f t="shared" ref="AN51:AP51" si="62">D51+K51+R51+Y51+AF51</f>
        <v>0</v>
      </c>
      <c r="AO51" s="10">
        <f t="shared" si="62"/>
        <v>0</v>
      </c>
      <c r="AP51" s="10">
        <f t="shared" si="62"/>
        <v>0</v>
      </c>
      <c r="AQ51" s="11">
        <f t="shared" si="63"/>
        <v>0</v>
      </c>
    </row>
    <row r="52">
      <c r="A52" s="19"/>
      <c r="B52" s="19"/>
      <c r="C52" s="290" t="s">
        <v>14</v>
      </c>
      <c r="D52" s="291"/>
      <c r="E52" s="10"/>
      <c r="F52" s="10"/>
      <c r="G52" s="10"/>
      <c r="H52" s="11"/>
      <c r="I52" s="19"/>
      <c r="J52" s="290" t="s">
        <v>14</v>
      </c>
      <c r="K52" s="291"/>
      <c r="L52" s="10"/>
      <c r="M52" s="10"/>
      <c r="N52" s="10"/>
      <c r="O52" s="11"/>
      <c r="P52" s="19"/>
      <c r="Q52" s="9" t="s">
        <v>276</v>
      </c>
      <c r="R52" s="10"/>
      <c r="S52" s="10"/>
      <c r="T52" s="10"/>
      <c r="U52" s="10"/>
      <c r="V52" s="11"/>
      <c r="W52" s="19"/>
      <c r="X52" s="9" t="s">
        <v>276</v>
      </c>
      <c r="Y52" s="10"/>
      <c r="Z52" s="10"/>
      <c r="AA52" s="10"/>
      <c r="AB52" s="10"/>
      <c r="AC52" s="11"/>
      <c r="AD52" s="19"/>
      <c r="AE52" s="9" t="s">
        <v>14</v>
      </c>
      <c r="AF52" s="10"/>
      <c r="AG52" s="10"/>
      <c r="AH52" s="10"/>
      <c r="AI52" s="10"/>
      <c r="AJ52" s="11"/>
      <c r="AL52" s="19"/>
      <c r="AM52" s="9" t="s">
        <v>14</v>
      </c>
      <c r="AN52" s="10">
        <f t="shared" ref="AN52:AP52" si="64">D52+K52+R52+Y52+AF52</f>
        <v>0</v>
      </c>
      <c r="AO52" s="10">
        <f t="shared" si="64"/>
        <v>0</v>
      </c>
      <c r="AP52" s="10">
        <f t="shared" si="64"/>
        <v>0</v>
      </c>
      <c r="AQ52" s="11">
        <f t="shared" si="63"/>
        <v>0</v>
      </c>
    </row>
    <row r="53">
      <c r="A53" s="19"/>
      <c r="B53" s="19"/>
      <c r="C53" s="9" t="s">
        <v>16</v>
      </c>
      <c r="D53" s="10"/>
      <c r="E53" s="10"/>
      <c r="F53" s="10"/>
      <c r="G53" s="10"/>
      <c r="H53" s="11"/>
      <c r="I53" s="19"/>
      <c r="J53" s="9" t="s">
        <v>15</v>
      </c>
      <c r="K53" s="10"/>
      <c r="L53" s="10"/>
      <c r="M53" s="10"/>
      <c r="N53" s="10"/>
      <c r="O53" s="11"/>
      <c r="P53" s="19"/>
      <c r="Q53" s="9" t="s">
        <v>16</v>
      </c>
      <c r="R53" s="10"/>
      <c r="S53" s="10"/>
      <c r="T53" s="10"/>
      <c r="U53" s="10"/>
      <c r="V53" s="11"/>
      <c r="W53" s="19"/>
      <c r="X53" s="9" t="s">
        <v>16</v>
      </c>
      <c r="Y53" s="10"/>
      <c r="Z53" s="10"/>
      <c r="AA53" s="10"/>
      <c r="AB53" s="10"/>
      <c r="AC53" s="11"/>
      <c r="AD53" s="19"/>
      <c r="AE53" s="9" t="s">
        <v>16</v>
      </c>
      <c r="AF53" s="10"/>
      <c r="AG53" s="10"/>
      <c r="AH53" s="10"/>
      <c r="AI53" s="10"/>
      <c r="AJ53" s="11"/>
      <c r="AL53" s="19"/>
      <c r="AM53" s="9" t="s">
        <v>16</v>
      </c>
      <c r="AN53" s="10">
        <f t="shared" ref="AN53:AP53" si="65">D53+K53+R53+Y53+AF53</f>
        <v>0</v>
      </c>
      <c r="AO53" s="10">
        <f t="shared" si="65"/>
        <v>0</v>
      </c>
      <c r="AP53" s="10">
        <f t="shared" si="65"/>
        <v>0</v>
      </c>
      <c r="AQ53" s="11">
        <f t="shared" si="63"/>
        <v>0</v>
      </c>
    </row>
    <row r="54">
      <c r="A54" s="19"/>
      <c r="B54" s="19"/>
      <c r="C54" s="9" t="s">
        <v>17</v>
      </c>
      <c r="D54" s="10"/>
      <c r="E54" s="10"/>
      <c r="F54" s="10"/>
      <c r="G54" s="10"/>
      <c r="H54" s="11"/>
      <c r="I54" s="19"/>
      <c r="J54" s="9" t="s">
        <v>17</v>
      </c>
      <c r="K54" s="10"/>
      <c r="L54" s="10"/>
      <c r="M54" s="10"/>
      <c r="N54" s="10"/>
      <c r="O54" s="11"/>
      <c r="P54" s="19"/>
      <c r="Q54" s="9" t="s">
        <v>17</v>
      </c>
      <c r="R54" s="10"/>
      <c r="S54" s="10"/>
      <c r="T54" s="10"/>
      <c r="U54" s="10"/>
      <c r="V54" s="11"/>
      <c r="W54" s="19"/>
      <c r="X54" s="9" t="s">
        <v>17</v>
      </c>
      <c r="Y54" s="10"/>
      <c r="Z54" s="10"/>
      <c r="AA54" s="10"/>
      <c r="AB54" s="10"/>
      <c r="AC54" s="11"/>
      <c r="AD54" s="19"/>
      <c r="AE54" s="9" t="s">
        <v>17</v>
      </c>
      <c r="AF54" s="10"/>
      <c r="AG54" s="10"/>
      <c r="AH54" s="10"/>
      <c r="AI54" s="10"/>
      <c r="AJ54" s="11"/>
      <c r="AL54" s="19"/>
      <c r="AM54" s="9" t="s">
        <v>17</v>
      </c>
      <c r="AN54" s="10">
        <f t="shared" ref="AN54:AP54" si="66">D54+K54+R54+Y54+AF54</f>
        <v>0</v>
      </c>
      <c r="AO54" s="10">
        <f t="shared" si="66"/>
        <v>0</v>
      </c>
      <c r="AP54" s="10">
        <f t="shared" si="66"/>
        <v>0</v>
      </c>
      <c r="AQ54" s="11">
        <f t="shared" si="63"/>
        <v>0</v>
      </c>
    </row>
    <row r="55">
      <c r="A55" s="19"/>
      <c r="B55" s="19"/>
      <c r="C55" s="9" t="s">
        <v>18</v>
      </c>
      <c r="D55" s="10"/>
      <c r="E55" s="10"/>
      <c r="F55" s="10"/>
      <c r="G55" s="10"/>
      <c r="H55" s="11"/>
      <c r="I55" s="19"/>
      <c r="J55" s="9" t="s">
        <v>18</v>
      </c>
      <c r="K55" s="10"/>
      <c r="L55" s="10"/>
      <c r="M55" s="10"/>
      <c r="N55" s="10"/>
      <c r="O55" s="11"/>
      <c r="P55" s="19"/>
      <c r="Q55" s="9" t="s">
        <v>29</v>
      </c>
      <c r="R55" s="10"/>
      <c r="S55" s="10"/>
      <c r="T55" s="10"/>
      <c r="U55" s="10"/>
      <c r="V55" s="11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7">D55+K55+R55+Y55+AF55</f>
        <v>0</v>
      </c>
      <c r="AO55" s="10">
        <f t="shared" si="67"/>
        <v>0</v>
      </c>
      <c r="AP55" s="10">
        <f t="shared" si="67"/>
        <v>0</v>
      </c>
      <c r="AQ55" s="11">
        <f t="shared" si="63"/>
        <v>0</v>
      </c>
    </row>
    <row r="56">
      <c r="A56" s="19"/>
      <c r="B56" s="19"/>
      <c r="C56" s="9" t="s">
        <v>20</v>
      </c>
      <c r="D56" s="10"/>
      <c r="E56" s="10"/>
      <c r="F56" s="10"/>
      <c r="G56" s="10"/>
      <c r="H56" s="11"/>
      <c r="I56" s="19"/>
      <c r="J56" s="9" t="s">
        <v>19</v>
      </c>
      <c r="K56" s="10"/>
      <c r="L56" s="10"/>
      <c r="M56" s="10"/>
      <c r="N56" s="10"/>
      <c r="O56" s="11"/>
      <c r="P56" s="19"/>
      <c r="Q56" s="9" t="s">
        <v>19</v>
      </c>
      <c r="R56" s="10"/>
      <c r="S56" s="10"/>
      <c r="T56" s="10"/>
      <c r="U56" s="10"/>
      <c r="V56" s="11"/>
      <c r="W56" s="19"/>
      <c r="X56" s="9" t="s">
        <v>19</v>
      </c>
      <c r="Y56" s="10"/>
      <c r="Z56" s="10"/>
      <c r="AA56" s="10"/>
      <c r="AB56" s="10"/>
      <c r="AC56" s="11"/>
      <c r="AD56" s="19"/>
      <c r="AE56" s="9" t="s">
        <v>19</v>
      </c>
      <c r="AF56" s="10"/>
      <c r="AG56" s="10"/>
      <c r="AH56" s="10"/>
      <c r="AI56" s="10"/>
      <c r="AJ56" s="11"/>
      <c r="AL56" s="19"/>
      <c r="AM56" s="9" t="s">
        <v>19</v>
      </c>
      <c r="AN56" s="10">
        <f t="shared" ref="AN56:AP56" si="68">D56+K56+R56+Y56+AF56</f>
        <v>0</v>
      </c>
      <c r="AO56" s="10">
        <f t="shared" si="68"/>
        <v>0</v>
      </c>
      <c r="AP56" s="10">
        <f t="shared" si="68"/>
        <v>0</v>
      </c>
      <c r="AQ56" s="11">
        <f t="shared" si="63"/>
        <v>0</v>
      </c>
    </row>
    <row r="57">
      <c r="A57" s="19"/>
      <c r="B57" s="19"/>
      <c r="C57" s="26" t="s">
        <v>21</v>
      </c>
      <c r="D57" s="10"/>
      <c r="E57" s="10"/>
      <c r="F57" s="10"/>
      <c r="G57" s="310"/>
      <c r="H57" s="11"/>
      <c r="I57" s="19"/>
      <c r="J57" s="26" t="s">
        <v>21</v>
      </c>
      <c r="K57" s="10"/>
      <c r="L57" s="10"/>
      <c r="M57" s="10"/>
      <c r="N57" s="311"/>
      <c r="O57" s="11"/>
      <c r="P57" s="19"/>
      <c r="Q57" s="26" t="s">
        <v>21</v>
      </c>
      <c r="R57" s="10"/>
      <c r="S57" s="10"/>
      <c r="T57" s="10"/>
      <c r="U57" s="310"/>
      <c r="V57" s="11"/>
      <c r="W57" s="19"/>
      <c r="X57" s="26" t="s">
        <v>21</v>
      </c>
      <c r="Y57" s="10"/>
      <c r="Z57" s="10"/>
      <c r="AA57" s="10"/>
      <c r="AB57" s="310"/>
      <c r="AC57" s="11"/>
      <c r="AD57" s="19"/>
      <c r="AE57" s="26" t="s">
        <v>21</v>
      </c>
      <c r="AF57" s="10"/>
      <c r="AG57" s="10"/>
      <c r="AH57" s="10"/>
      <c r="AI57" s="10"/>
      <c r="AJ57" s="11"/>
      <c r="AL57" s="19"/>
      <c r="AM57" s="26" t="s">
        <v>21</v>
      </c>
      <c r="AN57" s="10">
        <f t="shared" ref="AN57:AP57" si="69">D57+K57+R57+Y57+AF57</f>
        <v>0</v>
      </c>
      <c r="AO57" s="10">
        <f t="shared" si="69"/>
        <v>0</v>
      </c>
      <c r="AP57" s="10">
        <f t="shared" si="69"/>
        <v>0</v>
      </c>
      <c r="AQ57" s="11">
        <f t="shared" si="63"/>
        <v>0</v>
      </c>
    </row>
    <row r="58">
      <c r="A58" s="19"/>
      <c r="B58" s="19"/>
      <c r="C58" s="28" t="s">
        <v>23</v>
      </c>
      <c r="D58" s="61">
        <f t="shared" ref="D58:H58" si="70">D50+D51+D52+D53+D54+D55+D56+D57</f>
        <v>0</v>
      </c>
      <c r="E58" s="37">
        <f t="shared" si="70"/>
        <v>0</v>
      </c>
      <c r="F58" s="36">
        <f t="shared" si="70"/>
        <v>0</v>
      </c>
      <c r="G58" s="37">
        <f t="shared" si="70"/>
        <v>0</v>
      </c>
      <c r="H58" s="33">
        <f t="shared" si="70"/>
        <v>0</v>
      </c>
      <c r="I58" s="19"/>
      <c r="J58" s="28" t="s">
        <v>23</v>
      </c>
      <c r="K58" s="29">
        <f t="shared" ref="K58:O58" si="71">K50+K51+K52+K53+K54+K55+K56+K57</f>
        <v>0</v>
      </c>
      <c r="L58" s="30">
        <f t="shared" si="71"/>
        <v>0</v>
      </c>
      <c r="M58" s="36">
        <f t="shared" si="71"/>
        <v>0</v>
      </c>
      <c r="N58" s="37">
        <f t="shared" si="71"/>
        <v>0</v>
      </c>
      <c r="O58" s="33">
        <f t="shared" si="71"/>
        <v>0</v>
      </c>
      <c r="P58" s="19"/>
      <c r="Q58" s="28" t="s">
        <v>23</v>
      </c>
      <c r="R58" s="34">
        <f t="shared" ref="R58:V58" si="72">R50+R51+R52+R53+R54+R55+R56+R57</f>
        <v>0</v>
      </c>
      <c r="S58" s="35">
        <f t="shared" si="72"/>
        <v>0</v>
      </c>
      <c r="T58" s="39">
        <f t="shared" si="72"/>
        <v>0</v>
      </c>
      <c r="U58" s="37">
        <f t="shared" si="72"/>
        <v>0</v>
      </c>
      <c r="V58" s="33">
        <f t="shared" si="72"/>
        <v>0</v>
      </c>
      <c r="W58" s="19"/>
      <c r="X58" s="28" t="s">
        <v>23</v>
      </c>
      <c r="Y58" s="29">
        <f t="shared" ref="Y58:AC58" si="73">Y50+Y51+Y52+Y53+Y54+Y55+Y56+Y57</f>
        <v>0</v>
      </c>
      <c r="Z58" s="35">
        <f t="shared" si="73"/>
        <v>0</v>
      </c>
      <c r="AA58" s="31">
        <f t="shared" si="73"/>
        <v>0</v>
      </c>
      <c r="AB58" s="37">
        <f t="shared" si="73"/>
        <v>0</v>
      </c>
      <c r="AC58" s="33">
        <f t="shared" si="73"/>
        <v>0</v>
      </c>
      <c r="AD58" s="19"/>
      <c r="AE58" s="28" t="s">
        <v>23</v>
      </c>
      <c r="AF58" s="29">
        <f t="shared" ref="AF58:AJ58" si="74">AF50+AF51+AF52+AF53+AF54+AF55+AF56+AF57</f>
        <v>0</v>
      </c>
      <c r="AG58" s="30">
        <f t="shared" si="74"/>
        <v>0</v>
      </c>
      <c r="AH58" s="31">
        <f t="shared" si="74"/>
        <v>0</v>
      </c>
      <c r="AI58" s="32">
        <f t="shared" si="74"/>
        <v>0</v>
      </c>
      <c r="AJ58" s="33">
        <f t="shared" si="74"/>
        <v>0</v>
      </c>
      <c r="AL58" s="19"/>
      <c r="AM58" s="28" t="s">
        <v>23</v>
      </c>
      <c r="AN58" s="41">
        <f t="shared" ref="AN58:AQ58" si="75">AN50+AN51+AN52+AN53+AN54+AN55+AN56+AN57</f>
        <v>0</v>
      </c>
      <c r="AO58" s="42">
        <f t="shared" si="75"/>
        <v>0</v>
      </c>
      <c r="AP58" s="43">
        <f t="shared" si="75"/>
        <v>0</v>
      </c>
      <c r="AQ58" s="44">
        <f t="shared" si="75"/>
        <v>0</v>
      </c>
    </row>
    <row r="59" hidden="1">
      <c r="A59" s="19"/>
      <c r="B59" s="19"/>
      <c r="C59" s="45" t="s">
        <v>24</v>
      </c>
      <c r="D59" s="50">
        <f>D58-E58</f>
        <v>0</v>
      </c>
      <c r="E59" s="47"/>
      <c r="F59" s="48"/>
      <c r="G59" s="51"/>
      <c r="H59" s="51"/>
      <c r="I59" s="19"/>
      <c r="J59" s="45" t="s">
        <v>24</v>
      </c>
      <c r="K59" s="50">
        <f>K58-L58</f>
        <v>0</v>
      </c>
      <c r="L59" s="47"/>
      <c r="M59" s="48"/>
      <c r="N59" s="51"/>
      <c r="O59" s="51"/>
      <c r="P59" s="19"/>
      <c r="Q59" s="45" t="s">
        <v>24</v>
      </c>
      <c r="R59" s="50">
        <f>R58-S58</f>
        <v>0</v>
      </c>
      <c r="S59" s="47"/>
      <c r="T59" s="48"/>
      <c r="U59" s="51"/>
      <c r="V59" s="51"/>
      <c r="W59" s="19"/>
      <c r="X59" s="45" t="s">
        <v>24</v>
      </c>
      <c r="Y59" s="50">
        <f>Y58-Z58</f>
        <v>0</v>
      </c>
      <c r="Z59" s="47"/>
      <c r="AA59" s="48"/>
      <c r="AB59" s="51"/>
      <c r="AC59" s="51"/>
      <c r="AD59" s="19"/>
      <c r="AE59" s="45" t="s">
        <v>24</v>
      </c>
      <c r="AF59" s="50">
        <f>AF58-AG58</f>
        <v>0</v>
      </c>
      <c r="AG59" s="47"/>
      <c r="AH59" s="48"/>
      <c r="AI59" s="51"/>
      <c r="AJ59" s="51"/>
      <c r="AL59" s="53"/>
      <c r="AM59" s="45" t="s">
        <v>25</v>
      </c>
      <c r="AN59" s="50">
        <f>AN58-AO58</f>
        <v>0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0</v>
      </c>
      <c r="E60" s="47"/>
      <c r="F60" s="48"/>
      <c r="G60" s="67"/>
      <c r="H60" s="51"/>
      <c r="I60" s="53"/>
      <c r="J60" s="56" t="s">
        <v>26</v>
      </c>
      <c r="K60" s="57">
        <f>M58-L58</f>
        <v>0</v>
      </c>
      <c r="L60" s="47"/>
      <c r="M60" s="48"/>
      <c r="N60" s="51"/>
      <c r="O60" s="51"/>
      <c r="P60" s="53"/>
      <c r="Q60" s="56" t="s">
        <v>26</v>
      </c>
      <c r="R60" s="57">
        <f>T58-S58</f>
        <v>0</v>
      </c>
      <c r="S60" s="47"/>
      <c r="T60" s="48"/>
      <c r="U60" s="51"/>
      <c r="V60" s="51"/>
      <c r="W60" s="53"/>
      <c r="X60" s="56" t="s">
        <v>26</v>
      </c>
      <c r="Y60" s="57">
        <f>AA58-Z58</f>
        <v>0</v>
      </c>
      <c r="Z60" s="47"/>
      <c r="AA60" s="48"/>
      <c r="AB60" s="51"/>
      <c r="AC60" s="51"/>
      <c r="AD60" s="53"/>
      <c r="AE60" s="56" t="s">
        <v>26</v>
      </c>
      <c r="AF60" s="57">
        <f>AH58-AG58</f>
        <v>0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2" t="s">
        <v>1</v>
      </c>
      <c r="K61" s="4" t="s">
        <v>7</v>
      </c>
      <c r="L61" s="2" t="s">
        <v>3</v>
      </c>
      <c r="M61" s="2" t="s">
        <v>4</v>
      </c>
      <c r="N61" s="2" t="s">
        <v>5</v>
      </c>
      <c r="O61" s="5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1" t="s">
        <v>1</v>
      </c>
      <c r="Y61" s="307" t="s">
        <v>7</v>
      </c>
      <c r="Z61" s="1" t="s">
        <v>3</v>
      </c>
      <c r="AA61" s="1" t="s">
        <v>4</v>
      </c>
      <c r="AB61" s="1" t="s">
        <v>5</v>
      </c>
      <c r="AC61" s="308" t="s">
        <v>6</v>
      </c>
      <c r="AD61" s="2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>
        <v>45843.0</v>
      </c>
      <c r="C62" s="9" t="s">
        <v>10</v>
      </c>
      <c r="D62" s="10"/>
      <c r="E62" s="10"/>
      <c r="F62" s="10"/>
      <c r="G62" s="10"/>
      <c r="H62" s="11"/>
      <c r="I62" s="12">
        <v>45850.0</v>
      </c>
      <c r="J62" s="9" t="s">
        <v>10</v>
      </c>
      <c r="K62" s="10"/>
      <c r="L62" s="10"/>
      <c r="M62" s="10"/>
      <c r="N62" s="10"/>
      <c r="O62" s="11"/>
      <c r="P62" s="8">
        <v>45857.0</v>
      </c>
      <c r="Q62" s="9" t="s">
        <v>10</v>
      </c>
      <c r="R62" s="10"/>
      <c r="S62" s="10"/>
      <c r="T62" s="10"/>
      <c r="U62" s="10"/>
      <c r="V62" s="11"/>
      <c r="W62" s="8">
        <v>45864.0</v>
      </c>
      <c r="X62" s="9" t="s">
        <v>10</v>
      </c>
      <c r="Y62" s="10"/>
      <c r="Z62" s="10"/>
      <c r="AA62" s="10"/>
      <c r="AB62" s="10"/>
      <c r="AC62" s="11"/>
      <c r="AD62" s="12"/>
      <c r="AE62" s="9" t="s">
        <v>10</v>
      </c>
      <c r="AF62" s="10"/>
      <c r="AG62" s="10"/>
      <c r="AH62" s="10"/>
      <c r="AI62" s="10"/>
      <c r="AJ62" s="11"/>
      <c r="AL62" s="18" t="s">
        <v>40</v>
      </c>
      <c r="AM62" s="9" t="s">
        <v>10</v>
      </c>
      <c r="AN62" s="10">
        <f t="shared" ref="AN62:AP62" si="76">D62+K62+R62+Y62+AF62</f>
        <v>0</v>
      </c>
      <c r="AO62" s="10">
        <f t="shared" si="76"/>
        <v>0</v>
      </c>
      <c r="AP62" s="10">
        <f t="shared" si="76"/>
        <v>0</v>
      </c>
      <c r="AQ62" s="11">
        <f t="shared" ref="AQ62:AQ69" si="78">H62+O62+V62+AC62+AJ62</f>
        <v>0</v>
      </c>
    </row>
    <row r="63">
      <c r="A63" s="19"/>
      <c r="B63" s="19"/>
      <c r="C63" s="9" t="s">
        <v>12</v>
      </c>
      <c r="D63" s="10"/>
      <c r="E63" s="10"/>
      <c r="F63" s="10"/>
      <c r="G63" s="10"/>
      <c r="H63" s="11"/>
      <c r="I63" s="19"/>
      <c r="J63" s="9" t="s">
        <v>12</v>
      </c>
      <c r="K63" s="10"/>
      <c r="L63" s="10"/>
      <c r="M63" s="10"/>
      <c r="N63" s="10"/>
      <c r="O63" s="11"/>
      <c r="P63" s="19"/>
      <c r="Q63" s="9" t="s">
        <v>12</v>
      </c>
      <c r="R63" s="72"/>
      <c r="S63" s="10"/>
      <c r="T63" s="72"/>
      <c r="U63" s="10"/>
      <c r="V63" s="11"/>
      <c r="W63" s="19"/>
      <c r="X63" s="9" t="s">
        <v>12</v>
      </c>
      <c r="Y63" s="10"/>
      <c r="Z63" s="10"/>
      <c r="AA63" s="10"/>
      <c r="AB63" s="10"/>
      <c r="AC63" s="11"/>
      <c r="AD63" s="19"/>
      <c r="AE63" s="9" t="s">
        <v>12</v>
      </c>
      <c r="AF63" s="10"/>
      <c r="AG63" s="10"/>
      <c r="AH63" s="10"/>
      <c r="AI63" s="10"/>
      <c r="AJ63" s="11"/>
      <c r="AL63" s="19"/>
      <c r="AM63" s="9" t="s">
        <v>12</v>
      </c>
      <c r="AN63" s="10">
        <f t="shared" ref="AN63:AP63" si="77">D63+K63+R63+Y63+AF63</f>
        <v>0</v>
      </c>
      <c r="AO63" s="10">
        <f t="shared" si="77"/>
        <v>0</v>
      </c>
      <c r="AP63" s="10">
        <f t="shared" si="77"/>
        <v>0</v>
      </c>
      <c r="AQ63" s="11">
        <f t="shared" si="78"/>
        <v>0</v>
      </c>
    </row>
    <row r="64">
      <c r="A64" s="19"/>
      <c r="B64" s="19"/>
      <c r="C64" s="290" t="s">
        <v>14</v>
      </c>
      <c r="D64" s="291"/>
      <c r="E64" s="10"/>
      <c r="F64" s="10"/>
      <c r="G64" s="10"/>
      <c r="H64" s="11"/>
      <c r="I64" s="19"/>
      <c r="J64" s="9" t="s">
        <v>14</v>
      </c>
      <c r="K64" s="10"/>
      <c r="L64" s="10"/>
      <c r="M64" s="10"/>
      <c r="N64" s="10"/>
      <c r="O64" s="11"/>
      <c r="P64" s="19"/>
      <c r="Q64" s="9" t="s">
        <v>276</v>
      </c>
      <c r="R64" s="10"/>
      <c r="S64" s="10"/>
      <c r="T64" s="10"/>
      <c r="U64" s="10"/>
      <c r="V64" s="11"/>
      <c r="W64" s="19"/>
      <c r="X64" s="9" t="s">
        <v>276</v>
      </c>
      <c r="Y64" s="10"/>
      <c r="Z64" s="10"/>
      <c r="AA64" s="10"/>
      <c r="AB64" s="10"/>
      <c r="AC64" s="11"/>
      <c r="AD64" s="19"/>
      <c r="AE64" s="9" t="s">
        <v>14</v>
      </c>
      <c r="AF64" s="10"/>
      <c r="AG64" s="10"/>
      <c r="AH64" s="10"/>
      <c r="AI64" s="10"/>
      <c r="AJ64" s="11"/>
      <c r="AL64" s="19"/>
      <c r="AM64" s="9" t="s">
        <v>14</v>
      </c>
      <c r="AN64" s="10">
        <f t="shared" ref="AN64:AP64" si="79">D64+K64+R64+Y64+AF64</f>
        <v>0</v>
      </c>
      <c r="AO64" s="10">
        <f t="shared" si="79"/>
        <v>0</v>
      </c>
      <c r="AP64" s="10">
        <f t="shared" si="79"/>
        <v>0</v>
      </c>
      <c r="AQ64" s="11">
        <f t="shared" si="78"/>
        <v>0</v>
      </c>
    </row>
    <row r="65">
      <c r="A65" s="19"/>
      <c r="B65" s="19"/>
      <c r="C65" s="9" t="s">
        <v>16</v>
      </c>
      <c r="D65" s="10"/>
      <c r="E65" s="10"/>
      <c r="F65" s="10"/>
      <c r="G65" s="10"/>
      <c r="H65" s="11"/>
      <c r="I65" s="19"/>
      <c r="J65" s="9" t="s">
        <v>16</v>
      </c>
      <c r="K65" s="10"/>
      <c r="L65" s="10"/>
      <c r="M65" s="10"/>
      <c r="N65" s="10"/>
      <c r="O65" s="11"/>
      <c r="P65" s="19"/>
      <c r="Q65" s="9" t="s">
        <v>16</v>
      </c>
      <c r="R65" s="10"/>
      <c r="S65" s="10"/>
      <c r="T65" s="10"/>
      <c r="U65" s="10"/>
      <c r="V65" s="11"/>
      <c r="W65" s="19"/>
      <c r="X65" s="9" t="s">
        <v>16</v>
      </c>
      <c r="Y65" s="10"/>
      <c r="Z65" s="10"/>
      <c r="AA65" s="10"/>
      <c r="AB65" s="10"/>
      <c r="AC65" s="11"/>
      <c r="AD65" s="19"/>
      <c r="AE65" s="9" t="s">
        <v>16</v>
      </c>
      <c r="AF65" s="10"/>
      <c r="AG65" s="10"/>
      <c r="AH65" s="10"/>
      <c r="AI65" s="10"/>
      <c r="AJ65" s="11"/>
      <c r="AL65" s="19"/>
      <c r="AM65" s="9" t="s">
        <v>16</v>
      </c>
      <c r="AN65" s="10">
        <f t="shared" ref="AN65:AP65" si="80">D65+K65+R65+Y65+AF65</f>
        <v>0</v>
      </c>
      <c r="AO65" s="10">
        <f t="shared" si="80"/>
        <v>0</v>
      </c>
      <c r="AP65" s="10">
        <f t="shared" si="80"/>
        <v>0</v>
      </c>
      <c r="AQ65" s="11">
        <f t="shared" si="78"/>
        <v>0</v>
      </c>
    </row>
    <row r="66">
      <c r="A66" s="19"/>
      <c r="B66" s="19"/>
      <c r="C66" s="9" t="s">
        <v>17</v>
      </c>
      <c r="D66" s="10"/>
      <c r="E66" s="10"/>
      <c r="F66" s="10"/>
      <c r="G66" s="10"/>
      <c r="H66" s="11"/>
      <c r="I66" s="19"/>
      <c r="J66" s="9" t="s">
        <v>17</v>
      </c>
      <c r="K66" s="10"/>
      <c r="L66" s="10"/>
      <c r="M66" s="10"/>
      <c r="N66" s="10"/>
      <c r="O66" s="11"/>
      <c r="P66" s="19"/>
      <c r="Q66" s="9" t="s">
        <v>17</v>
      </c>
      <c r="R66" s="10"/>
      <c r="S66" s="10"/>
      <c r="T66" s="10"/>
      <c r="U66" s="10"/>
      <c r="V66" s="11"/>
      <c r="W66" s="19"/>
      <c r="X66" s="9" t="s">
        <v>17</v>
      </c>
      <c r="Y66" s="10"/>
      <c r="Z66" s="10"/>
      <c r="AA66" s="10"/>
      <c r="AB66" s="10"/>
      <c r="AC66" s="11"/>
      <c r="AD66" s="19"/>
      <c r="AE66" s="9" t="s">
        <v>17</v>
      </c>
      <c r="AF66" s="10"/>
      <c r="AG66" s="10"/>
      <c r="AH66" s="10"/>
      <c r="AI66" s="10"/>
      <c r="AJ66" s="11"/>
      <c r="AL66" s="19"/>
      <c r="AM66" s="9" t="s">
        <v>17</v>
      </c>
      <c r="AN66" s="10">
        <f t="shared" ref="AN66:AP66" si="81">D66+K66+R66+Y66+AF66</f>
        <v>0</v>
      </c>
      <c r="AO66" s="10">
        <f t="shared" si="81"/>
        <v>0</v>
      </c>
      <c r="AP66" s="10">
        <f t="shared" si="81"/>
        <v>0</v>
      </c>
      <c r="AQ66" s="11">
        <f t="shared" si="78"/>
        <v>0</v>
      </c>
    </row>
    <row r="67">
      <c r="A67" s="19"/>
      <c r="B67" s="19"/>
      <c r="C67" s="9" t="s">
        <v>18</v>
      </c>
      <c r="D67" s="10"/>
      <c r="E67" s="10"/>
      <c r="F67" s="10"/>
      <c r="G67" s="10"/>
      <c r="H67" s="11"/>
      <c r="I67" s="19"/>
      <c r="J67" s="9" t="s">
        <v>18</v>
      </c>
      <c r="K67" s="10"/>
      <c r="L67" s="10"/>
      <c r="M67" s="10"/>
      <c r="N67" s="10"/>
      <c r="O67" s="11"/>
      <c r="P67" s="19"/>
      <c r="Q67" s="9" t="s">
        <v>18</v>
      </c>
      <c r="R67" s="10"/>
      <c r="S67" s="10"/>
      <c r="T67" s="10"/>
      <c r="U67" s="10"/>
      <c r="V67" s="11"/>
      <c r="W67" s="19"/>
      <c r="X67" s="9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2">D67+K67+R67+Y67+AF67</f>
        <v>0</v>
      </c>
      <c r="AO67" s="10">
        <f t="shared" si="82"/>
        <v>0</v>
      </c>
      <c r="AP67" s="10">
        <f t="shared" si="82"/>
        <v>0</v>
      </c>
      <c r="AQ67" s="11">
        <f t="shared" si="78"/>
        <v>0</v>
      </c>
    </row>
    <row r="68">
      <c r="A68" s="19"/>
      <c r="B68" s="19"/>
      <c r="C68" s="9" t="s">
        <v>20</v>
      </c>
      <c r="D68" s="10"/>
      <c r="E68" s="10"/>
      <c r="F68" s="10"/>
      <c r="G68" s="10"/>
      <c r="H68" s="11"/>
      <c r="I68" s="19"/>
      <c r="J68" s="9" t="s">
        <v>20</v>
      </c>
      <c r="K68" s="10"/>
      <c r="L68" s="10"/>
      <c r="M68" s="10"/>
      <c r="N68" s="10"/>
      <c r="O68" s="11"/>
      <c r="P68" s="19"/>
      <c r="Q68" s="9" t="s">
        <v>19</v>
      </c>
      <c r="R68" s="10"/>
      <c r="S68" s="10"/>
      <c r="T68" s="10"/>
      <c r="U68" s="10"/>
      <c r="V68" s="11"/>
      <c r="W68" s="19"/>
      <c r="X68" s="9" t="s">
        <v>19</v>
      </c>
      <c r="Y68" s="10"/>
      <c r="Z68" s="10"/>
      <c r="AA68" s="10"/>
      <c r="AB68" s="10"/>
      <c r="AC68" s="11"/>
      <c r="AD68" s="19"/>
      <c r="AE68" s="9" t="s">
        <v>19</v>
      </c>
      <c r="AF68" s="10"/>
      <c r="AG68" s="10"/>
      <c r="AH68" s="10"/>
      <c r="AI68" s="10"/>
      <c r="AJ68" s="11"/>
      <c r="AL68" s="19"/>
      <c r="AM68" s="9" t="s">
        <v>19</v>
      </c>
      <c r="AN68" s="10">
        <f t="shared" ref="AN68:AP68" si="83">D68+K68+R68+Y68+AF68</f>
        <v>0</v>
      </c>
      <c r="AO68" s="10">
        <f t="shared" si="83"/>
        <v>0</v>
      </c>
      <c r="AP68" s="10">
        <f t="shared" si="83"/>
        <v>0</v>
      </c>
      <c r="AQ68" s="11">
        <f t="shared" si="78"/>
        <v>0</v>
      </c>
    </row>
    <row r="69">
      <c r="A69" s="19"/>
      <c r="B69" s="19"/>
      <c r="C69" s="26" t="s">
        <v>21</v>
      </c>
      <c r="D69" s="10"/>
      <c r="E69" s="10"/>
      <c r="F69" s="10"/>
      <c r="G69" s="310"/>
      <c r="H69" s="11"/>
      <c r="I69" s="19"/>
      <c r="J69" s="26" t="s">
        <v>21</v>
      </c>
      <c r="K69" s="10"/>
      <c r="L69" s="10"/>
      <c r="M69" s="10"/>
      <c r="N69" s="310"/>
      <c r="O69" s="11"/>
      <c r="P69" s="19"/>
      <c r="Q69" s="26" t="s">
        <v>21</v>
      </c>
      <c r="R69" s="10"/>
      <c r="S69" s="10"/>
      <c r="T69" s="10"/>
      <c r="U69" s="311"/>
      <c r="V69" s="11"/>
      <c r="W69" s="19"/>
      <c r="X69" s="26" t="s">
        <v>21</v>
      </c>
      <c r="Y69" s="10"/>
      <c r="Z69" s="10"/>
      <c r="AA69" s="10"/>
      <c r="AB69" s="310"/>
      <c r="AC69" s="11"/>
      <c r="AD69" s="19"/>
      <c r="AE69" s="26" t="s">
        <v>21</v>
      </c>
      <c r="AF69" s="10"/>
      <c r="AG69" s="10"/>
      <c r="AH69" s="10"/>
      <c r="AI69" s="10"/>
      <c r="AJ69" s="11"/>
      <c r="AL69" s="19"/>
      <c r="AM69" s="26" t="s">
        <v>21</v>
      </c>
      <c r="AN69" s="10">
        <f t="shared" ref="AN69:AP69" si="84">D69+K69+R69+Y69+AF69</f>
        <v>0</v>
      </c>
      <c r="AO69" s="10">
        <f t="shared" si="84"/>
        <v>0</v>
      </c>
      <c r="AP69" s="10">
        <f t="shared" si="84"/>
        <v>0</v>
      </c>
      <c r="AQ69" s="11">
        <f t="shared" si="78"/>
        <v>0</v>
      </c>
    </row>
    <row r="70">
      <c r="A70" s="19"/>
      <c r="B70" s="19"/>
      <c r="C70" s="28" t="s">
        <v>23</v>
      </c>
      <c r="D70" s="61">
        <f t="shared" ref="D70:H70" si="85">D62+D63+D64+D65+D66+D67+D68+D69</f>
        <v>0</v>
      </c>
      <c r="E70" s="30">
        <f t="shared" si="85"/>
        <v>0</v>
      </c>
      <c r="F70" s="36">
        <f t="shared" si="85"/>
        <v>0</v>
      </c>
      <c r="G70" s="40">
        <f t="shared" si="85"/>
        <v>0</v>
      </c>
      <c r="H70" s="33">
        <f t="shared" si="85"/>
        <v>0</v>
      </c>
      <c r="I70" s="19"/>
      <c r="J70" s="28" t="s">
        <v>23</v>
      </c>
      <c r="K70" s="29">
        <f t="shared" ref="K70:O70" si="86">K62+K63+K64+K65+K66+K67+K68+K69</f>
        <v>0</v>
      </c>
      <c r="L70" s="30">
        <f t="shared" si="86"/>
        <v>0</v>
      </c>
      <c r="M70" s="31">
        <f t="shared" si="86"/>
        <v>0</v>
      </c>
      <c r="N70" s="37">
        <f t="shared" si="86"/>
        <v>0</v>
      </c>
      <c r="O70" s="33">
        <f t="shared" si="86"/>
        <v>0</v>
      </c>
      <c r="P70" s="19"/>
      <c r="Q70" s="28" t="s">
        <v>23</v>
      </c>
      <c r="R70" s="34">
        <f t="shared" ref="R70:V70" si="87">R62+R63+R64+R65+R66+R67+R68+R69</f>
        <v>0</v>
      </c>
      <c r="S70" s="30">
        <f t="shared" si="87"/>
        <v>0</v>
      </c>
      <c r="T70" s="31">
        <f t="shared" si="87"/>
        <v>0</v>
      </c>
      <c r="U70" s="37">
        <f t="shared" si="87"/>
        <v>0</v>
      </c>
      <c r="V70" s="33">
        <f t="shared" si="87"/>
        <v>0</v>
      </c>
      <c r="W70" s="19"/>
      <c r="X70" s="28" t="s">
        <v>23</v>
      </c>
      <c r="Y70" s="61">
        <f t="shared" ref="Y70:AC70" si="88">Y62+Y63+Y64+Y65+Y66+Y67+Y68+Y69</f>
        <v>0</v>
      </c>
      <c r="Z70" s="30">
        <f t="shared" si="88"/>
        <v>0</v>
      </c>
      <c r="AA70" s="31">
        <f t="shared" si="88"/>
        <v>0</v>
      </c>
      <c r="AB70" s="37">
        <f t="shared" si="88"/>
        <v>0</v>
      </c>
      <c r="AC70" s="33">
        <f t="shared" si="88"/>
        <v>0</v>
      </c>
      <c r="AD70" s="19"/>
      <c r="AE70" s="28" t="s">
        <v>23</v>
      </c>
      <c r="AF70" s="29">
        <f t="shared" ref="AF70:AJ70" si="89">AF62+AF63+AF64+AF65+AF66+AF67+AF68+AF69</f>
        <v>0</v>
      </c>
      <c r="AG70" s="30">
        <f t="shared" si="89"/>
        <v>0</v>
      </c>
      <c r="AH70" s="31">
        <f t="shared" si="89"/>
        <v>0</v>
      </c>
      <c r="AI70" s="32">
        <f t="shared" si="89"/>
        <v>0</v>
      </c>
      <c r="AJ70" s="33">
        <f t="shared" si="89"/>
        <v>0</v>
      </c>
      <c r="AL70" s="19"/>
      <c r="AM70" s="28" t="s">
        <v>23</v>
      </c>
      <c r="AN70" s="41">
        <f t="shared" ref="AN70:AQ70" si="90">AN62+AN63+AN64+AN65+AN66+AN67+AN68+AN69</f>
        <v>0</v>
      </c>
      <c r="AO70" s="42">
        <f t="shared" si="90"/>
        <v>0</v>
      </c>
      <c r="AP70" s="43">
        <f t="shared" si="90"/>
        <v>0</v>
      </c>
      <c r="AQ70" s="44">
        <f t="shared" si="90"/>
        <v>0</v>
      </c>
    </row>
    <row r="71" hidden="1">
      <c r="A71" s="19"/>
      <c r="B71" s="19"/>
      <c r="C71" s="45" t="s">
        <v>24</v>
      </c>
      <c r="D71" s="50">
        <f>D70-E70</f>
        <v>0</v>
      </c>
      <c r="E71" s="47"/>
      <c r="F71" s="48"/>
      <c r="G71" s="51"/>
      <c r="H71" s="51"/>
      <c r="I71" s="19"/>
      <c r="J71" s="45" t="s">
        <v>24</v>
      </c>
      <c r="K71" s="50">
        <f>K70-L70</f>
        <v>0</v>
      </c>
      <c r="L71" s="47"/>
      <c r="M71" s="48"/>
      <c r="N71" s="51"/>
      <c r="O71" s="51"/>
      <c r="P71" s="19"/>
      <c r="Q71" s="45" t="s">
        <v>24</v>
      </c>
      <c r="R71" s="50">
        <f>R70-S70</f>
        <v>0</v>
      </c>
      <c r="S71" s="47"/>
      <c r="T71" s="48"/>
      <c r="U71" s="51"/>
      <c r="V71" s="51"/>
      <c r="W71" s="19"/>
      <c r="X71" s="45" t="s">
        <v>24</v>
      </c>
      <c r="Y71" s="50">
        <f>Y70-Z70</f>
        <v>0</v>
      </c>
      <c r="Z71" s="47"/>
      <c r="AA71" s="48"/>
      <c r="AB71" s="51"/>
      <c r="AC71" s="51"/>
      <c r="AD71" s="19"/>
      <c r="AE71" s="45" t="s">
        <v>24</v>
      </c>
      <c r="AF71" s="50">
        <f>AF70-AG70</f>
        <v>0</v>
      </c>
      <c r="AG71" s="47"/>
      <c r="AH71" s="48"/>
      <c r="AI71" s="51"/>
      <c r="AJ71" s="51"/>
      <c r="AL71" s="53"/>
      <c r="AM71" s="45" t="s">
        <v>25</v>
      </c>
      <c r="AN71" s="50">
        <f>AN70-AO70</f>
        <v>0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0</v>
      </c>
      <c r="E72" s="47"/>
      <c r="F72" s="48"/>
      <c r="G72" s="59"/>
      <c r="H72" s="51"/>
      <c r="I72" s="53"/>
      <c r="J72" s="56" t="s">
        <v>26</v>
      </c>
      <c r="K72" s="57">
        <f>M70-L70</f>
        <v>0</v>
      </c>
      <c r="L72" s="47"/>
      <c r="M72" s="48"/>
      <c r="N72" s="51"/>
      <c r="O72" s="51"/>
      <c r="P72" s="53"/>
      <c r="Q72" s="56" t="s">
        <v>26</v>
      </c>
      <c r="R72" s="57">
        <f>T70-S70</f>
        <v>0</v>
      </c>
      <c r="S72" s="47"/>
      <c r="T72" s="48"/>
      <c r="U72" s="51"/>
      <c r="V72" s="51"/>
      <c r="W72" s="53"/>
      <c r="X72" s="56" t="s">
        <v>26</v>
      </c>
      <c r="Y72" s="57">
        <f>AA70-Z70</f>
        <v>0</v>
      </c>
      <c r="Z72" s="47"/>
      <c r="AA72" s="48"/>
      <c r="AB72" s="59"/>
      <c r="AC72" s="51"/>
      <c r="AD72" s="53"/>
      <c r="AE72" s="56" t="s">
        <v>26</v>
      </c>
      <c r="AF72" s="57">
        <f>AH70-AG70</f>
        <v>0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45844.0</v>
      </c>
      <c r="C74" s="9" t="s">
        <v>10</v>
      </c>
      <c r="D74" s="10"/>
      <c r="E74" s="10"/>
      <c r="F74" s="10"/>
      <c r="G74" s="10"/>
      <c r="H74" s="11"/>
      <c r="I74" s="12">
        <v>45851.0</v>
      </c>
      <c r="J74" s="9"/>
      <c r="K74" s="10"/>
      <c r="L74" s="10"/>
      <c r="M74" s="10"/>
      <c r="N74" s="10"/>
      <c r="O74" s="11"/>
      <c r="P74" s="8">
        <v>45858.0</v>
      </c>
      <c r="Q74" s="9"/>
      <c r="R74" s="10"/>
      <c r="S74" s="10"/>
      <c r="T74" s="10"/>
      <c r="U74" s="10"/>
      <c r="V74" s="11"/>
      <c r="W74" s="8">
        <v>45865.0</v>
      </c>
      <c r="X74" s="9"/>
      <c r="Y74" s="10"/>
      <c r="Z74" s="10"/>
      <c r="AA74" s="10"/>
      <c r="AB74" s="10"/>
      <c r="AC74" s="11"/>
      <c r="AD74" s="12"/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/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9" t="s">
        <v>14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/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/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/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/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/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22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1">D81+K81+R81+Y81+AF81</f>
        <v>0</v>
      </c>
      <c r="AO81" s="10">
        <f t="shared" si="91"/>
        <v>0</v>
      </c>
      <c r="AP81" s="10">
        <f t="shared" si="91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2">D74+D75+D76+D77+D78+D79+D80+D81</f>
        <v>0</v>
      </c>
      <c r="E82" s="30">
        <f t="shared" si="92"/>
        <v>0</v>
      </c>
      <c r="F82" s="31">
        <f t="shared" si="92"/>
        <v>0</v>
      </c>
      <c r="G82" s="32">
        <f t="shared" si="92"/>
        <v>0</v>
      </c>
      <c r="H82" s="33">
        <f t="shared" si="92"/>
        <v>0</v>
      </c>
      <c r="I82" s="19"/>
      <c r="J82" s="28" t="s">
        <v>23</v>
      </c>
      <c r="K82" s="29">
        <f t="shared" ref="K82:O82" si="93">K74+K75+K76+K77+K78+K79+K80+K81</f>
        <v>0</v>
      </c>
      <c r="L82" s="30">
        <f t="shared" si="93"/>
        <v>0</v>
      </c>
      <c r="M82" s="31">
        <f t="shared" si="93"/>
        <v>0</v>
      </c>
      <c r="N82" s="32">
        <f t="shared" si="93"/>
        <v>0</v>
      </c>
      <c r="O82" s="33">
        <f t="shared" si="93"/>
        <v>0</v>
      </c>
      <c r="P82" s="19"/>
      <c r="Q82" s="28" t="s">
        <v>23</v>
      </c>
      <c r="R82" s="29">
        <f t="shared" ref="R82:V82" si="94">R74+R75+R76+R77+R78+R79+R80+R81</f>
        <v>0</v>
      </c>
      <c r="S82" s="30">
        <f t="shared" si="94"/>
        <v>0</v>
      </c>
      <c r="T82" s="31">
        <f t="shared" si="94"/>
        <v>0</v>
      </c>
      <c r="U82" s="32">
        <f t="shared" si="94"/>
        <v>0</v>
      </c>
      <c r="V82" s="33">
        <f t="shared" si="94"/>
        <v>0</v>
      </c>
      <c r="W82" s="19"/>
      <c r="X82" s="28" t="s">
        <v>23</v>
      </c>
      <c r="Y82" s="29">
        <f t="shared" ref="Y82:AC82" si="95">Y74+Y75+Y76+Y77+Y78+Y79+Y80+Y81</f>
        <v>0</v>
      </c>
      <c r="Z82" s="30">
        <f t="shared" si="95"/>
        <v>0</v>
      </c>
      <c r="AA82" s="31">
        <f t="shared" si="95"/>
        <v>0</v>
      </c>
      <c r="AB82" s="32">
        <f t="shared" si="95"/>
        <v>0</v>
      </c>
      <c r="AC82" s="33">
        <f t="shared" si="95"/>
        <v>0</v>
      </c>
      <c r="AD82" s="19"/>
      <c r="AE82" s="28" t="s">
        <v>23</v>
      </c>
      <c r="AF82" s="29">
        <f t="shared" ref="AF82:AJ82" si="96">AF74+AF75+AF76+AF77+AF78+AF79+AF80+AF81</f>
        <v>0</v>
      </c>
      <c r="AG82" s="30">
        <f t="shared" si="96"/>
        <v>0</v>
      </c>
      <c r="AH82" s="31">
        <f t="shared" si="96"/>
        <v>0</v>
      </c>
      <c r="AI82" s="32">
        <f t="shared" si="96"/>
        <v>0</v>
      </c>
      <c r="AJ82" s="33">
        <f t="shared" si="96"/>
        <v>0</v>
      </c>
      <c r="AL82" s="19"/>
      <c r="AM82" s="28" t="s">
        <v>23</v>
      </c>
      <c r="AN82" s="41">
        <f t="shared" ref="AN82:AQ82" si="97">AN74+AN75+AN76+AN77+AN78+AN79+AN80+AN81</f>
        <v>0</v>
      </c>
      <c r="AO82" s="42">
        <f t="shared" si="97"/>
        <v>0</v>
      </c>
      <c r="AP82" s="43">
        <f t="shared" si="97"/>
        <v>0</v>
      </c>
      <c r="AQ82" s="44">
        <f t="shared" si="97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44</v>
      </c>
      <c r="D87" s="47"/>
      <c r="E87" s="47"/>
      <c r="F87" s="47"/>
      <c r="G87" s="47"/>
      <c r="H87" s="48"/>
      <c r="I87" s="76"/>
      <c r="J87" s="77" t="s">
        <v>44</v>
      </c>
      <c r="K87" s="47"/>
      <c r="L87" s="47"/>
      <c r="M87" s="47"/>
      <c r="N87" s="47"/>
      <c r="O87" s="48"/>
      <c r="P87" s="76"/>
      <c r="Q87" s="77" t="s">
        <v>44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45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0</v>
      </c>
      <c r="E88" s="47"/>
      <c r="F88" s="47"/>
      <c r="G88" s="47"/>
      <c r="H88" s="48"/>
      <c r="J88" s="9" t="s">
        <v>7</v>
      </c>
      <c r="K88" s="79">
        <f>K10+K22+K34+K46+K58+K70+K82</f>
        <v>0</v>
      </c>
      <c r="L88" s="47"/>
      <c r="M88" s="47"/>
      <c r="N88" s="47"/>
      <c r="O88" s="48"/>
      <c r="Q88" s="9" t="s">
        <v>7</v>
      </c>
      <c r="R88" s="79">
        <f>R10+R22+R34+R46+R58+R70+R82</f>
        <v>0</v>
      </c>
      <c r="S88" s="47"/>
      <c r="T88" s="47"/>
      <c r="U88" s="47"/>
      <c r="V88" s="48"/>
      <c r="X88" s="9" t="s">
        <v>7</v>
      </c>
      <c r="Y88" s="79">
        <f>Y10+Y22+Y34+Y46+Y58+Y70+Y82</f>
        <v>0</v>
      </c>
      <c r="Z88" s="47"/>
      <c r="AA88" s="47"/>
      <c r="AB88" s="47"/>
      <c r="AC88" s="48"/>
      <c r="AE88" s="9" t="s">
        <v>7</v>
      </c>
      <c r="AF88" s="79">
        <f>AF10+AF22+AF34+AF46+AF58+AF70+AF82</f>
        <v>0</v>
      </c>
      <c r="AG88" s="47"/>
      <c r="AH88" s="47"/>
      <c r="AI88" s="47"/>
      <c r="AJ88" s="48"/>
      <c r="AN88" s="55">
        <f t="array" ref="AN88">AN10+AN22+AN34+AN46+AN58+AN70</f>
        <v>0</v>
      </c>
      <c r="AP88" s="55">
        <f t="array" ref="AP88">AP10+AP22+AP34+AP46+AP58+AP70</f>
        <v>0</v>
      </c>
    </row>
    <row r="89">
      <c r="A89" s="78"/>
      <c r="C89" s="9" t="s">
        <v>3</v>
      </c>
      <c r="D89" s="80">
        <f>E10+E22+E34+E46+E58+E70+E82</f>
        <v>0</v>
      </c>
      <c r="E89" s="47"/>
      <c r="F89" s="47"/>
      <c r="G89" s="47"/>
      <c r="H89" s="48"/>
      <c r="J89" s="9" t="s">
        <v>3</v>
      </c>
      <c r="K89" s="80">
        <f>L10+L22+L34+L46+L58+L70+L82</f>
        <v>0</v>
      </c>
      <c r="L89" s="47"/>
      <c r="M89" s="47"/>
      <c r="N89" s="47"/>
      <c r="O89" s="48"/>
      <c r="Q89" s="9" t="s">
        <v>3</v>
      </c>
      <c r="R89" s="80">
        <f>S10+S22+S34+S46+S58+S70+S82</f>
        <v>0</v>
      </c>
      <c r="S89" s="47"/>
      <c r="T89" s="47"/>
      <c r="U89" s="47"/>
      <c r="V89" s="48"/>
      <c r="X89" s="9" t="s">
        <v>3</v>
      </c>
      <c r="Y89" s="80">
        <f>Z10+Z22+Z34+Z46+Z58+Z70+Z82</f>
        <v>0</v>
      </c>
      <c r="Z89" s="47"/>
      <c r="AA89" s="47"/>
      <c r="AB89" s="47"/>
      <c r="AC89" s="48"/>
      <c r="AE89" s="9" t="s">
        <v>3</v>
      </c>
      <c r="AF89" s="80">
        <f>AG10+AG22+AG34+AG46+AG58+AG70+AG82</f>
        <v>0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0</v>
      </c>
      <c r="E90" s="47"/>
      <c r="F90" s="47"/>
      <c r="G90" s="47"/>
      <c r="H90" s="48"/>
      <c r="J90" s="9" t="s">
        <v>46</v>
      </c>
      <c r="K90" s="81">
        <f>M10+M22+M34+M46+M58+M70+M82</f>
        <v>0</v>
      </c>
      <c r="L90" s="47"/>
      <c r="M90" s="47"/>
      <c r="N90" s="47"/>
      <c r="O90" s="48"/>
      <c r="Q90" s="9" t="s">
        <v>46</v>
      </c>
      <c r="R90" s="81">
        <f>T10+T22+T34+T46+T58+T70+T82</f>
        <v>0</v>
      </c>
      <c r="S90" s="47"/>
      <c r="T90" s="47"/>
      <c r="U90" s="47"/>
      <c r="V90" s="48"/>
      <c r="X90" s="9" t="s">
        <v>46</v>
      </c>
      <c r="Y90" s="81">
        <f>AA10+AA22+AA34+AA46+AA58+AA70+AA82</f>
        <v>0</v>
      </c>
      <c r="Z90" s="47"/>
      <c r="AA90" s="47"/>
      <c r="AB90" s="47"/>
      <c r="AC90" s="48"/>
      <c r="AE90" s="9" t="s">
        <v>46</v>
      </c>
      <c r="AF90" s="81">
        <f>AH10+AH22+AH34+AH46+AH58+AH70+AH82</f>
        <v>0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0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0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0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0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0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0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0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0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0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0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0</v>
      </c>
      <c r="E93" s="47"/>
      <c r="F93" s="47"/>
      <c r="G93" s="47"/>
      <c r="H93" s="48"/>
      <c r="J93" s="9" t="s">
        <v>49</v>
      </c>
      <c r="K93" s="84">
        <f t="array" ref="K93">O10+O22+O34+O46+O58+O70+O82</f>
        <v>0</v>
      </c>
      <c r="L93" s="47"/>
      <c r="M93" s="47"/>
      <c r="N93" s="47"/>
      <c r="O93" s="48"/>
      <c r="Q93" s="9" t="s">
        <v>49</v>
      </c>
      <c r="R93" s="84">
        <f t="array" ref="R93">V10+V22+V34+V46+V58+V70+V82</f>
        <v>0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0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0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8">D2+D14+D26+D38+D50+D62</f>
        <v>0</v>
      </c>
      <c r="E98" s="10">
        <f t="shared" si="98"/>
        <v>0</v>
      </c>
      <c r="F98" s="10">
        <f t="shared" si="98"/>
        <v>0</v>
      </c>
      <c r="G98" s="86">
        <f t="shared" ref="G98:G105" si="104">F98-E98</f>
        <v>0</v>
      </c>
      <c r="H98" s="87">
        <f t="shared" ref="H98:H104" si="105">H2+H14+H26+H38+H50+H62</f>
        <v>0</v>
      </c>
      <c r="J98" s="9" t="s">
        <v>10</v>
      </c>
      <c r="K98" s="85">
        <f t="shared" ref="K98:M98" si="99">K2+K14+K26+K38+K50+K62</f>
        <v>0</v>
      </c>
      <c r="L98" s="10">
        <f t="shared" si="99"/>
        <v>0</v>
      </c>
      <c r="M98" s="10">
        <f t="shared" si="99"/>
        <v>0</v>
      </c>
      <c r="N98" s="86">
        <f t="shared" ref="N98:N105" si="107">M98-L98</f>
        <v>0</v>
      </c>
      <c r="O98" s="87">
        <f t="shared" ref="O98:O104" si="108">O2+O14+O26+O38+O50+O62</f>
        <v>0</v>
      </c>
      <c r="Q98" s="9" t="s">
        <v>10</v>
      </c>
      <c r="R98" s="85">
        <f t="shared" ref="R98:T98" si="100">R2+R14+R26+R38+R50+R62</f>
        <v>0</v>
      </c>
      <c r="S98" s="10">
        <f t="shared" si="100"/>
        <v>0</v>
      </c>
      <c r="T98" s="10">
        <f t="shared" si="100"/>
        <v>0</v>
      </c>
      <c r="U98" s="86">
        <f t="shared" ref="U98:U105" si="110">T98-S98</f>
        <v>0</v>
      </c>
      <c r="V98" s="87">
        <f t="shared" ref="V98:V104" si="111">V2+V14+V26+V38+V50+V62</f>
        <v>0</v>
      </c>
      <c r="X98" s="9" t="s">
        <v>10</v>
      </c>
      <c r="Y98" s="85">
        <f t="shared" ref="Y98:AA98" si="101">Y2+Y14+Y26+Y38+Y50+Y62</f>
        <v>0</v>
      </c>
      <c r="Z98" s="10">
        <f t="shared" si="101"/>
        <v>0</v>
      </c>
      <c r="AA98" s="10">
        <f t="shared" si="101"/>
        <v>0</v>
      </c>
      <c r="AB98" s="86">
        <f t="shared" ref="AB98:AB105" si="113">AA98-Z98</f>
        <v>0</v>
      </c>
      <c r="AC98" s="87">
        <f t="shared" ref="AC98:AC104" si="114">AC2+AC14+AC26+AC38+AC50+AC62</f>
        <v>0</v>
      </c>
      <c r="AE98" s="9" t="s">
        <v>10</v>
      </c>
      <c r="AF98" s="85">
        <f t="shared" ref="AF98:AH98" si="102">AF2+AF14+AF26+AF38+AF50+AF62</f>
        <v>0</v>
      </c>
      <c r="AG98" s="10">
        <f t="shared" si="102"/>
        <v>0</v>
      </c>
      <c r="AH98" s="10">
        <f t="shared" si="102"/>
        <v>0</v>
      </c>
      <c r="AI98" s="86">
        <f t="shared" ref="AI98:AI105" si="116">AH98-AG98</f>
        <v>0</v>
      </c>
      <c r="AJ98" s="87">
        <f t="shared" ref="AJ98:AJ104" si="117">AJ2+AJ14+AJ26+AJ38+AJ50+AJ62</f>
        <v>0</v>
      </c>
    </row>
    <row r="99">
      <c r="C99" s="9" t="s">
        <v>12</v>
      </c>
      <c r="D99" s="85">
        <f t="shared" ref="D99:F99" si="103">D3+D15+D27+D39+D51+D63</f>
        <v>0</v>
      </c>
      <c r="E99" s="10">
        <f t="shared" si="103"/>
        <v>0</v>
      </c>
      <c r="F99" s="10">
        <f t="shared" si="103"/>
        <v>0</v>
      </c>
      <c r="G99" s="86">
        <f t="shared" si="104"/>
        <v>0</v>
      </c>
      <c r="H99" s="87">
        <f t="shared" si="105"/>
        <v>0</v>
      </c>
      <c r="J99" s="9" t="s">
        <v>12</v>
      </c>
      <c r="K99" s="85">
        <f t="shared" ref="K99:M99" si="106">K3+K15+K27+K39+K51+K63</f>
        <v>0</v>
      </c>
      <c r="L99" s="10">
        <f t="shared" si="106"/>
        <v>0</v>
      </c>
      <c r="M99" s="10">
        <f t="shared" si="106"/>
        <v>0</v>
      </c>
      <c r="N99" s="86">
        <f t="shared" si="107"/>
        <v>0</v>
      </c>
      <c r="O99" s="87">
        <f t="shared" si="108"/>
        <v>0</v>
      </c>
      <c r="Q99" s="9" t="s">
        <v>12</v>
      </c>
      <c r="R99" s="85">
        <f t="shared" ref="R99:T99" si="109">R3+R15+R27+R39+R51+R63</f>
        <v>0</v>
      </c>
      <c r="S99" s="10">
        <f t="shared" si="109"/>
        <v>0</v>
      </c>
      <c r="T99" s="10">
        <f t="shared" si="109"/>
        <v>0</v>
      </c>
      <c r="U99" s="86">
        <f t="shared" si="110"/>
        <v>0</v>
      </c>
      <c r="V99" s="87">
        <f t="shared" si="111"/>
        <v>0</v>
      </c>
      <c r="X99" s="9" t="s">
        <v>12</v>
      </c>
      <c r="Y99" s="85">
        <f t="shared" ref="Y99:AA99" si="112">Y3+Y15+Y27+Y39+Y51+Y63</f>
        <v>0</v>
      </c>
      <c r="Z99" s="10">
        <f t="shared" si="112"/>
        <v>0</v>
      </c>
      <c r="AA99" s="10">
        <f t="shared" si="112"/>
        <v>0</v>
      </c>
      <c r="AB99" s="86">
        <f t="shared" si="113"/>
        <v>0</v>
      </c>
      <c r="AC99" s="87">
        <f t="shared" si="114"/>
        <v>0</v>
      </c>
      <c r="AE99" s="9" t="s">
        <v>12</v>
      </c>
      <c r="AF99" s="85">
        <f t="shared" ref="AF99:AH99" si="115">AF3+AF15+AF27+AF39+AF51+AF63</f>
        <v>0</v>
      </c>
      <c r="AG99" s="10">
        <f t="shared" si="115"/>
        <v>0</v>
      </c>
      <c r="AH99" s="10">
        <f t="shared" si="115"/>
        <v>0</v>
      </c>
      <c r="AI99" s="86">
        <f t="shared" si="116"/>
        <v>0</v>
      </c>
      <c r="AJ99" s="87">
        <f t="shared" si="117"/>
        <v>0</v>
      </c>
    </row>
    <row r="100">
      <c r="C100" s="9" t="s">
        <v>14</v>
      </c>
      <c r="D100" s="85">
        <f t="shared" ref="D100:F100" si="118">D4+D16+D28+D40+D52+D64</f>
        <v>0</v>
      </c>
      <c r="E100" s="10">
        <f t="shared" si="118"/>
        <v>0</v>
      </c>
      <c r="F100" s="10">
        <f t="shared" si="118"/>
        <v>0</v>
      </c>
      <c r="G100" s="86">
        <f t="shared" si="104"/>
        <v>0</v>
      </c>
      <c r="H100" s="87">
        <f t="shared" si="105"/>
        <v>0</v>
      </c>
      <c r="J100" s="9" t="s">
        <v>14</v>
      </c>
      <c r="K100" s="85">
        <f t="shared" ref="K100:M100" si="119">K4+K16+K28+K40+K52+K64</f>
        <v>0</v>
      </c>
      <c r="L100" s="10">
        <f t="shared" si="119"/>
        <v>0</v>
      </c>
      <c r="M100" s="10">
        <f t="shared" si="119"/>
        <v>0</v>
      </c>
      <c r="N100" s="86">
        <f t="shared" si="107"/>
        <v>0</v>
      </c>
      <c r="O100" s="87">
        <f t="shared" si="108"/>
        <v>0</v>
      </c>
      <c r="Q100" s="9" t="s">
        <v>14</v>
      </c>
      <c r="R100" s="85">
        <f t="shared" ref="R100:T100" si="120">R4+R16+R28+R40+R52+R64</f>
        <v>0</v>
      </c>
      <c r="S100" s="10">
        <f t="shared" si="120"/>
        <v>0</v>
      </c>
      <c r="T100" s="10">
        <f t="shared" si="120"/>
        <v>0</v>
      </c>
      <c r="U100" s="86">
        <f t="shared" si="110"/>
        <v>0</v>
      </c>
      <c r="V100" s="87">
        <f t="shared" si="111"/>
        <v>0</v>
      </c>
      <c r="X100" s="9" t="s">
        <v>14</v>
      </c>
      <c r="Y100" s="85">
        <f t="shared" ref="Y100:AA100" si="121">Y4+Y16+Y28+Y40+Y52+Y64</f>
        <v>0</v>
      </c>
      <c r="Z100" s="10">
        <f t="shared" si="121"/>
        <v>0</v>
      </c>
      <c r="AA100" s="10">
        <f t="shared" si="121"/>
        <v>0</v>
      </c>
      <c r="AB100" s="86">
        <f t="shared" si="113"/>
        <v>0</v>
      </c>
      <c r="AC100" s="87">
        <f t="shared" si="114"/>
        <v>0</v>
      </c>
      <c r="AE100" s="9" t="s">
        <v>14</v>
      </c>
      <c r="AF100" s="85">
        <f t="shared" ref="AF100:AH100" si="122">AF4+AF16+AF28+AF40+AF52+AF64</f>
        <v>0</v>
      </c>
      <c r="AG100" s="10">
        <f t="shared" si="122"/>
        <v>0</v>
      </c>
      <c r="AH100" s="10">
        <f t="shared" si="122"/>
        <v>0</v>
      </c>
      <c r="AI100" s="86">
        <f t="shared" si="116"/>
        <v>0</v>
      </c>
      <c r="AJ100" s="87">
        <f t="shared" si="117"/>
        <v>0</v>
      </c>
    </row>
    <row r="101">
      <c r="C101" s="9" t="s">
        <v>16</v>
      </c>
      <c r="D101" s="85">
        <f t="shared" ref="D101:F101" si="123">D5+D17+D29+D41+D53+D65</f>
        <v>0</v>
      </c>
      <c r="E101" s="10">
        <f t="shared" si="123"/>
        <v>0</v>
      </c>
      <c r="F101" s="10">
        <f t="shared" si="123"/>
        <v>0</v>
      </c>
      <c r="G101" s="86">
        <f t="shared" si="104"/>
        <v>0</v>
      </c>
      <c r="H101" s="87">
        <f t="shared" si="105"/>
        <v>0</v>
      </c>
      <c r="J101" s="9" t="s">
        <v>16</v>
      </c>
      <c r="K101" s="85">
        <f t="shared" ref="K101:M101" si="124">K5+K17+K29+K41+K53+K65</f>
        <v>0</v>
      </c>
      <c r="L101" s="10">
        <f t="shared" si="124"/>
        <v>0</v>
      </c>
      <c r="M101" s="10">
        <f t="shared" si="124"/>
        <v>0</v>
      </c>
      <c r="N101" s="86">
        <f t="shared" si="107"/>
        <v>0</v>
      </c>
      <c r="O101" s="87">
        <f t="shared" si="108"/>
        <v>0</v>
      </c>
      <c r="Q101" s="9" t="s">
        <v>16</v>
      </c>
      <c r="R101" s="85">
        <f t="shared" ref="R101:T101" si="125">R5+R17+R29+R41+R53+R65</f>
        <v>0</v>
      </c>
      <c r="S101" s="10">
        <f t="shared" si="125"/>
        <v>0</v>
      </c>
      <c r="T101" s="10">
        <f t="shared" si="125"/>
        <v>0</v>
      </c>
      <c r="U101" s="86">
        <f t="shared" si="110"/>
        <v>0</v>
      </c>
      <c r="V101" s="87">
        <f t="shared" si="111"/>
        <v>0</v>
      </c>
      <c r="X101" s="9" t="s">
        <v>16</v>
      </c>
      <c r="Y101" s="85">
        <f t="shared" ref="Y101:AA101" si="126">Y5+Y17+Y29+Y41+Y53+Y65</f>
        <v>0</v>
      </c>
      <c r="Z101" s="10">
        <f t="shared" si="126"/>
        <v>0</v>
      </c>
      <c r="AA101" s="10">
        <f t="shared" si="126"/>
        <v>0</v>
      </c>
      <c r="AB101" s="86">
        <f t="shared" si="113"/>
        <v>0</v>
      </c>
      <c r="AC101" s="87">
        <f t="shared" si="114"/>
        <v>0</v>
      </c>
      <c r="AE101" s="9" t="s">
        <v>16</v>
      </c>
      <c r="AF101" s="85">
        <f t="shared" ref="AF101:AH101" si="127">AF5+AF17+AF29+AF41+AF53+AF65</f>
        <v>0</v>
      </c>
      <c r="AG101" s="10">
        <f t="shared" si="127"/>
        <v>0</v>
      </c>
      <c r="AH101" s="10">
        <f t="shared" si="127"/>
        <v>0</v>
      </c>
      <c r="AI101" s="86">
        <f t="shared" si="116"/>
        <v>0</v>
      </c>
      <c r="AJ101" s="87">
        <f t="shared" si="117"/>
        <v>0</v>
      </c>
    </row>
    <row r="102">
      <c r="C102" s="9" t="s">
        <v>17</v>
      </c>
      <c r="D102" s="85">
        <f t="shared" ref="D102:F102" si="128">D6+D18+D30+D42+D54+D66</f>
        <v>0</v>
      </c>
      <c r="E102" s="10">
        <f t="shared" si="128"/>
        <v>0</v>
      </c>
      <c r="F102" s="10">
        <f t="shared" si="128"/>
        <v>0</v>
      </c>
      <c r="G102" s="86">
        <f t="shared" si="104"/>
        <v>0</v>
      </c>
      <c r="H102" s="87">
        <f t="shared" si="105"/>
        <v>0</v>
      </c>
      <c r="J102" s="9" t="s">
        <v>17</v>
      </c>
      <c r="K102" s="85">
        <f t="shared" ref="K102:M102" si="129">K6+K18+K30+K42+K54+K66</f>
        <v>0</v>
      </c>
      <c r="L102" s="10">
        <f t="shared" si="129"/>
        <v>0</v>
      </c>
      <c r="M102" s="10">
        <f t="shared" si="129"/>
        <v>0</v>
      </c>
      <c r="N102" s="86">
        <f t="shared" si="107"/>
        <v>0</v>
      </c>
      <c r="O102" s="87">
        <f t="shared" si="108"/>
        <v>0</v>
      </c>
      <c r="Q102" s="9" t="s">
        <v>17</v>
      </c>
      <c r="R102" s="85">
        <f t="shared" ref="R102:T102" si="130">R6+R18+R30+R42+R54+R66</f>
        <v>0</v>
      </c>
      <c r="S102" s="10">
        <f t="shared" si="130"/>
        <v>0</v>
      </c>
      <c r="T102" s="10">
        <f t="shared" si="130"/>
        <v>0</v>
      </c>
      <c r="U102" s="86">
        <f t="shared" si="110"/>
        <v>0</v>
      </c>
      <c r="V102" s="87">
        <f t="shared" si="111"/>
        <v>0</v>
      </c>
      <c r="X102" s="9" t="s">
        <v>17</v>
      </c>
      <c r="Y102" s="85">
        <f t="shared" ref="Y102:AA102" si="131">Y6+Y18+Y30+Y42+Y54+Y66</f>
        <v>0</v>
      </c>
      <c r="Z102" s="10">
        <f t="shared" si="131"/>
        <v>0</v>
      </c>
      <c r="AA102" s="10">
        <f t="shared" si="131"/>
        <v>0</v>
      </c>
      <c r="AB102" s="86">
        <f t="shared" si="113"/>
        <v>0</v>
      </c>
      <c r="AC102" s="87">
        <f t="shared" si="114"/>
        <v>0</v>
      </c>
      <c r="AE102" s="9" t="s">
        <v>17</v>
      </c>
      <c r="AF102" s="85">
        <f t="shared" ref="AF102:AH102" si="132">AF6+AF18+AF30+AF42+AF54+AF66</f>
        <v>0</v>
      </c>
      <c r="AG102" s="10">
        <f t="shared" si="132"/>
        <v>0</v>
      </c>
      <c r="AH102" s="10">
        <f t="shared" si="132"/>
        <v>0</v>
      </c>
      <c r="AI102" s="86">
        <f t="shared" si="116"/>
        <v>0</v>
      </c>
      <c r="AJ102" s="87">
        <f t="shared" si="117"/>
        <v>0</v>
      </c>
    </row>
    <row r="103">
      <c r="C103" s="9" t="s">
        <v>18</v>
      </c>
      <c r="D103" s="85">
        <f t="shared" ref="D103:F103" si="133">D7+D19+D31+D43+D55+D67</f>
        <v>0</v>
      </c>
      <c r="E103" s="85">
        <f t="shared" si="133"/>
        <v>0</v>
      </c>
      <c r="F103" s="85">
        <f t="shared" si="133"/>
        <v>0</v>
      </c>
      <c r="G103" s="86">
        <f t="shared" si="104"/>
        <v>0</v>
      </c>
      <c r="H103" s="87">
        <f t="shared" si="105"/>
        <v>0</v>
      </c>
      <c r="J103" s="9" t="s">
        <v>18</v>
      </c>
      <c r="K103" s="85">
        <f t="shared" ref="K103:M103" si="134">K7+K19+K31+K43+K55+K67</f>
        <v>0</v>
      </c>
      <c r="L103" s="85">
        <f t="shared" si="134"/>
        <v>0</v>
      </c>
      <c r="M103" s="85">
        <f t="shared" si="134"/>
        <v>0</v>
      </c>
      <c r="N103" s="86">
        <f t="shared" si="107"/>
        <v>0</v>
      </c>
      <c r="O103" s="87">
        <f t="shared" si="108"/>
        <v>0</v>
      </c>
      <c r="Q103" s="9" t="s">
        <v>18</v>
      </c>
      <c r="R103" s="85">
        <f t="shared" ref="R103:T103" si="135">R7+R19+R31+R43+R55+R67</f>
        <v>0</v>
      </c>
      <c r="S103" s="85">
        <f t="shared" si="135"/>
        <v>0</v>
      </c>
      <c r="T103" s="85">
        <f t="shared" si="135"/>
        <v>0</v>
      </c>
      <c r="U103" s="86">
        <f t="shared" si="110"/>
        <v>0</v>
      </c>
      <c r="V103" s="87">
        <f t="shared" si="111"/>
        <v>0</v>
      </c>
      <c r="X103" s="9" t="s">
        <v>18</v>
      </c>
      <c r="Y103" s="85">
        <f t="shared" ref="Y103:AA103" si="136">Y7+Y19+Y31+Y43+Y55+Y67</f>
        <v>0</v>
      </c>
      <c r="Z103" s="85">
        <f t="shared" si="136"/>
        <v>0</v>
      </c>
      <c r="AA103" s="85">
        <f t="shared" si="136"/>
        <v>0</v>
      </c>
      <c r="AB103" s="86">
        <f t="shared" si="113"/>
        <v>0</v>
      </c>
      <c r="AC103" s="87">
        <f t="shared" si="114"/>
        <v>0</v>
      </c>
      <c r="AE103" s="9" t="s">
        <v>18</v>
      </c>
      <c r="AF103" s="85">
        <f t="shared" ref="AF103:AH103" si="137">AF7+AF19+AF31+AF43+AF55+AF67</f>
        <v>0</v>
      </c>
      <c r="AG103" s="85">
        <f t="shared" si="137"/>
        <v>0</v>
      </c>
      <c r="AH103" s="85">
        <f t="shared" si="137"/>
        <v>0</v>
      </c>
      <c r="AI103" s="86">
        <f t="shared" si="116"/>
        <v>0</v>
      </c>
      <c r="AJ103" s="87">
        <f t="shared" si="117"/>
        <v>0</v>
      </c>
    </row>
    <row r="104">
      <c r="C104" s="9" t="s">
        <v>19</v>
      </c>
      <c r="D104" s="85">
        <f t="shared" ref="D104:F104" si="138">D8+D20+D32+D44+D56+D68</f>
        <v>0</v>
      </c>
      <c r="E104" s="10">
        <f t="shared" si="138"/>
        <v>0</v>
      </c>
      <c r="F104" s="10">
        <f t="shared" si="138"/>
        <v>0</v>
      </c>
      <c r="G104" s="86">
        <f t="shared" si="104"/>
        <v>0</v>
      </c>
      <c r="H104" s="87">
        <f t="shared" si="105"/>
        <v>0</v>
      </c>
      <c r="J104" s="9" t="s">
        <v>19</v>
      </c>
      <c r="K104" s="85">
        <f t="shared" ref="K104:M104" si="139">K8+K20+K32+K44+K56+K68</f>
        <v>0</v>
      </c>
      <c r="L104" s="10">
        <f t="shared" si="139"/>
        <v>0</v>
      </c>
      <c r="M104" s="10">
        <f t="shared" si="139"/>
        <v>0</v>
      </c>
      <c r="N104" s="86">
        <f t="shared" si="107"/>
        <v>0</v>
      </c>
      <c r="O104" s="87">
        <f t="shared" si="108"/>
        <v>0</v>
      </c>
      <c r="Q104" s="9" t="s">
        <v>19</v>
      </c>
      <c r="R104" s="85">
        <f t="shared" ref="R104:T104" si="140">R8+R20+R32+R44+R56+R68</f>
        <v>0</v>
      </c>
      <c r="S104" s="10">
        <f t="shared" si="140"/>
        <v>0</v>
      </c>
      <c r="T104" s="10">
        <f t="shared" si="140"/>
        <v>0</v>
      </c>
      <c r="U104" s="86">
        <f t="shared" si="110"/>
        <v>0</v>
      </c>
      <c r="V104" s="87">
        <f t="shared" si="111"/>
        <v>0</v>
      </c>
      <c r="X104" s="9" t="s">
        <v>19</v>
      </c>
      <c r="Y104" s="85">
        <f t="shared" ref="Y104:AA104" si="141">Y8+Y20+Y32+Y44+Y56+Y68</f>
        <v>0</v>
      </c>
      <c r="Z104" s="10">
        <f t="shared" si="141"/>
        <v>0</v>
      </c>
      <c r="AA104" s="10">
        <f t="shared" si="141"/>
        <v>0</v>
      </c>
      <c r="AB104" s="86">
        <f t="shared" si="113"/>
        <v>0</v>
      </c>
      <c r="AC104" s="87">
        <f t="shared" si="114"/>
        <v>0</v>
      </c>
      <c r="AE104" s="9" t="s">
        <v>19</v>
      </c>
      <c r="AF104" s="85">
        <f t="shared" ref="AF104:AH104" si="142">AF8+AF20+AF32+AF44+AF56+AF68</f>
        <v>0</v>
      </c>
      <c r="AG104" s="10">
        <f t="shared" si="142"/>
        <v>0</v>
      </c>
      <c r="AH104" s="10">
        <f t="shared" si="142"/>
        <v>0</v>
      </c>
      <c r="AI104" s="86">
        <f t="shared" si="116"/>
        <v>0</v>
      </c>
      <c r="AJ104" s="87">
        <f t="shared" si="117"/>
        <v>0</v>
      </c>
    </row>
    <row r="105">
      <c r="C105" s="26" t="s">
        <v>21</v>
      </c>
      <c r="D105" s="85">
        <f t="shared" ref="D105:F105" si="143">D9+D21+D33+D45+D57+D69+D81</f>
        <v>0</v>
      </c>
      <c r="E105" s="10">
        <f t="shared" si="143"/>
        <v>0</v>
      </c>
      <c r="F105" s="10">
        <f t="shared" si="143"/>
        <v>0</v>
      </c>
      <c r="G105" s="86">
        <f t="shared" si="104"/>
        <v>0</v>
      </c>
      <c r="H105" s="87">
        <f>H9+H21+H33+H45+H57+H69+H81</f>
        <v>0</v>
      </c>
      <c r="J105" s="26" t="s">
        <v>21</v>
      </c>
      <c r="K105" s="85">
        <f t="shared" ref="K105:M105" si="144">K9+K21+K33+K45+K57+K69+K81</f>
        <v>0</v>
      </c>
      <c r="L105" s="10">
        <f t="shared" si="144"/>
        <v>0</v>
      </c>
      <c r="M105" s="10">
        <f t="shared" si="144"/>
        <v>0</v>
      </c>
      <c r="N105" s="86">
        <f t="shared" si="107"/>
        <v>0</v>
      </c>
      <c r="O105" s="87">
        <f>O9+O21+O33+O45+O57+O69+O81</f>
        <v>0</v>
      </c>
      <c r="Q105" s="26" t="s">
        <v>21</v>
      </c>
      <c r="R105" s="85">
        <f t="shared" ref="R105:T105" si="145">R9+R21+R33+R45+R57+R69+R81</f>
        <v>0</v>
      </c>
      <c r="S105" s="10">
        <f t="shared" si="145"/>
        <v>0</v>
      </c>
      <c r="T105" s="10">
        <f t="shared" si="145"/>
        <v>0</v>
      </c>
      <c r="U105" s="86">
        <f t="shared" si="110"/>
        <v>0</v>
      </c>
      <c r="V105" s="87">
        <f>V9+V21+V33+V45+V57+V69+V81</f>
        <v>0</v>
      </c>
      <c r="X105" s="26" t="s">
        <v>21</v>
      </c>
      <c r="Y105" s="85">
        <f t="shared" ref="Y105:AA105" si="146">Y9+Y21+Y33+Y45+Y57+Y69+Y81</f>
        <v>0</v>
      </c>
      <c r="Z105" s="10">
        <f t="shared" si="146"/>
        <v>0</v>
      </c>
      <c r="AA105" s="10">
        <f t="shared" si="146"/>
        <v>0</v>
      </c>
      <c r="AB105" s="86">
        <f t="shared" si="113"/>
        <v>0</v>
      </c>
      <c r="AC105" s="87">
        <f>AC9+AC21+AC33+AC45+AC57+AC69+AC81</f>
        <v>0</v>
      </c>
      <c r="AE105" s="26" t="s">
        <v>21</v>
      </c>
      <c r="AF105" s="85">
        <f t="shared" ref="AF105:AH105" si="147">AF9+AF21+AF33+AF45+AF57+AF69+AF81</f>
        <v>0</v>
      </c>
      <c r="AG105" s="10">
        <f t="shared" si="147"/>
        <v>0</v>
      </c>
      <c r="AH105" s="10">
        <f t="shared" si="147"/>
        <v>0</v>
      </c>
      <c r="AI105" s="86">
        <f t="shared" si="116"/>
        <v>0</v>
      </c>
      <c r="AJ105" s="87">
        <f>AJ9+AJ21+AJ33+AJ45+AJ57+AJ69+AJ81</f>
        <v>0</v>
      </c>
    </row>
    <row r="106">
      <c r="C106" s="88" t="s">
        <v>57</v>
      </c>
      <c r="D106" s="41">
        <f t="array" ref="D106">D98+D99+D100+D101+D102+D103+D104+D105</f>
        <v>0</v>
      </c>
      <c r="E106" s="42">
        <f t="array" ref="E106">E98+E99+E100+E101+E102+E103+E104+E105</f>
        <v>0</v>
      </c>
      <c r="F106" s="43">
        <f t="array" ref="F106">F98+F99+F100+F101+F102+F103+F104+F105</f>
        <v>0</v>
      </c>
      <c r="G106" s="89">
        <f t="array" ref="G106">G98+G99+G100+G101+G102+G103+G104+G105</f>
        <v>0</v>
      </c>
      <c r="H106" s="44">
        <f t="array" ref="H106">H98+H99+H100+H101+H102+H103+H104+H105</f>
        <v>0</v>
      </c>
      <c r="J106" s="88" t="s">
        <v>57</v>
      </c>
      <c r="K106" s="41">
        <f t="array" ref="K106">K98+K99+K100+K101+K102+K103+K104+K105</f>
        <v>0</v>
      </c>
      <c r="L106" s="42">
        <f t="array" ref="L106">L98+L99+L100+L101+L102+L103+L104+L105</f>
        <v>0</v>
      </c>
      <c r="M106" s="43">
        <f t="array" ref="M106">M98+M99+M100+M101+M102+M103+M104+M105</f>
        <v>0</v>
      </c>
      <c r="N106" s="89">
        <f t="array" ref="N106">N98+N99+N100+N101+N102+N103+N104+N105</f>
        <v>0</v>
      </c>
      <c r="O106" s="44">
        <f t="array" ref="O106">O98+O99+O100+O101+O102+O103+O104+O105</f>
        <v>0</v>
      </c>
      <c r="Q106" s="88" t="s">
        <v>57</v>
      </c>
      <c r="R106" s="41">
        <f t="array" ref="R106">R98+R99+R100+R101+R102+R103+R104+R105</f>
        <v>0</v>
      </c>
      <c r="S106" s="42">
        <f t="array" ref="S106">S98+S99+S100+S101+S102+S103+S104+S105</f>
        <v>0</v>
      </c>
      <c r="T106" s="43">
        <f t="array" ref="T106">T98+T99+T100+T101+T102+T103+T104+T105</f>
        <v>0</v>
      </c>
      <c r="U106" s="89">
        <f t="array" ref="U106">U98+U99+U100+U101+U102+U103+U104+U105</f>
        <v>0</v>
      </c>
      <c r="V106" s="44">
        <f t="array" ref="V106">V98+V99+V100+V101+V102+V103+V104+V105</f>
        <v>0</v>
      </c>
      <c r="X106" s="88" t="s">
        <v>57</v>
      </c>
      <c r="Y106" s="41">
        <f t="array" ref="Y106">Y98+Y99+Y100+Y101+Y102+Y103+Y104+Y105</f>
        <v>0</v>
      </c>
      <c r="Z106" s="42">
        <f t="array" ref="Z106">Z98+Z99+Z100+Z101+Z102+Z103+Z104+Z105</f>
        <v>0</v>
      </c>
      <c r="AA106" s="43">
        <f t="array" ref="AA106">AA98+AA99+AA100+AA101+AA102+AA103+AA104+AA105</f>
        <v>0</v>
      </c>
      <c r="AB106" s="89">
        <f t="array" ref="AB106">AB98+AB99+AB100+AB101+AB102+AB103+AB104+AB105</f>
        <v>0</v>
      </c>
      <c r="AC106" s="44">
        <f t="array" ref="AC106">AC98+AC99+AC100+AC101+AC102+AC103+AC104+AC105</f>
        <v>0</v>
      </c>
      <c r="AE106" s="88" t="s">
        <v>57</v>
      </c>
      <c r="AF106" s="41">
        <f t="array" ref="AF106">AF98+AF99+AF100+AF101+AF102+AF103+AF104+AF105</f>
        <v>0</v>
      </c>
      <c r="AG106" s="42">
        <f t="array" ref="AG106">AG98+AG99+AG100+AG101+AG102+AG103+AG104+AG105</f>
        <v>0</v>
      </c>
      <c r="AH106" s="43">
        <f t="array" ref="AH106">AH98+AH99+AH100+AH101+AH102+AH103+AH104+AH105</f>
        <v>0</v>
      </c>
      <c r="AI106" s="89">
        <f t="array" ref="AI106">AI98+AI99+AI100+AI101+AI102+AI103+AI104+AI105</f>
        <v>0</v>
      </c>
      <c r="AJ106" s="44">
        <f t="array" ref="AJ106">AJ98+AJ99+AJ100+AJ101+AJ102+AJ103+AJ104+AJ105</f>
        <v>0</v>
      </c>
    </row>
    <row r="107">
      <c r="A107" s="55"/>
      <c r="B107" s="55"/>
      <c r="C107" s="90" t="s">
        <v>58</v>
      </c>
      <c r="D107" s="91">
        <f t="shared" ref="D107:H107" si="148">D106/6</f>
        <v>0</v>
      </c>
      <c r="E107" s="92">
        <f t="shared" si="148"/>
        <v>0</v>
      </c>
      <c r="F107" s="93">
        <f t="shared" si="148"/>
        <v>0</v>
      </c>
      <c r="G107" s="89">
        <f t="shared" si="148"/>
        <v>0</v>
      </c>
      <c r="H107" s="94">
        <f t="shared" si="148"/>
        <v>0</v>
      </c>
      <c r="I107" s="55"/>
      <c r="J107" s="90" t="s">
        <v>58</v>
      </c>
      <c r="K107" s="91">
        <f t="shared" ref="K107:O107" si="149">K106/6</f>
        <v>0</v>
      </c>
      <c r="L107" s="92">
        <f t="shared" si="149"/>
        <v>0</v>
      </c>
      <c r="M107" s="93">
        <f t="shared" si="149"/>
        <v>0</v>
      </c>
      <c r="N107" s="89">
        <f t="shared" si="149"/>
        <v>0</v>
      </c>
      <c r="O107" s="94">
        <f t="shared" si="149"/>
        <v>0</v>
      </c>
      <c r="P107" s="55"/>
      <c r="Q107" s="90" t="s">
        <v>58</v>
      </c>
      <c r="R107" s="91">
        <f t="shared" ref="R107:V107" si="150">R106/6</f>
        <v>0</v>
      </c>
      <c r="S107" s="92">
        <f t="shared" si="150"/>
        <v>0</v>
      </c>
      <c r="T107" s="93">
        <f t="shared" si="150"/>
        <v>0</v>
      </c>
      <c r="U107" s="89">
        <f t="shared" si="150"/>
        <v>0</v>
      </c>
      <c r="V107" s="94">
        <f t="shared" si="150"/>
        <v>0</v>
      </c>
      <c r="W107" s="55"/>
      <c r="X107" s="90" t="s">
        <v>58</v>
      </c>
      <c r="Y107" s="91">
        <f t="shared" ref="Y107:AC107" si="151">Y106/6</f>
        <v>0</v>
      </c>
      <c r="Z107" s="92">
        <f t="shared" si="151"/>
        <v>0</v>
      </c>
      <c r="AA107" s="93">
        <f t="shared" si="151"/>
        <v>0</v>
      </c>
      <c r="AB107" s="89">
        <f t="shared" si="151"/>
        <v>0</v>
      </c>
      <c r="AC107" s="94">
        <f t="shared" si="151"/>
        <v>0</v>
      </c>
      <c r="AD107" s="55"/>
      <c r="AE107" s="90" t="s">
        <v>58</v>
      </c>
      <c r="AF107" s="91">
        <f t="shared" ref="AF107:AJ107" si="152">AF106/6</f>
        <v>0</v>
      </c>
      <c r="AG107" s="92">
        <f t="shared" si="152"/>
        <v>0</v>
      </c>
      <c r="AH107" s="93">
        <f t="shared" si="152"/>
        <v>0</v>
      </c>
      <c r="AI107" s="89">
        <f t="shared" si="152"/>
        <v>0</v>
      </c>
      <c r="AJ107" s="94">
        <f t="shared" si="152"/>
        <v>0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L124" s="96">
        <v>45869.0</v>
      </c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Q126" s="78" t="s">
        <v>271</v>
      </c>
      <c r="V126" s="55"/>
      <c r="AC126" s="55"/>
      <c r="AJ126" s="55"/>
    </row>
    <row r="127">
      <c r="C127" s="9" t="s">
        <v>10</v>
      </c>
      <c r="D127" s="100">
        <f t="shared" ref="D127:H127" si="153">D98+K98+R98+Y98+AF98</f>
        <v>0</v>
      </c>
      <c r="E127" s="101">
        <f t="shared" si="153"/>
        <v>0</v>
      </c>
      <c r="F127" s="102">
        <f t="shared" si="153"/>
        <v>0</v>
      </c>
      <c r="G127" s="86">
        <f t="shared" si="153"/>
        <v>0</v>
      </c>
      <c r="H127" s="103">
        <f t="shared" si="153"/>
        <v>0</v>
      </c>
      <c r="I127" s="104" t="s">
        <v>71</v>
      </c>
      <c r="J127" s="105">
        <f t="shared" ref="J127:J134" si="155">D98+K98+R98+Y98+AF98</f>
        <v>0</v>
      </c>
      <c r="K127" s="105">
        <v>8929.35</v>
      </c>
      <c r="L127" s="106"/>
      <c r="M127" s="107">
        <f t="shared" ref="M127:M134" si="156">J127/27</f>
        <v>0</v>
      </c>
      <c r="N127" s="107">
        <f t="shared" ref="N127:N134" si="157">(M127*0)+J127</f>
        <v>0</v>
      </c>
      <c r="O127" s="55"/>
      <c r="Q127" s="245">
        <f t="shared" ref="Q127:Q128" si="158">N127-K127</f>
        <v>-8929.35</v>
      </c>
      <c r="V127" s="55"/>
      <c r="AC127" s="55"/>
      <c r="AJ127" s="55"/>
    </row>
    <row r="128">
      <c r="C128" s="9" t="s">
        <v>12</v>
      </c>
      <c r="D128" s="100">
        <f t="shared" ref="D128:H128" si="154">D99+K99+R99+Y99+AF99</f>
        <v>0</v>
      </c>
      <c r="E128" s="101">
        <f t="shared" si="154"/>
        <v>0</v>
      </c>
      <c r="F128" s="102">
        <f t="shared" si="154"/>
        <v>0</v>
      </c>
      <c r="G128" s="86">
        <f t="shared" si="154"/>
        <v>0</v>
      </c>
      <c r="H128" s="103">
        <f t="shared" si="154"/>
        <v>0</v>
      </c>
      <c r="I128" s="104" t="s">
        <v>72</v>
      </c>
      <c r="J128" s="105">
        <f t="shared" si="155"/>
        <v>0</v>
      </c>
      <c r="K128" s="105">
        <v>10819.02</v>
      </c>
      <c r="L128" s="9"/>
      <c r="M128" s="107">
        <f t="shared" si="156"/>
        <v>0</v>
      </c>
      <c r="N128" s="107">
        <f t="shared" si="157"/>
        <v>0</v>
      </c>
      <c r="O128" s="55"/>
      <c r="Q128" s="245">
        <f t="shared" si="158"/>
        <v>-10819.02</v>
      </c>
      <c r="V128" s="55"/>
      <c r="AC128" s="55"/>
      <c r="AJ128" s="55"/>
    </row>
    <row r="129">
      <c r="C129" s="9" t="s">
        <v>14</v>
      </c>
      <c r="D129" s="100">
        <f t="shared" ref="D129:H129" si="159">D100+K100+R100+Y100+AF100</f>
        <v>0</v>
      </c>
      <c r="E129" s="101">
        <f t="shared" si="159"/>
        <v>0</v>
      </c>
      <c r="F129" s="102">
        <f t="shared" si="159"/>
        <v>0</v>
      </c>
      <c r="G129" s="86">
        <f t="shared" si="159"/>
        <v>0</v>
      </c>
      <c r="H129" s="103">
        <f t="shared" si="159"/>
        <v>0</v>
      </c>
      <c r="I129" s="104" t="s">
        <v>277</v>
      </c>
      <c r="J129" s="105">
        <f t="shared" si="155"/>
        <v>0</v>
      </c>
      <c r="K129" s="105">
        <v>3703.07</v>
      </c>
      <c r="L129" s="9"/>
      <c r="M129" s="107">
        <f t="shared" si="156"/>
        <v>0</v>
      </c>
      <c r="N129" s="107">
        <f t="shared" si="157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60">D101+K101+R101+Y101+AF101</f>
        <v>0</v>
      </c>
      <c r="E130" s="101">
        <f t="shared" si="160"/>
        <v>0</v>
      </c>
      <c r="F130" s="102">
        <f t="shared" si="160"/>
        <v>0</v>
      </c>
      <c r="G130" s="86">
        <f t="shared" si="160"/>
        <v>0</v>
      </c>
      <c r="H130" s="103">
        <f t="shared" si="160"/>
        <v>0</v>
      </c>
      <c r="I130" s="104" t="s">
        <v>74</v>
      </c>
      <c r="J130" s="105">
        <f t="shared" si="155"/>
        <v>0</v>
      </c>
      <c r="K130" s="105">
        <v>26608.07</v>
      </c>
      <c r="L130" s="106"/>
      <c r="M130" s="107">
        <f t="shared" si="156"/>
        <v>0</v>
      </c>
      <c r="N130" s="107">
        <f t="shared" si="157"/>
        <v>0</v>
      </c>
      <c r="O130" s="55"/>
      <c r="Q130" s="245">
        <f>N130-K130</f>
        <v>-26608.07</v>
      </c>
      <c r="V130" s="55"/>
      <c r="AC130" s="55"/>
      <c r="AJ130" s="55"/>
    </row>
    <row r="131">
      <c r="C131" s="9" t="s">
        <v>17</v>
      </c>
      <c r="D131" s="100">
        <f t="shared" ref="D131:H131" si="161">D102+K102+R102+Y102+AF102</f>
        <v>0</v>
      </c>
      <c r="E131" s="101">
        <f t="shared" si="161"/>
        <v>0</v>
      </c>
      <c r="F131" s="102">
        <f t="shared" si="161"/>
        <v>0</v>
      </c>
      <c r="G131" s="86">
        <f t="shared" si="161"/>
        <v>0</v>
      </c>
      <c r="H131" s="103">
        <f t="shared" si="161"/>
        <v>0</v>
      </c>
      <c r="I131" s="104" t="s">
        <v>75</v>
      </c>
      <c r="J131" s="105">
        <f t="shared" si="155"/>
        <v>0</v>
      </c>
      <c r="K131" s="105">
        <v>11394.7</v>
      </c>
      <c r="L131" s="9"/>
      <c r="M131" s="107">
        <f t="shared" si="156"/>
        <v>0</v>
      </c>
      <c r="N131" s="107">
        <f t="shared" si="157"/>
        <v>0</v>
      </c>
      <c r="O131" s="55"/>
      <c r="Q131" s="245">
        <f>N131-K131-K129</f>
        <v>-15097.77</v>
      </c>
      <c r="V131" s="55"/>
      <c r="AC131" s="55"/>
      <c r="AJ131" s="55"/>
    </row>
    <row r="132">
      <c r="C132" s="9" t="s">
        <v>18</v>
      </c>
      <c r="D132" s="13">
        <f t="shared" ref="D132:H132" si="162">D103+K103+R103+Y103+AF103</f>
        <v>0</v>
      </c>
      <c r="E132" s="21">
        <f t="shared" si="162"/>
        <v>0</v>
      </c>
      <c r="F132" s="17">
        <f t="shared" si="162"/>
        <v>0</v>
      </c>
      <c r="G132" s="16">
        <f t="shared" si="162"/>
        <v>0</v>
      </c>
      <c r="H132" s="109">
        <f t="shared" si="162"/>
        <v>0</v>
      </c>
      <c r="I132" s="104" t="s">
        <v>76</v>
      </c>
      <c r="J132" s="105">
        <f t="shared" si="155"/>
        <v>0</v>
      </c>
      <c r="K132" s="105">
        <v>12360.59</v>
      </c>
      <c r="L132" s="9"/>
      <c r="M132" s="107">
        <f t="shared" si="156"/>
        <v>0</v>
      </c>
      <c r="N132" s="107">
        <f t="shared" si="157"/>
        <v>0</v>
      </c>
      <c r="O132" s="55"/>
      <c r="Q132" s="245">
        <f t="shared" ref="Q132:Q134" si="164">N132-K132</f>
        <v>-12360.59</v>
      </c>
      <c r="V132" s="55"/>
      <c r="AC132" s="55"/>
      <c r="AJ132" s="55"/>
    </row>
    <row r="133">
      <c r="C133" s="9" t="s">
        <v>19</v>
      </c>
      <c r="D133" s="100">
        <f t="shared" ref="D133:H133" si="163">D104+K104+R104+Y104+AF104</f>
        <v>0</v>
      </c>
      <c r="E133" s="101">
        <f t="shared" si="163"/>
        <v>0</v>
      </c>
      <c r="F133" s="102">
        <f t="shared" si="163"/>
        <v>0</v>
      </c>
      <c r="G133" s="86">
        <f t="shared" si="163"/>
        <v>0</v>
      </c>
      <c r="H133" s="103">
        <f t="shared" si="163"/>
        <v>0</v>
      </c>
      <c r="I133" s="104" t="s">
        <v>77</v>
      </c>
      <c r="J133" s="105">
        <f t="shared" si="155"/>
        <v>0</v>
      </c>
      <c r="K133" s="105">
        <v>9949.79</v>
      </c>
      <c r="L133" s="106"/>
      <c r="M133" s="107">
        <f t="shared" si="156"/>
        <v>0</v>
      </c>
      <c r="N133" s="107">
        <f t="shared" si="157"/>
        <v>0</v>
      </c>
      <c r="O133" s="55"/>
      <c r="Q133" s="245">
        <f t="shared" si="164"/>
        <v>-9949.79</v>
      </c>
      <c r="V133" s="55"/>
      <c r="AC133" s="55"/>
      <c r="AJ133" s="55"/>
    </row>
    <row r="134">
      <c r="C134" s="26" t="s">
        <v>22</v>
      </c>
      <c r="D134" s="100">
        <f t="shared" ref="D134:H134" si="165">D105+K105+R105+Y105+AF105</f>
        <v>0</v>
      </c>
      <c r="E134" s="101">
        <f t="shared" si="165"/>
        <v>0</v>
      </c>
      <c r="F134" s="102">
        <f t="shared" si="165"/>
        <v>0</v>
      </c>
      <c r="G134" s="86">
        <f t="shared" si="165"/>
        <v>0</v>
      </c>
      <c r="H134" s="103">
        <f t="shared" si="165"/>
        <v>0</v>
      </c>
      <c r="I134" s="104" t="s">
        <v>78</v>
      </c>
      <c r="J134" s="105">
        <f t="shared" si="155"/>
        <v>0</v>
      </c>
      <c r="K134" s="105">
        <v>19139.51</v>
      </c>
      <c r="L134" s="106"/>
      <c r="M134" s="107">
        <f t="shared" si="156"/>
        <v>0</v>
      </c>
      <c r="N134" s="107">
        <f t="shared" si="157"/>
        <v>0</v>
      </c>
      <c r="O134" s="55"/>
      <c r="Q134" s="245">
        <f t="shared" si="164"/>
        <v>-19139.51</v>
      </c>
      <c r="V134" s="55"/>
      <c r="AC134" s="55"/>
      <c r="AJ134" s="55"/>
    </row>
    <row r="135">
      <c r="C135" s="78"/>
      <c r="I135" s="104" t="s">
        <v>79</v>
      </c>
      <c r="J135" s="105"/>
      <c r="K135" s="105">
        <v>38084.92</v>
      </c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>
        <v>17930.56</v>
      </c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>
        <v>25289.32</v>
      </c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>
        <v>12930.61</v>
      </c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0</v>
      </c>
      <c r="K139" s="112">
        <f>SUM(K127+K128+K129+K130+K131+K132+K133+K134+K135+K136+K137+K138)</f>
        <v>197139.51</v>
      </c>
      <c r="L139" s="113"/>
      <c r="M139" s="112">
        <f t="shared" ref="M139:N139" si="166">SUM(M127+M128+M129+M130+M131+M132+M133+M134)</f>
        <v>0</v>
      </c>
      <c r="N139" s="112">
        <f t="shared" si="166"/>
        <v>0</v>
      </c>
      <c r="O139" s="55"/>
      <c r="Q139" s="245">
        <f>Q127+Q128+Q130+Q131+Q132+Q133+Q134</f>
        <v>-102904.1</v>
      </c>
      <c r="R139" s="78" t="s">
        <v>278</v>
      </c>
      <c r="V139" s="55"/>
      <c r="AC139" s="55"/>
      <c r="AJ139" s="55"/>
    </row>
    <row r="140">
      <c r="K140" s="313">
        <v>45861.0</v>
      </c>
      <c r="O140" s="55"/>
      <c r="Q140" s="245">
        <f>K135+K136+K137+K138</f>
        <v>94235.41</v>
      </c>
      <c r="R140" s="78" t="s">
        <v>279</v>
      </c>
      <c r="V140" s="55"/>
      <c r="AC140" s="55"/>
      <c r="AJ140" s="55"/>
    </row>
    <row r="141">
      <c r="O141" s="55"/>
      <c r="Q141" s="245">
        <f>Q139-Q140</f>
        <v>-197139.51</v>
      </c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-197139.51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0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0</v>
      </c>
      <c r="E144" s="47"/>
      <c r="F144" s="47"/>
      <c r="G144" s="47"/>
      <c r="H144" s="48"/>
      <c r="L144" s="97" t="s">
        <v>87</v>
      </c>
      <c r="M144" s="114">
        <f>J139+(M139*0)</f>
        <v>0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0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0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0</v>
      </c>
      <c r="E147" s="47"/>
      <c r="F147" s="47"/>
      <c r="G147" s="47"/>
      <c r="H147" s="48"/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0</v>
      </c>
      <c r="E148" s="47"/>
      <c r="F148" s="47"/>
      <c r="G148" s="47"/>
      <c r="H148" s="48"/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0</v>
      </c>
      <c r="E151" s="47"/>
      <c r="F151" s="47"/>
      <c r="G151" s="47"/>
      <c r="H151" s="48"/>
      <c r="O151" s="55"/>
      <c r="V151" s="55"/>
      <c r="AC151" s="55"/>
      <c r="AJ151" s="55"/>
    </row>
    <row r="152"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0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0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0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D143:G143/27</f>
        <v>0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29"/>
      <c r="Q203" s="9" t="s">
        <v>10</v>
      </c>
      <c r="R203" s="120"/>
      <c r="S203" s="49"/>
      <c r="T203" s="49"/>
      <c r="U203" s="49"/>
      <c r="V203" s="51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9">
        <v>202.0</v>
      </c>
      <c r="R204" s="122"/>
      <c r="S204" s="49"/>
      <c r="T204" s="49"/>
      <c r="U204" s="49"/>
      <c r="V204" s="51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9">
        <v>213.0</v>
      </c>
      <c r="R205" s="122"/>
      <c r="S205" s="49"/>
      <c r="T205" s="49"/>
      <c r="U205" s="49"/>
      <c r="V205" s="51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9">
        <v>307.0</v>
      </c>
      <c r="R206" s="122"/>
      <c r="S206" s="49"/>
      <c r="T206" s="49"/>
      <c r="U206" s="49"/>
      <c r="V206" s="51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9">
        <v>313.0</v>
      </c>
      <c r="R207" s="122"/>
      <c r="S207" s="49"/>
      <c r="T207" s="49"/>
      <c r="U207" s="49"/>
      <c r="V207" s="51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9" t="s">
        <v>19</v>
      </c>
      <c r="R208" s="122"/>
      <c r="S208" s="49"/>
      <c r="T208" s="49"/>
      <c r="U208" s="49"/>
      <c r="V208" s="51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9" t="s">
        <v>22</v>
      </c>
      <c r="R209" s="123"/>
      <c r="S209" s="48"/>
      <c r="T209" s="120"/>
      <c r="U209" s="49"/>
      <c r="V209" s="51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0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0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4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R209:S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2" t="s">
        <v>1</v>
      </c>
      <c r="Y1" s="4" t="s">
        <v>7</v>
      </c>
      <c r="Z1" s="2" t="s">
        <v>3</v>
      </c>
      <c r="AA1" s="2" t="s">
        <v>4</v>
      </c>
      <c r="AB1" s="2" t="s">
        <v>5</v>
      </c>
      <c r="AC1" s="5" t="s">
        <v>6</v>
      </c>
      <c r="AD1" s="2" t="s">
        <v>0</v>
      </c>
      <c r="AE1" s="2" t="s">
        <v>1</v>
      </c>
      <c r="AF1" s="4" t="s">
        <v>7</v>
      </c>
      <c r="AG1" s="2" t="s">
        <v>3</v>
      </c>
      <c r="AH1" s="2" t="s">
        <v>4</v>
      </c>
      <c r="AI1" s="2" t="s">
        <v>5</v>
      </c>
      <c r="AJ1" s="5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/>
      <c r="C2" s="9" t="s">
        <v>10</v>
      </c>
      <c r="D2" s="10"/>
      <c r="E2" s="10"/>
      <c r="F2" s="10"/>
      <c r="G2" s="10"/>
      <c r="H2" s="11"/>
      <c r="I2" s="12">
        <v>45873.0</v>
      </c>
      <c r="J2" s="9" t="s">
        <v>10</v>
      </c>
      <c r="K2" s="10"/>
      <c r="L2" s="10"/>
      <c r="M2" s="10"/>
      <c r="N2" s="10"/>
      <c r="O2" s="11"/>
      <c r="P2" s="12">
        <v>45880.0</v>
      </c>
      <c r="Q2" s="9" t="s">
        <v>10</v>
      </c>
      <c r="R2" s="10"/>
      <c r="S2" s="10"/>
      <c r="T2" s="10"/>
      <c r="U2" s="10"/>
      <c r="V2" s="11"/>
      <c r="W2" s="8">
        <v>45887.0</v>
      </c>
      <c r="X2" s="9" t="s">
        <v>10</v>
      </c>
      <c r="Y2" s="10"/>
      <c r="Z2" s="10"/>
      <c r="AA2" s="10"/>
      <c r="AB2" s="10"/>
      <c r="AC2" s="11"/>
      <c r="AD2" s="8">
        <v>45894.0</v>
      </c>
      <c r="AE2" s="9" t="s">
        <v>10</v>
      </c>
      <c r="AF2" s="10"/>
      <c r="AG2" s="10"/>
      <c r="AH2" s="10"/>
      <c r="AI2" s="10"/>
      <c r="AJ2" s="11"/>
      <c r="AL2" s="18" t="s">
        <v>11</v>
      </c>
      <c r="AM2" s="9" t="s">
        <v>10</v>
      </c>
      <c r="AN2" s="10">
        <f t="shared" ref="AN2:AP2" si="1">D2+K2+R2+Y2+AF2</f>
        <v>0</v>
      </c>
      <c r="AO2" s="10">
        <f t="shared" si="1"/>
        <v>0</v>
      </c>
      <c r="AP2" s="10">
        <f t="shared" si="1"/>
        <v>0</v>
      </c>
      <c r="AQ2" s="11">
        <f t="shared" ref="AQ2:AQ9" si="3">H2+O2+V2+AC2+AJ2</f>
        <v>0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9" t="s">
        <v>12</v>
      </c>
      <c r="K3" s="10"/>
      <c r="L3" s="10"/>
      <c r="M3" s="10"/>
      <c r="N3" s="10"/>
      <c r="O3" s="11"/>
      <c r="P3" s="19"/>
      <c r="Q3" s="9" t="s">
        <v>12</v>
      </c>
      <c r="R3" s="10"/>
      <c r="S3" s="10"/>
      <c r="T3" s="10"/>
      <c r="U3" s="10"/>
      <c r="V3" s="11"/>
      <c r="W3" s="19"/>
      <c r="X3" s="9" t="s">
        <v>12</v>
      </c>
      <c r="Y3" s="10"/>
      <c r="Z3" s="10"/>
      <c r="AA3" s="10"/>
      <c r="AB3" s="10"/>
      <c r="AC3" s="11"/>
      <c r="AD3" s="19"/>
      <c r="AE3" s="9" t="s">
        <v>12</v>
      </c>
      <c r="AF3" s="10"/>
      <c r="AG3" s="10"/>
      <c r="AH3" s="10"/>
      <c r="AI3" s="10"/>
      <c r="AJ3" s="11"/>
      <c r="AL3" s="19"/>
      <c r="AM3" s="9" t="s">
        <v>12</v>
      </c>
      <c r="AN3" s="10">
        <f t="shared" ref="AN3:AP3" si="2">D3+K3+R3+Y3+AF3</f>
        <v>0</v>
      </c>
      <c r="AO3" s="10">
        <f t="shared" si="2"/>
        <v>0</v>
      </c>
      <c r="AP3" s="10">
        <f t="shared" si="2"/>
        <v>0</v>
      </c>
      <c r="AQ3" s="11">
        <f t="shared" si="3"/>
        <v>0</v>
      </c>
    </row>
    <row r="4">
      <c r="B4" s="19"/>
      <c r="C4" s="9" t="s">
        <v>14</v>
      </c>
      <c r="D4" s="10"/>
      <c r="E4" s="10"/>
      <c r="F4" s="10"/>
      <c r="G4" s="10"/>
      <c r="H4" s="11"/>
      <c r="I4" s="19"/>
      <c r="J4" s="9" t="s">
        <v>276</v>
      </c>
      <c r="K4" s="291"/>
      <c r="L4" s="10"/>
      <c r="M4" s="10"/>
      <c r="N4" s="10"/>
      <c r="O4" s="11"/>
      <c r="P4" s="19"/>
      <c r="Q4" s="9" t="s">
        <v>276</v>
      </c>
      <c r="R4" s="291"/>
      <c r="S4" s="10"/>
      <c r="T4" s="10"/>
      <c r="U4" s="10"/>
      <c r="V4" s="11"/>
      <c r="W4" s="19"/>
      <c r="X4" s="9" t="s">
        <v>276</v>
      </c>
      <c r="Y4" s="10"/>
      <c r="Z4" s="10"/>
      <c r="AA4" s="10"/>
      <c r="AB4" s="10"/>
      <c r="AC4" s="11"/>
      <c r="AD4" s="19"/>
      <c r="AE4" s="9" t="s">
        <v>276</v>
      </c>
      <c r="AF4" s="10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10"/>
      <c r="H5" s="11"/>
      <c r="I5" s="19"/>
      <c r="J5" s="9" t="s">
        <v>16</v>
      </c>
      <c r="K5" s="10"/>
      <c r="L5" s="10"/>
      <c r="M5" s="10"/>
      <c r="N5" s="10"/>
      <c r="O5" s="11"/>
      <c r="P5" s="19"/>
      <c r="Q5" s="9" t="s">
        <v>16</v>
      </c>
      <c r="R5" s="10"/>
      <c r="S5" s="10"/>
      <c r="T5" s="10"/>
      <c r="U5" s="10"/>
      <c r="V5" s="163"/>
      <c r="W5" s="19"/>
      <c r="X5" s="9" t="s">
        <v>16</v>
      </c>
      <c r="Y5" s="10"/>
      <c r="Z5" s="10"/>
      <c r="AA5" s="10"/>
      <c r="AB5" s="10"/>
      <c r="AC5" s="163"/>
      <c r="AD5" s="19"/>
      <c r="AE5" s="9" t="s">
        <v>16</v>
      </c>
      <c r="AF5" s="10"/>
      <c r="AG5" s="10"/>
      <c r="AH5" s="10"/>
      <c r="AI5" s="10"/>
      <c r="AJ5" s="11"/>
      <c r="AL5" s="19"/>
      <c r="AM5" s="9" t="s">
        <v>16</v>
      </c>
      <c r="AN5" s="10">
        <f t="shared" ref="AN5:AP5" si="5">D5+K5+R5+Y5+AF5</f>
        <v>0</v>
      </c>
      <c r="AO5" s="10">
        <f t="shared" si="5"/>
        <v>0</v>
      </c>
      <c r="AP5" s="10">
        <f t="shared" si="5"/>
        <v>0</v>
      </c>
      <c r="AQ5" s="11">
        <f t="shared" si="3"/>
        <v>0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10"/>
      <c r="L6" s="10"/>
      <c r="M6" s="10"/>
      <c r="N6" s="10"/>
      <c r="O6" s="11"/>
      <c r="P6" s="19"/>
      <c r="Q6" s="9" t="s">
        <v>17</v>
      </c>
      <c r="R6" s="10"/>
      <c r="S6" s="10"/>
      <c r="T6" s="10"/>
      <c r="U6" s="10"/>
      <c r="V6" s="11"/>
      <c r="W6" s="19"/>
      <c r="X6" s="9" t="s">
        <v>17</v>
      </c>
      <c r="Y6" s="10"/>
      <c r="Z6" s="10"/>
      <c r="AA6" s="10"/>
      <c r="AB6" s="10"/>
      <c r="AC6" s="11"/>
      <c r="AD6" s="19"/>
      <c r="AE6" s="9" t="s">
        <v>17</v>
      </c>
      <c r="AF6" s="10"/>
      <c r="AG6" s="10"/>
      <c r="AH6" s="10"/>
      <c r="AI6" s="10"/>
      <c r="AJ6" s="11"/>
      <c r="AL6" s="19"/>
      <c r="AM6" s="9" t="s">
        <v>17</v>
      </c>
      <c r="AN6" s="10">
        <f t="shared" ref="AN6:AP6" si="6">D6+K6+R6+Y6+AF6</f>
        <v>0</v>
      </c>
      <c r="AO6" s="10">
        <f t="shared" si="6"/>
        <v>0</v>
      </c>
      <c r="AP6" s="10">
        <f t="shared" si="6"/>
        <v>0</v>
      </c>
      <c r="AQ6" s="11">
        <f t="shared" si="3"/>
        <v>0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9" t="s">
        <v>18</v>
      </c>
      <c r="K7" s="10"/>
      <c r="L7" s="10"/>
      <c r="M7" s="10"/>
      <c r="N7" s="10"/>
      <c r="O7" s="11"/>
      <c r="P7" s="19"/>
      <c r="Q7" s="9" t="s">
        <v>18</v>
      </c>
      <c r="R7" s="10"/>
      <c r="S7" s="10"/>
      <c r="T7" s="10"/>
      <c r="U7" s="10"/>
      <c r="V7" s="11"/>
      <c r="W7" s="19"/>
      <c r="X7" s="9" t="s">
        <v>18</v>
      </c>
      <c r="Y7" s="10"/>
      <c r="Z7" s="10"/>
      <c r="AA7" s="10"/>
      <c r="AB7" s="10"/>
      <c r="AC7" s="11"/>
      <c r="AD7" s="19"/>
      <c r="AE7" s="9" t="s">
        <v>18</v>
      </c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0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9" t="s">
        <v>20</v>
      </c>
      <c r="K8" s="10"/>
      <c r="L8" s="10"/>
      <c r="M8" s="10"/>
      <c r="N8" s="10"/>
      <c r="O8" s="11"/>
      <c r="P8" s="19"/>
      <c r="Q8" s="9" t="s">
        <v>19</v>
      </c>
      <c r="R8" s="10"/>
      <c r="S8" s="10"/>
      <c r="T8" s="10"/>
      <c r="U8" s="10"/>
      <c r="V8" s="11"/>
      <c r="W8" s="19"/>
      <c r="X8" s="9" t="s">
        <v>19</v>
      </c>
      <c r="Y8" s="10"/>
      <c r="Z8" s="10"/>
      <c r="AA8" s="10"/>
      <c r="AB8" s="10"/>
      <c r="AC8" s="11"/>
      <c r="AD8" s="19"/>
      <c r="AE8" s="9" t="s">
        <v>19</v>
      </c>
      <c r="AF8" s="10"/>
      <c r="AG8" s="10"/>
      <c r="AH8" s="10"/>
      <c r="AI8" s="10"/>
      <c r="AJ8" s="11"/>
      <c r="AL8" s="19"/>
      <c r="AM8" s="9" t="s">
        <v>19</v>
      </c>
      <c r="AN8" s="10">
        <f t="shared" ref="AN8:AP8" si="8">D8+K8+R8+Y8+AF8</f>
        <v>0</v>
      </c>
      <c r="AO8" s="10">
        <f t="shared" si="8"/>
        <v>0</v>
      </c>
      <c r="AP8" s="10">
        <f t="shared" si="8"/>
        <v>0</v>
      </c>
      <c r="AQ8" s="11">
        <f t="shared" si="3"/>
        <v>0</v>
      </c>
    </row>
    <row r="9">
      <c r="B9" s="19"/>
      <c r="C9" s="26" t="s">
        <v>21</v>
      </c>
      <c r="D9" s="10"/>
      <c r="E9" s="10"/>
      <c r="F9" s="10"/>
      <c r="G9" s="10"/>
      <c r="H9" s="11"/>
      <c r="I9" s="19"/>
      <c r="J9" s="26" t="s">
        <v>22</v>
      </c>
      <c r="K9" s="10"/>
      <c r="L9" s="10"/>
      <c r="M9" s="10"/>
      <c r="N9" s="10"/>
      <c r="O9" s="11"/>
      <c r="P9" s="19"/>
      <c r="Q9" s="26" t="s">
        <v>21</v>
      </c>
      <c r="R9" s="10"/>
      <c r="S9" s="10"/>
      <c r="T9" s="10"/>
      <c r="U9" s="310"/>
      <c r="V9" s="11"/>
      <c r="W9" s="19"/>
      <c r="X9" s="26" t="s">
        <v>21</v>
      </c>
      <c r="Y9" s="10"/>
      <c r="Z9" s="10"/>
      <c r="AA9" s="10"/>
      <c r="AB9" s="310"/>
      <c r="AC9" s="11"/>
      <c r="AD9" s="19"/>
      <c r="AE9" s="26" t="s">
        <v>21</v>
      </c>
      <c r="AF9" s="10"/>
      <c r="AG9" s="10"/>
      <c r="AH9" s="10"/>
      <c r="AI9" s="310"/>
      <c r="AJ9" s="11"/>
      <c r="AL9" s="19"/>
      <c r="AM9" s="26" t="s">
        <v>21</v>
      </c>
      <c r="AN9" s="10">
        <f t="shared" ref="AN9:AP9" si="9">D9+K9+R9+Y9+AF9</f>
        <v>0</v>
      </c>
      <c r="AO9" s="10">
        <f t="shared" si="9"/>
        <v>0</v>
      </c>
      <c r="AP9" s="10">
        <f t="shared" si="9"/>
        <v>0</v>
      </c>
      <c r="AQ9" s="11">
        <f t="shared" si="3"/>
        <v>0</v>
      </c>
    </row>
    <row r="10">
      <c r="B10" s="19"/>
      <c r="C10" s="28" t="s">
        <v>23</v>
      </c>
      <c r="D10" s="29">
        <f t="shared" ref="D10:H10" si="10">D2+D3+D4+D5+D6+D7+D8+D9</f>
        <v>0</v>
      </c>
      <c r="E10" s="30">
        <f t="shared" si="10"/>
        <v>0</v>
      </c>
      <c r="F10" s="31">
        <f t="shared" si="10"/>
        <v>0</v>
      </c>
      <c r="G10" s="32">
        <f t="shared" si="10"/>
        <v>0</v>
      </c>
      <c r="H10" s="294">
        <f t="shared" si="10"/>
        <v>0</v>
      </c>
      <c r="I10" s="19"/>
      <c r="J10" s="28" t="s">
        <v>23</v>
      </c>
      <c r="K10" s="61">
        <f t="shared" ref="K10:O10" si="11">K2+K3+K4+K5+K6+K7+K8+K9</f>
        <v>0</v>
      </c>
      <c r="L10" s="37">
        <f t="shared" si="11"/>
        <v>0</v>
      </c>
      <c r="M10" s="31">
        <f t="shared" si="11"/>
        <v>0</v>
      </c>
      <c r="N10" s="40">
        <f t="shared" si="11"/>
        <v>0</v>
      </c>
      <c r="O10" s="33">
        <f t="shared" si="11"/>
        <v>0</v>
      </c>
      <c r="P10" s="19"/>
      <c r="Q10" s="28" t="s">
        <v>23</v>
      </c>
      <c r="R10" s="61">
        <f t="shared" ref="R10:V10" si="12">R2+R3+R4+R5+R6+R7+R8+R9</f>
        <v>0</v>
      </c>
      <c r="S10" s="35">
        <f t="shared" si="12"/>
        <v>0</v>
      </c>
      <c r="T10" s="36">
        <f t="shared" si="12"/>
        <v>0</v>
      </c>
      <c r="U10" s="40">
        <f t="shared" si="12"/>
        <v>0</v>
      </c>
      <c r="V10" s="33">
        <f t="shared" si="12"/>
        <v>0</v>
      </c>
      <c r="W10" s="19"/>
      <c r="X10" s="28" t="s">
        <v>23</v>
      </c>
      <c r="Y10" s="61">
        <f t="shared" ref="Y10:AC10" si="13">Y2+Y3+Y4+Y5+Y6+Y7+Y8+Y9</f>
        <v>0</v>
      </c>
      <c r="Z10" s="35">
        <f t="shared" si="13"/>
        <v>0</v>
      </c>
      <c r="AA10" s="36">
        <f t="shared" si="13"/>
        <v>0</v>
      </c>
      <c r="AB10" s="37">
        <f t="shared" si="13"/>
        <v>0</v>
      </c>
      <c r="AC10" s="33">
        <f t="shared" si="13"/>
        <v>0</v>
      </c>
      <c r="AD10" s="19"/>
      <c r="AE10" s="28" t="s">
        <v>23</v>
      </c>
      <c r="AF10" s="61">
        <f t="shared" ref="AF10:AJ10" si="14">AF2+AF3+AF4+AF5+AF6+AF7+AF8+AF9</f>
        <v>0</v>
      </c>
      <c r="AG10" s="40">
        <f t="shared" si="14"/>
        <v>0</v>
      </c>
      <c r="AH10" s="31">
        <f t="shared" si="14"/>
        <v>0</v>
      </c>
      <c r="AI10" s="37">
        <f t="shared" si="14"/>
        <v>0</v>
      </c>
      <c r="AJ10" s="33">
        <f t="shared" si="14"/>
        <v>0</v>
      </c>
      <c r="AL10" s="19"/>
      <c r="AM10" s="28" t="s">
        <v>23</v>
      </c>
      <c r="AN10" s="41">
        <f t="shared" ref="AN10:AQ10" si="15">AN2+AN3+AN4+AN5+AN6+AN7+AN8+AN9</f>
        <v>0</v>
      </c>
      <c r="AO10" s="42">
        <f t="shared" si="15"/>
        <v>0</v>
      </c>
      <c r="AP10" s="43">
        <f t="shared" si="15"/>
        <v>0</v>
      </c>
      <c r="AQ10" s="44">
        <f t="shared" si="15"/>
        <v>0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0</v>
      </c>
      <c r="L11" s="47"/>
      <c r="M11" s="48"/>
      <c r="N11" s="51"/>
      <c r="O11" s="52"/>
      <c r="P11" s="19"/>
      <c r="Q11" s="45" t="s">
        <v>24</v>
      </c>
      <c r="R11" s="50">
        <f>R10-S10</f>
        <v>0</v>
      </c>
      <c r="S11" s="47"/>
      <c r="T11" s="48"/>
      <c r="U11" s="51"/>
      <c r="V11" s="52"/>
      <c r="W11" s="19"/>
      <c r="X11" s="45" t="s">
        <v>24</v>
      </c>
      <c r="Y11" s="50">
        <f>Y10-Z10</f>
        <v>0</v>
      </c>
      <c r="Z11" s="47"/>
      <c r="AA11" s="48"/>
      <c r="AB11" s="51"/>
      <c r="AC11" s="52"/>
      <c r="AD11" s="19"/>
      <c r="AE11" s="45" t="s">
        <v>24</v>
      </c>
      <c r="AF11" s="50">
        <f>AF10-AG10</f>
        <v>0</v>
      </c>
      <c r="AG11" s="47"/>
      <c r="AH11" s="48"/>
      <c r="AI11" s="51"/>
      <c r="AJ11" s="52"/>
      <c r="AL11" s="53"/>
      <c r="AM11" s="45" t="s">
        <v>25</v>
      </c>
      <c r="AN11" s="50">
        <f>AN10-AO10</f>
        <v>0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0</v>
      </c>
      <c r="L12" s="47"/>
      <c r="M12" s="48"/>
      <c r="N12" s="51"/>
      <c r="O12" s="52"/>
      <c r="P12" s="53"/>
      <c r="Q12" s="56" t="s">
        <v>26</v>
      </c>
      <c r="R12" s="57">
        <f>T10-S10</f>
        <v>0</v>
      </c>
      <c r="S12" s="47"/>
      <c r="T12" s="48"/>
      <c r="U12" s="51"/>
      <c r="V12" s="52"/>
      <c r="W12" s="53"/>
      <c r="X12" s="56" t="s">
        <v>26</v>
      </c>
      <c r="Y12" s="57">
        <f>AA10-Z10</f>
        <v>0</v>
      </c>
      <c r="Z12" s="47"/>
      <c r="AA12" s="48"/>
      <c r="AB12" s="51"/>
      <c r="AC12" s="52"/>
      <c r="AD12" s="53"/>
      <c r="AE12" s="56" t="s">
        <v>26</v>
      </c>
      <c r="AF12" s="57">
        <f>AH10-AG10</f>
        <v>0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2" t="s">
        <v>1</v>
      </c>
      <c r="Y13" s="4" t="s">
        <v>7</v>
      </c>
      <c r="Z13" s="2" t="s">
        <v>3</v>
      </c>
      <c r="AA13" s="2" t="s">
        <v>4</v>
      </c>
      <c r="AB13" s="2" t="s">
        <v>5</v>
      </c>
      <c r="AC13" s="5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/>
      <c r="C14" s="9" t="s">
        <v>10</v>
      </c>
      <c r="D14" s="10"/>
      <c r="E14" s="10"/>
      <c r="F14" s="10"/>
      <c r="G14" s="10"/>
      <c r="H14" s="11"/>
      <c r="I14" s="12">
        <v>45874.0</v>
      </c>
      <c r="J14" s="9" t="s">
        <v>10</v>
      </c>
      <c r="K14" s="10"/>
      <c r="L14" s="10"/>
      <c r="M14" s="10"/>
      <c r="N14" s="10"/>
      <c r="O14" s="11"/>
      <c r="P14" s="8">
        <v>45881.0</v>
      </c>
      <c r="Q14" s="9" t="s">
        <v>10</v>
      </c>
      <c r="R14" s="10"/>
      <c r="S14" s="10"/>
      <c r="T14" s="10"/>
      <c r="U14" s="10"/>
      <c r="V14" s="11"/>
      <c r="W14" s="8">
        <v>45888.0</v>
      </c>
      <c r="X14" s="9" t="s">
        <v>10</v>
      </c>
      <c r="Y14" s="10"/>
      <c r="Z14" s="10"/>
      <c r="AA14" s="10"/>
      <c r="AB14" s="10"/>
      <c r="AC14" s="11"/>
      <c r="AD14" s="8">
        <v>45895.0</v>
      </c>
      <c r="AE14" s="9" t="s">
        <v>10</v>
      </c>
      <c r="AF14" s="10"/>
      <c r="AG14" s="10"/>
      <c r="AH14" s="10"/>
      <c r="AI14" s="10"/>
      <c r="AJ14" s="11"/>
      <c r="AL14" s="18" t="s">
        <v>28</v>
      </c>
      <c r="AM14" s="9" t="s">
        <v>10</v>
      </c>
      <c r="AN14" s="10">
        <f t="shared" ref="AN14:AP14" si="16">D14+K14+R14+Y14+AF14</f>
        <v>0</v>
      </c>
      <c r="AO14" s="10">
        <f t="shared" si="16"/>
        <v>0</v>
      </c>
      <c r="AP14" s="10">
        <f t="shared" si="16"/>
        <v>0</v>
      </c>
      <c r="AQ14" s="11">
        <f t="shared" ref="AQ14:AQ21" si="18">H14+O14+V14+AC14+AJ14</f>
        <v>0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9" t="s">
        <v>12</v>
      </c>
      <c r="K15" s="10"/>
      <c r="L15" s="10"/>
      <c r="M15" s="10"/>
      <c r="N15" s="10"/>
      <c r="O15" s="11"/>
      <c r="P15" s="19"/>
      <c r="Q15" s="9" t="s">
        <v>12</v>
      </c>
      <c r="R15" s="10"/>
      <c r="S15" s="10"/>
      <c r="T15" s="10"/>
      <c r="U15" s="10"/>
      <c r="V15" s="11"/>
      <c r="W15" s="19"/>
      <c r="X15" s="9" t="s">
        <v>12</v>
      </c>
      <c r="Y15" s="10"/>
      <c r="Z15" s="10"/>
      <c r="AA15" s="10"/>
      <c r="AB15" s="10"/>
      <c r="AC15" s="11"/>
      <c r="AD15" s="19"/>
      <c r="AE15" s="9" t="s">
        <v>12</v>
      </c>
      <c r="AF15" s="10"/>
      <c r="AG15" s="10"/>
      <c r="AH15" s="10"/>
      <c r="AI15" s="10"/>
      <c r="AJ15" s="11"/>
      <c r="AL15" s="19"/>
      <c r="AM15" s="9" t="s">
        <v>12</v>
      </c>
      <c r="AN15" s="10">
        <f t="shared" ref="AN15:AP15" si="17">D15+K15+R15+Y15+AF15</f>
        <v>0</v>
      </c>
      <c r="AO15" s="10">
        <f t="shared" si="17"/>
        <v>0</v>
      </c>
      <c r="AP15" s="10">
        <f t="shared" si="17"/>
        <v>0</v>
      </c>
      <c r="AQ15" s="11">
        <f t="shared" si="18"/>
        <v>0</v>
      </c>
    </row>
    <row r="16">
      <c r="A16" s="19"/>
      <c r="B16" s="19"/>
      <c r="C16" s="290" t="s">
        <v>14</v>
      </c>
      <c r="D16" s="291"/>
      <c r="E16" s="10"/>
      <c r="F16" s="10"/>
      <c r="G16" s="10"/>
      <c r="H16" s="11"/>
      <c r="I16" s="19"/>
      <c r="J16" s="9" t="s">
        <v>276</v>
      </c>
      <c r="K16" s="291"/>
      <c r="L16" s="10"/>
      <c r="M16" s="10"/>
      <c r="N16" s="10"/>
      <c r="O16" s="11"/>
      <c r="P16" s="19"/>
      <c r="Q16" s="9" t="s">
        <v>276</v>
      </c>
      <c r="R16" s="10"/>
      <c r="S16" s="10"/>
      <c r="T16" s="10"/>
      <c r="U16" s="10"/>
      <c r="V16" s="11"/>
      <c r="W16" s="19"/>
      <c r="X16" s="9" t="s">
        <v>276</v>
      </c>
      <c r="Y16" s="10"/>
      <c r="Z16" s="10"/>
      <c r="AA16" s="10"/>
      <c r="AB16" s="10"/>
      <c r="AC16" s="11"/>
      <c r="AD16" s="19"/>
      <c r="AE16" s="9" t="s">
        <v>276</v>
      </c>
      <c r="AF16" s="10"/>
      <c r="AG16" s="10"/>
      <c r="AH16" s="10"/>
      <c r="AI16" s="10"/>
      <c r="AJ16" s="11"/>
      <c r="AL16" s="19"/>
      <c r="AM16" s="9" t="s">
        <v>14</v>
      </c>
      <c r="AN16" s="10">
        <f t="shared" ref="AN16:AP16" si="19">D16+K16+R16+Y16+AF16</f>
        <v>0</v>
      </c>
      <c r="AO16" s="10">
        <f t="shared" si="19"/>
        <v>0</v>
      </c>
      <c r="AP16" s="10">
        <f t="shared" si="19"/>
        <v>0</v>
      </c>
      <c r="AQ16" s="11">
        <f t="shared" si="18"/>
        <v>0</v>
      </c>
    </row>
    <row r="17">
      <c r="A17" s="19"/>
      <c r="B17" s="19"/>
      <c r="C17" s="9" t="s">
        <v>16</v>
      </c>
      <c r="D17" s="10"/>
      <c r="E17" s="10"/>
      <c r="F17" s="10"/>
      <c r="G17" s="10"/>
      <c r="H17" s="11"/>
      <c r="I17" s="19"/>
      <c r="J17" s="9" t="s">
        <v>16</v>
      </c>
      <c r="K17" s="10"/>
      <c r="L17" s="10"/>
      <c r="M17" s="10"/>
      <c r="N17" s="10"/>
      <c r="O17" s="11"/>
      <c r="P17" s="19"/>
      <c r="Q17" s="9" t="s">
        <v>15</v>
      </c>
      <c r="R17" s="10"/>
      <c r="S17" s="10"/>
      <c r="T17" s="10"/>
      <c r="U17" s="10"/>
      <c r="V17" s="11"/>
      <c r="W17" s="19"/>
      <c r="X17" s="9" t="s">
        <v>16</v>
      </c>
      <c r="Y17" s="10"/>
      <c r="Z17" s="10"/>
      <c r="AA17" s="10"/>
      <c r="AB17" s="10"/>
      <c r="AC17" s="11"/>
      <c r="AD17" s="19"/>
      <c r="AE17" s="9" t="s">
        <v>16</v>
      </c>
      <c r="AF17" s="10"/>
      <c r="AG17" s="10"/>
      <c r="AH17" s="10"/>
      <c r="AI17" s="10"/>
      <c r="AJ17" s="11"/>
      <c r="AL17" s="19"/>
      <c r="AM17" s="9" t="s">
        <v>16</v>
      </c>
      <c r="AN17" s="10">
        <f t="shared" ref="AN17:AP17" si="20">D17+K17+R17+Y17+AF17</f>
        <v>0</v>
      </c>
      <c r="AO17" s="10">
        <f t="shared" si="20"/>
        <v>0</v>
      </c>
      <c r="AP17" s="10">
        <f t="shared" si="20"/>
        <v>0</v>
      </c>
      <c r="AQ17" s="11">
        <f t="shared" si="18"/>
        <v>0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9" t="s">
        <v>17</v>
      </c>
      <c r="K18" s="10"/>
      <c r="L18" s="10"/>
      <c r="M18" s="10"/>
      <c r="N18" s="10"/>
      <c r="O18" s="11"/>
      <c r="P18" s="19"/>
      <c r="Q18" s="9" t="s">
        <v>17</v>
      </c>
      <c r="R18" s="10"/>
      <c r="S18" s="10"/>
      <c r="T18" s="10"/>
      <c r="U18" s="10"/>
      <c r="V18" s="11"/>
      <c r="W18" s="19"/>
      <c r="X18" s="9" t="s">
        <v>17</v>
      </c>
      <c r="Y18" s="10"/>
      <c r="Z18" s="10"/>
      <c r="AA18" s="10"/>
      <c r="AB18" s="10"/>
      <c r="AC18" s="11"/>
      <c r="AD18" s="19"/>
      <c r="AE18" s="9" t="s">
        <v>17</v>
      </c>
      <c r="AF18" s="10"/>
      <c r="AG18" s="10"/>
      <c r="AH18" s="10"/>
      <c r="AI18" s="10"/>
      <c r="AJ18" s="11"/>
      <c r="AL18" s="19"/>
      <c r="AM18" s="9" t="s">
        <v>17</v>
      </c>
      <c r="AN18" s="10">
        <f t="shared" ref="AN18:AP18" si="21">D18+K18+R18+Y18+AF18</f>
        <v>0</v>
      </c>
      <c r="AO18" s="10">
        <f t="shared" si="21"/>
        <v>0</v>
      </c>
      <c r="AP18" s="10">
        <f t="shared" si="21"/>
        <v>0</v>
      </c>
      <c r="AQ18" s="11">
        <f t="shared" si="18"/>
        <v>0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9" t="s">
        <v>18</v>
      </c>
      <c r="K19" s="10"/>
      <c r="L19" s="10"/>
      <c r="M19" s="10"/>
      <c r="N19" s="10"/>
      <c r="O19" s="11"/>
      <c r="P19" s="19"/>
      <c r="Q19" s="9" t="s">
        <v>18</v>
      </c>
      <c r="R19" s="10"/>
      <c r="S19" s="10"/>
      <c r="T19" s="10"/>
      <c r="U19" s="10"/>
      <c r="V19" s="11"/>
      <c r="W19" s="19"/>
      <c r="X19" s="9" t="s">
        <v>18</v>
      </c>
      <c r="Y19" s="10"/>
      <c r="Z19" s="10"/>
      <c r="AA19" s="10"/>
      <c r="AB19" s="10"/>
      <c r="AC19" s="11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2">D19+K19+R19+Y19+AF19</f>
        <v>0</v>
      </c>
      <c r="AO19" s="10">
        <f t="shared" si="22"/>
        <v>0</v>
      </c>
      <c r="AP19" s="10">
        <f t="shared" si="22"/>
        <v>0</v>
      </c>
      <c r="AQ19" s="11">
        <f t="shared" si="18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0"/>
      <c r="L20" s="10"/>
      <c r="M20" s="10"/>
      <c r="N20" s="10"/>
      <c r="O20" s="11"/>
      <c r="P20" s="19"/>
      <c r="Q20" s="9" t="s">
        <v>19</v>
      </c>
      <c r="R20" s="10"/>
      <c r="S20" s="10"/>
      <c r="T20" s="10"/>
      <c r="U20" s="10"/>
      <c r="V20" s="11"/>
      <c r="W20" s="19"/>
      <c r="X20" s="9" t="s">
        <v>19</v>
      </c>
      <c r="Y20" s="10"/>
      <c r="Z20" s="10"/>
      <c r="AA20" s="10"/>
      <c r="AB20" s="10"/>
      <c r="AC20" s="11"/>
      <c r="AD20" s="19"/>
      <c r="AE20" s="9" t="s">
        <v>19</v>
      </c>
      <c r="AF20" s="10"/>
      <c r="AG20" s="10"/>
      <c r="AH20" s="10"/>
      <c r="AI20" s="10"/>
      <c r="AJ20" s="11"/>
      <c r="AL20" s="19"/>
      <c r="AM20" s="9" t="s">
        <v>19</v>
      </c>
      <c r="AN20" s="10">
        <f t="shared" ref="AN20:AP20" si="23">D20+K20+R20+Y20+AF20</f>
        <v>0</v>
      </c>
      <c r="AO20" s="10">
        <f t="shared" si="23"/>
        <v>0</v>
      </c>
      <c r="AP20" s="10">
        <f t="shared" si="23"/>
        <v>0</v>
      </c>
      <c r="AQ20" s="11">
        <f t="shared" si="18"/>
        <v>0</v>
      </c>
    </row>
    <row r="21">
      <c r="A21" s="19"/>
      <c r="B21" s="19"/>
      <c r="C21" s="26" t="s">
        <v>21</v>
      </c>
      <c r="D21" s="10"/>
      <c r="E21" s="10"/>
      <c r="F21" s="10"/>
      <c r="G21" s="10"/>
      <c r="H21" s="11"/>
      <c r="I21" s="19"/>
      <c r="J21" s="26" t="s">
        <v>22</v>
      </c>
      <c r="K21" s="10"/>
      <c r="L21" s="10"/>
      <c r="M21" s="10"/>
      <c r="N21" s="310"/>
      <c r="O21" s="11"/>
      <c r="P21" s="19"/>
      <c r="Q21" s="26" t="s">
        <v>21</v>
      </c>
      <c r="R21" s="10"/>
      <c r="S21" s="10"/>
      <c r="T21" s="10"/>
      <c r="U21" s="310"/>
      <c r="V21" s="11"/>
      <c r="W21" s="19"/>
      <c r="X21" s="26" t="s">
        <v>21</v>
      </c>
      <c r="Y21" s="10"/>
      <c r="Z21" s="10"/>
      <c r="AA21" s="10"/>
      <c r="AB21" s="10"/>
      <c r="AC21" s="11"/>
      <c r="AD21" s="19"/>
      <c r="AE21" s="26" t="s">
        <v>21</v>
      </c>
      <c r="AF21" s="10"/>
      <c r="AG21" s="10"/>
      <c r="AH21" s="10"/>
      <c r="AI21" s="310"/>
      <c r="AJ21" s="11"/>
      <c r="AL21" s="19"/>
      <c r="AM21" s="26" t="s">
        <v>21</v>
      </c>
      <c r="AN21" s="10">
        <f t="shared" ref="AN21:AP21" si="24">D21+K21+R21+Y21+AF21</f>
        <v>0</v>
      </c>
      <c r="AO21" s="10">
        <f t="shared" si="24"/>
        <v>0</v>
      </c>
      <c r="AP21" s="10">
        <f t="shared" si="24"/>
        <v>0</v>
      </c>
      <c r="AQ21" s="11">
        <f t="shared" si="18"/>
        <v>0</v>
      </c>
    </row>
    <row r="22">
      <c r="A22" s="19"/>
      <c r="B22" s="19"/>
      <c r="C22" s="28" t="s">
        <v>23</v>
      </c>
      <c r="D22" s="29">
        <f t="shared" ref="D22:H22" si="25">D14+D15+D16+D17+D18+D19+D20+D21</f>
        <v>0</v>
      </c>
      <c r="E22" s="35">
        <f t="shared" si="25"/>
        <v>0</v>
      </c>
      <c r="F22" s="31">
        <f t="shared" si="25"/>
        <v>0</v>
      </c>
      <c r="G22" s="37">
        <f t="shared" si="25"/>
        <v>0</v>
      </c>
      <c r="H22" s="33">
        <f t="shared" si="25"/>
        <v>0</v>
      </c>
      <c r="I22" s="19"/>
      <c r="J22" s="28" t="s">
        <v>23</v>
      </c>
      <c r="K22" s="29">
        <f t="shared" ref="K22:O22" si="26">K14+K15+K16+K17+K18+K19+K20+K21</f>
        <v>0</v>
      </c>
      <c r="L22" s="30">
        <f t="shared" si="26"/>
        <v>0</v>
      </c>
      <c r="M22" s="31">
        <f t="shared" si="26"/>
        <v>0</v>
      </c>
      <c r="N22" s="40">
        <f t="shared" si="26"/>
        <v>0</v>
      </c>
      <c r="O22" s="33">
        <f t="shared" si="26"/>
        <v>0</v>
      </c>
      <c r="P22" s="19"/>
      <c r="Q22" s="28" t="s">
        <v>23</v>
      </c>
      <c r="R22" s="29">
        <f t="shared" ref="R22:V22" si="27">R14+R15+R16+R17+R18+R19+R20+R21</f>
        <v>0</v>
      </c>
      <c r="S22" s="30">
        <f t="shared" si="27"/>
        <v>0</v>
      </c>
      <c r="T22" s="31">
        <f t="shared" si="27"/>
        <v>0</v>
      </c>
      <c r="U22" s="40">
        <f t="shared" si="27"/>
        <v>0</v>
      </c>
      <c r="V22" s="294">
        <f t="shared" si="27"/>
        <v>0</v>
      </c>
      <c r="W22" s="19"/>
      <c r="X22" s="66" t="s">
        <v>23</v>
      </c>
      <c r="Y22" s="284"/>
      <c r="Z22" s="284"/>
      <c r="AA22" s="284"/>
      <c r="AB22" s="284"/>
      <c r="AC22" s="285"/>
      <c r="AD22" s="19"/>
      <c r="AE22" s="28" t="s">
        <v>23</v>
      </c>
      <c r="AF22" s="61">
        <f t="shared" ref="AF22:AJ22" si="28">AF14+AF15+AF16+AF17+AF18+AF19+AF20+AF21</f>
        <v>0</v>
      </c>
      <c r="AG22" s="30">
        <f t="shared" si="28"/>
        <v>0</v>
      </c>
      <c r="AH22" s="31">
        <f t="shared" si="28"/>
        <v>0</v>
      </c>
      <c r="AI22" s="37">
        <f t="shared" si="28"/>
        <v>0</v>
      </c>
      <c r="AJ22" s="33">
        <f t="shared" si="28"/>
        <v>0</v>
      </c>
      <c r="AL22" s="19"/>
      <c r="AM22" s="28" t="s">
        <v>23</v>
      </c>
      <c r="AN22" s="41">
        <f t="shared" ref="AN22:AQ22" si="29">AN14+AN15+AN16+AN17+AN18+AN19+AN20+AN21</f>
        <v>0</v>
      </c>
      <c r="AO22" s="42">
        <f t="shared" si="29"/>
        <v>0</v>
      </c>
      <c r="AP22" s="43">
        <f t="shared" si="29"/>
        <v>0</v>
      </c>
      <c r="AQ22" s="44">
        <f t="shared" si="29"/>
        <v>0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0</v>
      </c>
      <c r="L23" s="47"/>
      <c r="M23" s="48"/>
      <c r="N23" s="51"/>
      <c r="O23" s="51"/>
      <c r="P23" s="19"/>
      <c r="Q23" s="45" t="s">
        <v>24</v>
      </c>
      <c r="R23" s="50">
        <f>R22-S22</f>
        <v>0</v>
      </c>
      <c r="S23" s="47"/>
      <c r="T23" s="48"/>
      <c r="U23" s="51"/>
      <c r="V23" s="51"/>
      <c r="W23" s="19"/>
      <c r="X23" s="45" t="s">
        <v>24</v>
      </c>
      <c r="Y23" s="50">
        <f>Y22-Z22</f>
        <v>0</v>
      </c>
      <c r="Z23" s="47"/>
      <c r="AA23" s="48"/>
      <c r="AB23" s="51"/>
      <c r="AC23" s="51"/>
      <c r="AD23" s="19"/>
      <c r="AE23" s="45" t="s">
        <v>24</v>
      </c>
      <c r="AF23" s="50">
        <f>AF22-AG22</f>
        <v>0</v>
      </c>
      <c r="AG23" s="47"/>
      <c r="AH23" s="48"/>
      <c r="AI23" s="51"/>
      <c r="AJ23" s="51"/>
      <c r="AL23" s="53"/>
      <c r="AM23" s="45" t="s">
        <v>25</v>
      </c>
      <c r="AN23" s="50">
        <f>AN22-AO22</f>
        <v>0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0</v>
      </c>
      <c r="L24" s="47"/>
      <c r="M24" s="48"/>
      <c r="N24" s="51"/>
      <c r="O24" s="51"/>
      <c r="P24" s="53"/>
      <c r="Q24" s="56" t="s">
        <v>26</v>
      </c>
      <c r="R24" s="57">
        <f>T22-S22</f>
        <v>0</v>
      </c>
      <c r="S24" s="47"/>
      <c r="T24" s="48"/>
      <c r="U24" s="51"/>
      <c r="V24" s="51"/>
      <c r="W24" s="53"/>
      <c r="X24" s="56" t="s">
        <v>26</v>
      </c>
      <c r="Y24" s="57">
        <f>AA22-Z22</f>
        <v>0</v>
      </c>
      <c r="Z24" s="47"/>
      <c r="AA24" s="48"/>
      <c r="AB24" s="51"/>
      <c r="AC24" s="51"/>
      <c r="AD24" s="53"/>
      <c r="AE24" s="56" t="s">
        <v>26</v>
      </c>
      <c r="AF24" s="57">
        <f>AH22-AG22</f>
        <v>0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2" t="s">
        <v>1</v>
      </c>
      <c r="K25" s="4" t="s">
        <v>7</v>
      </c>
      <c r="L25" s="2" t="s">
        <v>3</v>
      </c>
      <c r="M25" s="2" t="s">
        <v>4</v>
      </c>
      <c r="N25" s="2" t="s">
        <v>5</v>
      </c>
      <c r="O25" s="5" t="s">
        <v>6</v>
      </c>
      <c r="P25" s="2" t="s">
        <v>0</v>
      </c>
      <c r="Q25" s="2" t="s">
        <v>1</v>
      </c>
      <c r="R25" s="4" t="s">
        <v>7</v>
      </c>
      <c r="S25" s="2" t="s">
        <v>3</v>
      </c>
      <c r="T25" s="2" t="s">
        <v>4</v>
      </c>
      <c r="U25" s="2" t="s">
        <v>5</v>
      </c>
      <c r="V25" s="5" t="s">
        <v>6</v>
      </c>
      <c r="W25" s="2" t="s">
        <v>0</v>
      </c>
      <c r="X25" s="2" t="s">
        <v>1</v>
      </c>
      <c r="Y25" s="4" t="s">
        <v>7</v>
      </c>
      <c r="Z25" s="2" t="s">
        <v>3</v>
      </c>
      <c r="AA25" s="2" t="s">
        <v>4</v>
      </c>
      <c r="AB25" s="2" t="s">
        <v>5</v>
      </c>
      <c r="AC25" s="5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168"/>
      <c r="C26" s="9" t="s">
        <v>10</v>
      </c>
      <c r="D26" s="10"/>
      <c r="E26" s="10"/>
      <c r="F26" s="10"/>
      <c r="G26" s="10"/>
      <c r="H26" s="11"/>
      <c r="I26" s="12">
        <v>45875.0</v>
      </c>
      <c r="J26" s="9" t="s">
        <v>10</v>
      </c>
      <c r="K26" s="10"/>
      <c r="L26" s="10"/>
      <c r="M26" s="10"/>
      <c r="N26" s="10"/>
      <c r="O26" s="11"/>
      <c r="P26" s="8">
        <v>45882.0</v>
      </c>
      <c r="Q26" s="9" t="s">
        <v>10</v>
      </c>
      <c r="R26" s="10"/>
      <c r="S26" s="10"/>
      <c r="T26" s="10"/>
      <c r="U26" s="10"/>
      <c r="V26" s="11"/>
      <c r="W26" s="8">
        <v>45889.0</v>
      </c>
      <c r="X26" s="9" t="s">
        <v>10</v>
      </c>
      <c r="Y26" s="10"/>
      <c r="Z26" s="10"/>
      <c r="AA26" s="10"/>
      <c r="AB26" s="10"/>
      <c r="AC26" s="11"/>
      <c r="AD26" s="8">
        <v>45896.0</v>
      </c>
      <c r="AE26" s="9" t="s">
        <v>10</v>
      </c>
      <c r="AF26" s="10"/>
      <c r="AG26" s="10"/>
      <c r="AH26" s="10"/>
      <c r="AI26" s="10"/>
      <c r="AJ26" s="11"/>
      <c r="AL26" s="18" t="s">
        <v>31</v>
      </c>
      <c r="AM26" s="9" t="s">
        <v>10</v>
      </c>
      <c r="AN26" s="10">
        <f t="shared" ref="AN26:AP26" si="30">D26+K26+R26+Y26+AF26</f>
        <v>0</v>
      </c>
      <c r="AO26" s="10">
        <f t="shared" si="30"/>
        <v>0</v>
      </c>
      <c r="AP26" s="10">
        <f t="shared" si="30"/>
        <v>0</v>
      </c>
      <c r="AQ26" s="11">
        <f t="shared" ref="AQ26:AQ33" si="32">H26+O26+V26+AC26+AJ26</f>
        <v>0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0"/>
      <c r="L27" s="10"/>
      <c r="M27" s="10"/>
      <c r="N27" s="10"/>
      <c r="O27" s="11"/>
      <c r="P27" s="19"/>
      <c r="Q27" s="9" t="s">
        <v>12</v>
      </c>
      <c r="R27" s="10"/>
      <c r="S27" s="10"/>
      <c r="T27" s="10"/>
      <c r="U27" s="10"/>
      <c r="V27" s="11"/>
      <c r="W27" s="19"/>
      <c r="X27" s="9" t="s">
        <v>12</v>
      </c>
      <c r="Y27" s="10"/>
      <c r="Z27" s="10"/>
      <c r="AA27" s="10"/>
      <c r="AB27" s="10"/>
      <c r="AC27" s="11"/>
      <c r="AD27" s="19"/>
      <c r="AE27" s="9" t="s">
        <v>12</v>
      </c>
      <c r="AF27" s="10"/>
      <c r="AG27" s="10"/>
      <c r="AH27" s="10"/>
      <c r="AI27" s="10"/>
      <c r="AJ27" s="11"/>
      <c r="AL27" s="19"/>
      <c r="AM27" s="9" t="s">
        <v>12</v>
      </c>
      <c r="AN27" s="10">
        <f t="shared" ref="AN27:AP27" si="31">D27+K27+R27+Y27+AF27</f>
        <v>0</v>
      </c>
      <c r="AO27" s="10">
        <f t="shared" si="31"/>
        <v>0</v>
      </c>
      <c r="AP27" s="10">
        <f t="shared" si="31"/>
        <v>0</v>
      </c>
      <c r="AQ27" s="11">
        <f t="shared" si="32"/>
        <v>0</v>
      </c>
    </row>
    <row r="28">
      <c r="A28" s="19"/>
      <c r="B28" s="19"/>
      <c r="C28" s="290" t="s">
        <v>14</v>
      </c>
      <c r="D28" s="291"/>
      <c r="E28" s="10"/>
      <c r="F28" s="10"/>
      <c r="G28" s="10"/>
      <c r="H28" s="11"/>
      <c r="I28" s="19"/>
      <c r="J28" s="9" t="s">
        <v>276</v>
      </c>
      <c r="K28" s="291"/>
      <c r="L28" s="10"/>
      <c r="M28" s="10"/>
      <c r="N28" s="10"/>
      <c r="O28" s="11"/>
      <c r="P28" s="19"/>
      <c r="Q28" s="9" t="s">
        <v>276</v>
      </c>
      <c r="R28" s="10"/>
      <c r="S28" s="10"/>
      <c r="T28" s="10"/>
      <c r="U28" s="10"/>
      <c r="V28" s="11"/>
      <c r="W28" s="19"/>
      <c r="X28" s="9" t="s">
        <v>276</v>
      </c>
      <c r="Y28" s="10"/>
      <c r="Z28" s="10"/>
      <c r="AA28" s="10"/>
      <c r="AB28" s="10"/>
      <c r="AC28" s="11"/>
      <c r="AD28" s="19"/>
      <c r="AE28" s="9" t="s">
        <v>276</v>
      </c>
      <c r="AF28" s="10"/>
      <c r="AG28" s="10"/>
      <c r="AH28" s="10"/>
      <c r="AI28" s="10"/>
      <c r="AJ28" s="11"/>
      <c r="AL28" s="19"/>
      <c r="AM28" s="9" t="s">
        <v>14</v>
      </c>
      <c r="AN28" s="10">
        <f t="shared" ref="AN28:AP28" si="33">D28+K28+R28+Y28+AF28</f>
        <v>0</v>
      </c>
      <c r="AO28" s="10">
        <f t="shared" si="33"/>
        <v>0</v>
      </c>
      <c r="AP28" s="10">
        <f t="shared" si="33"/>
        <v>0</v>
      </c>
      <c r="AQ28" s="11">
        <f t="shared" si="32"/>
        <v>0</v>
      </c>
    </row>
    <row r="29">
      <c r="A29" s="19"/>
      <c r="B29" s="19"/>
      <c r="C29" s="9" t="s">
        <v>15</v>
      </c>
      <c r="D29" s="10"/>
      <c r="E29" s="10"/>
      <c r="F29" s="10"/>
      <c r="G29" s="10"/>
      <c r="H29" s="11"/>
      <c r="I29" s="19"/>
      <c r="J29" s="9" t="s">
        <v>15</v>
      </c>
      <c r="K29" s="10"/>
      <c r="L29" s="10"/>
      <c r="M29" s="10"/>
      <c r="N29" s="10"/>
      <c r="O29" s="11"/>
      <c r="P29" s="19"/>
      <c r="Q29" s="9" t="s">
        <v>15</v>
      </c>
      <c r="R29" s="10"/>
      <c r="S29" s="10"/>
      <c r="T29" s="10"/>
      <c r="U29" s="10"/>
      <c r="V29" s="11"/>
      <c r="W29" s="19"/>
      <c r="X29" s="9" t="s">
        <v>16</v>
      </c>
      <c r="Y29" s="10"/>
      <c r="Z29" s="10"/>
      <c r="AA29" s="10"/>
      <c r="AB29" s="10"/>
      <c r="AC29" s="11"/>
      <c r="AD29" s="19"/>
      <c r="AE29" s="9" t="s">
        <v>16</v>
      </c>
      <c r="AF29" s="10"/>
      <c r="AG29" s="10"/>
      <c r="AH29" s="10"/>
      <c r="AI29" s="10"/>
      <c r="AJ29" s="11"/>
      <c r="AL29" s="19"/>
      <c r="AM29" s="9" t="s">
        <v>16</v>
      </c>
      <c r="AN29" s="10">
        <f t="shared" ref="AN29:AP29" si="34">D29+K29+R29+Y29+AF29</f>
        <v>0</v>
      </c>
      <c r="AO29" s="10">
        <f t="shared" si="34"/>
        <v>0</v>
      </c>
      <c r="AP29" s="10">
        <f t="shared" si="34"/>
        <v>0</v>
      </c>
      <c r="AQ29" s="11">
        <f t="shared" si="32"/>
        <v>0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9" t="s">
        <v>17</v>
      </c>
      <c r="K30" s="10"/>
      <c r="L30" s="10"/>
      <c r="M30" s="10"/>
      <c r="N30" s="10"/>
      <c r="O30" s="11"/>
      <c r="P30" s="19"/>
      <c r="Q30" s="9" t="s">
        <v>17</v>
      </c>
      <c r="R30" s="10"/>
      <c r="S30" s="10"/>
      <c r="T30" s="10"/>
      <c r="U30" s="10"/>
      <c r="V30" s="11"/>
      <c r="W30" s="19"/>
      <c r="X30" s="9" t="s">
        <v>17</v>
      </c>
      <c r="Y30" s="10"/>
      <c r="Z30" s="10"/>
      <c r="AA30" s="10"/>
      <c r="AB30" s="10"/>
      <c r="AC30" s="11"/>
      <c r="AD30" s="19"/>
      <c r="AE30" s="9" t="s">
        <v>17</v>
      </c>
      <c r="AF30" s="10"/>
      <c r="AG30" s="10"/>
      <c r="AH30" s="10"/>
      <c r="AI30" s="10"/>
      <c r="AJ30" s="11"/>
      <c r="AL30" s="19"/>
      <c r="AM30" s="9" t="s">
        <v>17</v>
      </c>
      <c r="AN30" s="10">
        <f t="shared" ref="AN30:AP30" si="35">D30+K30+R30+Y30+AF30</f>
        <v>0</v>
      </c>
      <c r="AO30" s="10">
        <f t="shared" si="35"/>
        <v>0</v>
      </c>
      <c r="AP30" s="10">
        <f t="shared" si="35"/>
        <v>0</v>
      </c>
      <c r="AQ30" s="11">
        <f t="shared" si="32"/>
        <v>0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9" t="s">
        <v>29</v>
      </c>
      <c r="K31" s="10"/>
      <c r="L31" s="10"/>
      <c r="M31" s="10"/>
      <c r="N31" s="10"/>
      <c r="O31" s="11"/>
      <c r="P31" s="19"/>
      <c r="Q31" s="9" t="s">
        <v>18</v>
      </c>
      <c r="R31" s="10"/>
      <c r="S31" s="10"/>
      <c r="T31" s="10"/>
      <c r="U31" s="10"/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6">D31+K31+R31+Y31+AF31</f>
        <v>0</v>
      </c>
      <c r="AO31" s="10">
        <f t="shared" si="36"/>
        <v>0</v>
      </c>
      <c r="AP31" s="10">
        <f t="shared" si="36"/>
        <v>0</v>
      </c>
      <c r="AQ31" s="11">
        <f t="shared" si="32"/>
        <v>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9" t="s">
        <v>19</v>
      </c>
      <c r="K32" s="10"/>
      <c r="L32" s="10"/>
      <c r="M32" s="10"/>
      <c r="N32" s="10"/>
      <c r="O32" s="11"/>
      <c r="P32" s="19"/>
      <c r="Q32" s="9" t="s">
        <v>19</v>
      </c>
      <c r="R32" s="10"/>
      <c r="S32" s="10"/>
      <c r="T32" s="10"/>
      <c r="U32" s="10"/>
      <c r="V32" s="11"/>
      <c r="W32" s="19"/>
      <c r="X32" s="9" t="s">
        <v>19</v>
      </c>
      <c r="Y32" s="10"/>
      <c r="Z32" s="10"/>
      <c r="AA32" s="10"/>
      <c r="AB32" s="10"/>
      <c r="AC32" s="11"/>
      <c r="AD32" s="19"/>
      <c r="AE32" s="9" t="s">
        <v>19</v>
      </c>
      <c r="AF32" s="10"/>
      <c r="AG32" s="10"/>
      <c r="AH32" s="10"/>
      <c r="AI32" s="10"/>
      <c r="AJ32" s="11"/>
      <c r="AL32" s="19"/>
      <c r="AM32" s="9" t="s">
        <v>19</v>
      </c>
      <c r="AN32" s="10">
        <f t="shared" ref="AN32:AP32" si="37">D32+K32+R32+Y32+AF32</f>
        <v>0</v>
      </c>
      <c r="AO32" s="10">
        <f t="shared" si="37"/>
        <v>0</v>
      </c>
      <c r="AP32" s="10">
        <f t="shared" si="37"/>
        <v>0</v>
      </c>
      <c r="AQ32" s="11">
        <f t="shared" si="32"/>
        <v>0</v>
      </c>
    </row>
    <row r="33">
      <c r="A33" s="19"/>
      <c r="B33" s="19"/>
      <c r="C33" s="26" t="s">
        <v>21</v>
      </c>
      <c r="D33" s="10"/>
      <c r="E33" s="10"/>
      <c r="F33" s="10"/>
      <c r="G33" s="10"/>
      <c r="H33" s="11"/>
      <c r="I33" s="19"/>
      <c r="J33" s="26" t="s">
        <v>21</v>
      </c>
      <c r="K33" s="10"/>
      <c r="L33" s="10"/>
      <c r="M33" s="10"/>
      <c r="N33" s="310"/>
      <c r="O33" s="11"/>
      <c r="P33" s="19"/>
      <c r="Q33" s="26" t="s">
        <v>22</v>
      </c>
      <c r="R33" s="10"/>
      <c r="S33" s="10"/>
      <c r="T33" s="10"/>
      <c r="U33" s="310"/>
      <c r="V33" s="11"/>
      <c r="W33" s="19"/>
      <c r="X33" s="26" t="s">
        <v>21</v>
      </c>
      <c r="Y33" s="10"/>
      <c r="Z33" s="10"/>
      <c r="AA33" s="10"/>
      <c r="AB33" s="10"/>
      <c r="AC33" s="11"/>
      <c r="AD33" s="19"/>
      <c r="AE33" s="26" t="s">
        <v>21</v>
      </c>
      <c r="AF33" s="10"/>
      <c r="AG33" s="10"/>
      <c r="AH33" s="10"/>
      <c r="AI33" s="310"/>
      <c r="AJ33" s="11"/>
      <c r="AL33" s="19"/>
      <c r="AM33" s="26" t="s">
        <v>21</v>
      </c>
      <c r="AN33" s="10">
        <f t="shared" ref="AN33:AP33" si="38">D33+K33+R33+Y33+AF33</f>
        <v>0</v>
      </c>
      <c r="AO33" s="10">
        <f t="shared" si="38"/>
        <v>0</v>
      </c>
      <c r="AP33" s="10">
        <f t="shared" si="38"/>
        <v>0</v>
      </c>
      <c r="AQ33" s="11">
        <f t="shared" si="32"/>
        <v>0</v>
      </c>
    </row>
    <row r="34">
      <c r="A34" s="19"/>
      <c r="B34" s="19"/>
      <c r="C34" s="28" t="s">
        <v>23</v>
      </c>
      <c r="D34" s="29">
        <f t="shared" ref="D34:H34" si="39">D26+D27+D28+D29+D30+D31+D32+D33</f>
        <v>0</v>
      </c>
      <c r="E34" s="30">
        <f t="shared" si="39"/>
        <v>0</v>
      </c>
      <c r="F34" s="36">
        <f t="shared" si="39"/>
        <v>0</v>
      </c>
      <c r="G34" s="40">
        <f t="shared" si="39"/>
        <v>0</v>
      </c>
      <c r="H34" s="33">
        <f t="shared" si="39"/>
        <v>0</v>
      </c>
      <c r="I34" s="19"/>
      <c r="J34" s="28" t="s">
        <v>23</v>
      </c>
      <c r="K34" s="29">
        <f t="shared" ref="K34:O34" si="40">K26+K27+K28+K29+K30+K31+K32+K33</f>
        <v>0</v>
      </c>
      <c r="L34" s="35">
        <f t="shared" si="40"/>
        <v>0</v>
      </c>
      <c r="M34" s="31">
        <f t="shared" si="40"/>
        <v>0</v>
      </c>
      <c r="N34" s="40">
        <f t="shared" si="40"/>
        <v>0</v>
      </c>
      <c r="O34" s="38">
        <f t="shared" si="40"/>
        <v>0</v>
      </c>
      <c r="P34" s="19"/>
      <c r="Q34" s="28" t="s">
        <v>23</v>
      </c>
      <c r="R34" s="29">
        <f t="shared" ref="R34:V34" si="41">R26+R27+R28+R29+R30+R31+R32+R33</f>
        <v>0</v>
      </c>
      <c r="S34" s="35">
        <f t="shared" si="41"/>
        <v>0</v>
      </c>
      <c r="T34" s="31">
        <f t="shared" si="41"/>
        <v>0</v>
      </c>
      <c r="U34" s="37">
        <f t="shared" si="41"/>
        <v>0</v>
      </c>
      <c r="V34" s="294">
        <f t="shared" si="41"/>
        <v>0</v>
      </c>
      <c r="W34" s="19"/>
      <c r="X34" s="28" t="s">
        <v>23</v>
      </c>
      <c r="Y34" s="29">
        <f t="shared" ref="Y34:AC34" si="42">Y26+Y27+Y28+Y29+Y30+Y31+Y32+Y33</f>
        <v>0</v>
      </c>
      <c r="Z34" s="30">
        <f t="shared" si="42"/>
        <v>0</v>
      </c>
      <c r="AA34" s="31">
        <f t="shared" si="42"/>
        <v>0</v>
      </c>
      <c r="AB34" s="37">
        <f t="shared" si="42"/>
        <v>0</v>
      </c>
      <c r="AC34" s="33">
        <f t="shared" si="42"/>
        <v>0</v>
      </c>
      <c r="AD34" s="19"/>
      <c r="AE34" s="28" t="s">
        <v>23</v>
      </c>
      <c r="AF34" s="29">
        <f t="shared" ref="AF34:AJ34" si="43">AF26+AF27+AF28+AF29+AF30+AF31+AF32+AF33</f>
        <v>0</v>
      </c>
      <c r="AG34" s="30">
        <f t="shared" si="43"/>
        <v>0</v>
      </c>
      <c r="AH34" s="31">
        <f t="shared" si="43"/>
        <v>0</v>
      </c>
      <c r="AI34" s="37">
        <f t="shared" si="43"/>
        <v>0</v>
      </c>
      <c r="AJ34" s="33">
        <f t="shared" si="43"/>
        <v>0</v>
      </c>
      <c r="AL34" s="19"/>
      <c r="AM34" s="28" t="s">
        <v>23</v>
      </c>
      <c r="AN34" s="41">
        <f t="shared" ref="AN34:AQ34" si="44">AN26+AN27+AN28+AN29+AN30+AN31+AN32+AN33</f>
        <v>0</v>
      </c>
      <c r="AO34" s="42">
        <f t="shared" si="44"/>
        <v>0</v>
      </c>
      <c r="AP34" s="43">
        <f t="shared" si="44"/>
        <v>0</v>
      </c>
      <c r="AQ34" s="44">
        <f t="shared" si="44"/>
        <v>0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0</v>
      </c>
      <c r="L35" s="47"/>
      <c r="M35" s="48"/>
      <c r="N35" s="51"/>
      <c r="O35" s="51"/>
      <c r="P35" s="19"/>
      <c r="Q35" s="45" t="s">
        <v>24</v>
      </c>
      <c r="R35" s="50">
        <f>R34-S34</f>
        <v>0</v>
      </c>
      <c r="S35" s="47"/>
      <c r="T35" s="48"/>
      <c r="U35" s="51"/>
      <c r="V35" s="51"/>
      <c r="W35" s="19"/>
      <c r="X35" s="45" t="s">
        <v>24</v>
      </c>
      <c r="Y35" s="50">
        <f>Y34-Z34</f>
        <v>0</v>
      </c>
      <c r="Z35" s="47"/>
      <c r="AA35" s="48"/>
      <c r="AB35" s="51"/>
      <c r="AC35" s="51"/>
      <c r="AD35" s="19"/>
      <c r="AE35" s="45" t="s">
        <v>24</v>
      </c>
      <c r="AF35" s="50">
        <f>AF34-AG34</f>
        <v>0</v>
      </c>
      <c r="AG35" s="47"/>
      <c r="AH35" s="48"/>
      <c r="AI35" s="51"/>
      <c r="AJ35" s="51"/>
      <c r="AL35" s="53"/>
      <c r="AM35" s="45" t="s">
        <v>25</v>
      </c>
      <c r="AN35" s="50">
        <f>AN34-AO34</f>
        <v>0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0</v>
      </c>
      <c r="L36" s="47"/>
      <c r="M36" s="48"/>
      <c r="N36" s="51"/>
      <c r="O36" s="51"/>
      <c r="P36" s="53"/>
      <c r="Q36" s="56" t="s">
        <v>26</v>
      </c>
      <c r="R36" s="57">
        <f>T34-S34</f>
        <v>0</v>
      </c>
      <c r="S36" s="47"/>
      <c r="T36" s="48"/>
      <c r="U36" s="51"/>
      <c r="V36" s="51"/>
      <c r="W36" s="53"/>
      <c r="X36" s="56" t="s">
        <v>26</v>
      </c>
      <c r="Y36" s="57">
        <f>AA34-Z34</f>
        <v>0</v>
      </c>
      <c r="Z36" s="47"/>
      <c r="AA36" s="48"/>
      <c r="AB36" s="51"/>
      <c r="AC36" s="51"/>
      <c r="AD36" s="53"/>
      <c r="AE36" s="56" t="s">
        <v>26</v>
      </c>
      <c r="AF36" s="57">
        <f>AH34-AG34</f>
        <v>0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2" t="s">
        <v>1</v>
      </c>
      <c r="K37" s="4" t="s">
        <v>7</v>
      </c>
      <c r="L37" s="2" t="s">
        <v>3</v>
      </c>
      <c r="M37" s="2" t="s">
        <v>4</v>
      </c>
      <c r="N37" s="2" t="s">
        <v>5</v>
      </c>
      <c r="O37" s="5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2" t="s">
        <v>1</v>
      </c>
      <c r="Y37" s="4" t="s">
        <v>7</v>
      </c>
      <c r="Z37" s="2" t="s">
        <v>3</v>
      </c>
      <c r="AA37" s="2" t="s">
        <v>4</v>
      </c>
      <c r="AB37" s="2" t="s">
        <v>5</v>
      </c>
      <c r="AC37" s="5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12"/>
      <c r="C38" s="9" t="s">
        <v>10</v>
      </c>
      <c r="D38" s="10"/>
      <c r="E38" s="10"/>
      <c r="F38" s="10"/>
      <c r="G38" s="10"/>
      <c r="H38" s="11"/>
      <c r="I38" s="12">
        <v>45876.0</v>
      </c>
      <c r="J38" s="9" t="s">
        <v>10</v>
      </c>
      <c r="K38" s="10"/>
      <c r="L38" s="10"/>
      <c r="M38" s="10"/>
      <c r="N38" s="10"/>
      <c r="O38" s="11"/>
      <c r="P38" s="8">
        <v>45883.0</v>
      </c>
      <c r="Q38" s="9" t="s">
        <v>10</v>
      </c>
      <c r="R38" s="10"/>
      <c r="S38" s="10"/>
      <c r="T38" s="10"/>
      <c r="U38" s="10"/>
      <c r="V38" s="11"/>
      <c r="W38" s="8">
        <v>45890.0</v>
      </c>
      <c r="X38" s="9" t="s">
        <v>10</v>
      </c>
      <c r="Y38" s="10"/>
      <c r="Z38" s="10"/>
      <c r="AA38" s="10"/>
      <c r="AB38" s="10"/>
      <c r="AC38" s="11"/>
      <c r="AD38" s="8">
        <v>45897.0</v>
      </c>
      <c r="AE38" s="9" t="s">
        <v>10</v>
      </c>
      <c r="AF38" s="10"/>
      <c r="AG38" s="10"/>
      <c r="AH38" s="10"/>
      <c r="AI38" s="10"/>
      <c r="AJ38" s="11"/>
      <c r="AL38" s="18" t="s">
        <v>36</v>
      </c>
      <c r="AM38" s="9" t="s">
        <v>10</v>
      </c>
      <c r="AN38" s="10">
        <f t="shared" ref="AN38:AP38" si="45">D38+K38+R38+Y38+AF38</f>
        <v>0</v>
      </c>
      <c r="AO38" s="10">
        <f t="shared" si="45"/>
        <v>0</v>
      </c>
      <c r="AP38" s="10">
        <f t="shared" si="45"/>
        <v>0</v>
      </c>
      <c r="AQ38" s="11">
        <f t="shared" ref="AQ38:AQ45" si="47">H38+O38+V38+AC38+AJ38</f>
        <v>0</v>
      </c>
    </row>
    <row r="39">
      <c r="A39" s="19"/>
      <c r="B39" s="19"/>
      <c r="C39" s="9" t="s">
        <v>12</v>
      </c>
      <c r="D39" s="10"/>
      <c r="E39" s="10"/>
      <c r="F39" s="10"/>
      <c r="G39" s="10"/>
      <c r="H39" s="11"/>
      <c r="I39" s="19"/>
      <c r="J39" s="9" t="s">
        <v>12</v>
      </c>
      <c r="K39" s="10"/>
      <c r="L39" s="10"/>
      <c r="M39" s="10"/>
      <c r="N39" s="10"/>
      <c r="O39" s="11"/>
      <c r="P39" s="19"/>
      <c r="Q39" s="9" t="s">
        <v>12</v>
      </c>
      <c r="R39" s="10"/>
      <c r="S39" s="10"/>
      <c r="T39" s="10"/>
      <c r="U39" s="10"/>
      <c r="V39" s="11"/>
      <c r="W39" s="19"/>
      <c r="X39" s="9" t="s">
        <v>280</v>
      </c>
      <c r="Y39" s="10"/>
      <c r="Z39" s="10"/>
      <c r="AA39" s="10"/>
      <c r="AB39" s="10"/>
      <c r="AC39" s="11"/>
      <c r="AD39" s="19"/>
      <c r="AE39" s="9" t="s">
        <v>12</v>
      </c>
      <c r="AF39" s="10"/>
      <c r="AG39" s="10"/>
      <c r="AH39" s="10"/>
      <c r="AI39" s="10"/>
      <c r="AJ39" s="11"/>
      <c r="AL39" s="19"/>
      <c r="AM39" s="9" t="s">
        <v>12</v>
      </c>
      <c r="AN39" s="10">
        <f t="shared" ref="AN39:AP39" si="46">D39+K39+R39+Y39+AF39</f>
        <v>0</v>
      </c>
      <c r="AO39" s="10">
        <f t="shared" si="46"/>
        <v>0</v>
      </c>
      <c r="AP39" s="10">
        <f t="shared" si="46"/>
        <v>0</v>
      </c>
      <c r="AQ39" s="11">
        <f t="shared" si="47"/>
        <v>0</v>
      </c>
    </row>
    <row r="40">
      <c r="A40" s="19"/>
      <c r="B40" s="19"/>
      <c r="C40" s="290" t="s">
        <v>14</v>
      </c>
      <c r="D40" s="291"/>
      <c r="E40" s="10"/>
      <c r="F40" s="10"/>
      <c r="G40" s="10"/>
      <c r="H40" s="11"/>
      <c r="I40" s="19"/>
      <c r="J40" s="9" t="s">
        <v>276</v>
      </c>
      <c r="K40" s="291"/>
      <c r="L40" s="10"/>
      <c r="M40" s="10"/>
      <c r="N40" s="10"/>
      <c r="O40" s="11"/>
      <c r="P40" s="19"/>
      <c r="Q40" s="9" t="s">
        <v>276</v>
      </c>
      <c r="R40" s="10"/>
      <c r="S40" s="10"/>
      <c r="T40" s="10"/>
      <c r="U40" s="10"/>
      <c r="V40" s="11"/>
      <c r="W40" s="19"/>
      <c r="X40" s="9" t="s">
        <v>276</v>
      </c>
      <c r="Y40" s="10"/>
      <c r="Z40" s="10"/>
      <c r="AA40" s="10"/>
      <c r="AB40" s="10"/>
      <c r="AC40" s="11"/>
      <c r="AD40" s="19"/>
      <c r="AE40" s="9" t="s">
        <v>276</v>
      </c>
      <c r="AF40" s="10"/>
      <c r="AG40" s="10"/>
      <c r="AH40" s="10"/>
      <c r="AI40" s="10"/>
      <c r="AJ40" s="11"/>
      <c r="AL40" s="19"/>
      <c r="AM40" s="9" t="s">
        <v>14</v>
      </c>
      <c r="AN40" s="10">
        <f t="shared" ref="AN40:AP40" si="48">D40+K40+R40+Y40+AF40</f>
        <v>0</v>
      </c>
      <c r="AO40" s="10">
        <f t="shared" si="48"/>
        <v>0</v>
      </c>
      <c r="AP40" s="10">
        <f t="shared" si="48"/>
        <v>0</v>
      </c>
      <c r="AQ40" s="11">
        <f t="shared" si="47"/>
        <v>0</v>
      </c>
    </row>
    <row r="41">
      <c r="A41" s="19"/>
      <c r="B41" s="19"/>
      <c r="C41" s="9" t="s">
        <v>16</v>
      </c>
      <c r="D41" s="10"/>
      <c r="E41" s="10"/>
      <c r="F41" s="10"/>
      <c r="G41" s="10"/>
      <c r="H41" s="11"/>
      <c r="I41" s="19"/>
      <c r="J41" s="9" t="s">
        <v>16</v>
      </c>
      <c r="K41" s="10"/>
      <c r="L41" s="10"/>
      <c r="M41" s="10"/>
      <c r="N41" s="10"/>
      <c r="O41" s="11"/>
      <c r="P41" s="19"/>
      <c r="Q41" s="9" t="s">
        <v>16</v>
      </c>
      <c r="R41" s="10"/>
      <c r="S41" s="10"/>
      <c r="T41" s="10"/>
      <c r="U41" s="10"/>
      <c r="V41" s="11"/>
      <c r="W41" s="19"/>
      <c r="X41" s="9" t="s">
        <v>16</v>
      </c>
      <c r="Y41" s="10"/>
      <c r="Z41" s="10"/>
      <c r="AA41" s="10"/>
      <c r="AB41" s="10"/>
      <c r="AC41" s="11"/>
      <c r="AD41" s="19"/>
      <c r="AE41" s="9" t="s">
        <v>16</v>
      </c>
      <c r="AF41" s="10"/>
      <c r="AG41" s="10"/>
      <c r="AH41" s="10"/>
      <c r="AI41" s="10"/>
      <c r="AJ41" s="11"/>
      <c r="AL41" s="19"/>
      <c r="AM41" s="9" t="s">
        <v>16</v>
      </c>
      <c r="AN41" s="10">
        <f t="shared" ref="AN41:AP41" si="49">D41+K41+R41+Y41+AF41</f>
        <v>0</v>
      </c>
      <c r="AO41" s="10">
        <f t="shared" si="49"/>
        <v>0</v>
      </c>
      <c r="AP41" s="10">
        <f t="shared" si="49"/>
        <v>0</v>
      </c>
      <c r="AQ41" s="11">
        <f t="shared" si="47"/>
        <v>0</v>
      </c>
    </row>
    <row r="42">
      <c r="A42" s="19"/>
      <c r="B42" s="19"/>
      <c r="C42" s="9" t="s">
        <v>17</v>
      </c>
      <c r="D42" s="10"/>
      <c r="E42" s="10"/>
      <c r="F42" s="10"/>
      <c r="G42" s="10"/>
      <c r="H42" s="11"/>
      <c r="I42" s="19"/>
      <c r="J42" s="9" t="s">
        <v>17</v>
      </c>
      <c r="K42" s="10"/>
      <c r="L42" s="10"/>
      <c r="M42" s="10"/>
      <c r="N42" s="10"/>
      <c r="O42" s="11"/>
      <c r="P42" s="19"/>
      <c r="Q42" s="9" t="s">
        <v>17</v>
      </c>
      <c r="R42" s="10"/>
      <c r="S42" s="10"/>
      <c r="T42" s="10"/>
      <c r="U42" s="10"/>
      <c r="V42" s="11"/>
      <c r="W42" s="19"/>
      <c r="X42" s="9" t="s">
        <v>17</v>
      </c>
      <c r="Y42" s="10"/>
      <c r="Z42" s="10"/>
      <c r="AA42" s="10"/>
      <c r="AB42" s="10"/>
      <c r="AC42" s="11"/>
      <c r="AD42" s="19"/>
      <c r="AE42" s="9" t="s">
        <v>17</v>
      </c>
      <c r="AF42" s="10"/>
      <c r="AG42" s="10"/>
      <c r="AH42" s="10"/>
      <c r="AI42" s="10"/>
      <c r="AJ42" s="11"/>
      <c r="AL42" s="19"/>
      <c r="AM42" s="9" t="s">
        <v>17</v>
      </c>
      <c r="AN42" s="10">
        <f t="shared" ref="AN42:AP42" si="50">D42+K42+R42+Y42+AF42</f>
        <v>0</v>
      </c>
      <c r="AO42" s="10">
        <f t="shared" si="50"/>
        <v>0</v>
      </c>
      <c r="AP42" s="10">
        <f t="shared" si="50"/>
        <v>0</v>
      </c>
      <c r="AQ42" s="11">
        <f t="shared" si="47"/>
        <v>0</v>
      </c>
    </row>
    <row r="43">
      <c r="A43" s="19"/>
      <c r="B43" s="19"/>
      <c r="C43" s="9" t="s">
        <v>18</v>
      </c>
      <c r="D43" s="10"/>
      <c r="E43" s="10"/>
      <c r="F43" s="10"/>
      <c r="G43" s="10"/>
      <c r="H43" s="11"/>
      <c r="I43" s="19"/>
      <c r="J43" s="9" t="s">
        <v>18</v>
      </c>
      <c r="K43" s="10"/>
      <c r="L43" s="10"/>
      <c r="M43" s="10"/>
      <c r="N43" s="10"/>
      <c r="O43" s="11"/>
      <c r="P43" s="19"/>
      <c r="Q43" s="9" t="s">
        <v>18</v>
      </c>
      <c r="R43" s="10"/>
      <c r="S43" s="10"/>
      <c r="T43" s="10"/>
      <c r="U43" s="10"/>
      <c r="V43" s="11"/>
      <c r="W43" s="19"/>
      <c r="X43" s="9" t="s">
        <v>18</v>
      </c>
      <c r="Y43" s="10"/>
      <c r="Z43" s="10"/>
      <c r="AA43" s="10"/>
      <c r="AB43" s="10"/>
      <c r="AC43" s="11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1">D43+K43+R43+Y43+AF43</f>
        <v>0</v>
      </c>
      <c r="AO43" s="10">
        <f t="shared" si="51"/>
        <v>0</v>
      </c>
      <c r="AP43" s="10">
        <f t="shared" si="51"/>
        <v>0</v>
      </c>
      <c r="AQ43" s="11">
        <f t="shared" si="47"/>
        <v>0</v>
      </c>
    </row>
    <row r="44">
      <c r="A44" s="19"/>
      <c r="B44" s="19"/>
      <c r="C44" s="9" t="s">
        <v>20</v>
      </c>
      <c r="D44" s="10"/>
      <c r="E44" s="10"/>
      <c r="F44" s="10"/>
      <c r="G44" s="10"/>
      <c r="H44" s="11"/>
      <c r="I44" s="19"/>
      <c r="J44" s="9" t="s">
        <v>19</v>
      </c>
      <c r="K44" s="10"/>
      <c r="L44" s="10"/>
      <c r="M44" s="10"/>
      <c r="N44" s="10"/>
      <c r="O44" s="11"/>
      <c r="P44" s="19"/>
      <c r="Q44" s="9" t="s">
        <v>19</v>
      </c>
      <c r="R44" s="10"/>
      <c r="S44" s="10"/>
      <c r="T44" s="10"/>
      <c r="U44" s="10"/>
      <c r="V44" s="11"/>
      <c r="W44" s="19"/>
      <c r="X44" s="9" t="s">
        <v>19</v>
      </c>
      <c r="Y44" s="10"/>
      <c r="Z44" s="10"/>
      <c r="AA44" s="10"/>
      <c r="AB44" s="10"/>
      <c r="AC44" s="11"/>
      <c r="AD44" s="19"/>
      <c r="AE44" s="9" t="s">
        <v>19</v>
      </c>
      <c r="AF44" s="10"/>
      <c r="AG44" s="10"/>
      <c r="AH44" s="10"/>
      <c r="AI44" s="10"/>
      <c r="AJ44" s="11"/>
      <c r="AL44" s="19"/>
      <c r="AM44" s="9" t="s">
        <v>19</v>
      </c>
      <c r="AN44" s="10">
        <f t="shared" ref="AN44:AP44" si="52">D44+K44+R44+Y44+AF44</f>
        <v>0</v>
      </c>
      <c r="AO44" s="10">
        <f t="shared" si="52"/>
        <v>0</v>
      </c>
      <c r="AP44" s="10">
        <f t="shared" si="52"/>
        <v>0</v>
      </c>
      <c r="AQ44" s="11">
        <f t="shared" si="47"/>
        <v>0</v>
      </c>
    </row>
    <row r="45">
      <c r="A45" s="19"/>
      <c r="B45" s="19"/>
      <c r="C45" s="26" t="s">
        <v>21</v>
      </c>
      <c r="D45" s="10"/>
      <c r="E45" s="10"/>
      <c r="F45" s="10"/>
      <c r="G45" s="10"/>
      <c r="H45" s="11"/>
      <c r="I45" s="19"/>
      <c r="J45" s="26" t="s">
        <v>21</v>
      </c>
      <c r="K45" s="10"/>
      <c r="L45" s="10"/>
      <c r="M45" s="10"/>
      <c r="N45" s="310"/>
      <c r="O45" s="11"/>
      <c r="P45" s="19"/>
      <c r="Q45" s="26" t="s">
        <v>21</v>
      </c>
      <c r="R45" s="10"/>
      <c r="S45" s="10"/>
      <c r="T45" s="10"/>
      <c r="U45" s="310"/>
      <c r="V45" s="11"/>
      <c r="W45" s="19"/>
      <c r="X45" s="26" t="s">
        <v>22</v>
      </c>
      <c r="Y45" s="10"/>
      <c r="Z45" s="10"/>
      <c r="AA45" s="10"/>
      <c r="AB45" s="310"/>
      <c r="AC45" s="11"/>
      <c r="AD45" s="19"/>
      <c r="AE45" s="26" t="s">
        <v>21</v>
      </c>
      <c r="AF45" s="10"/>
      <c r="AG45" s="10"/>
      <c r="AH45" s="10"/>
      <c r="AI45" s="10"/>
      <c r="AJ45" s="11"/>
      <c r="AL45" s="19"/>
      <c r="AM45" s="26" t="s">
        <v>21</v>
      </c>
      <c r="AN45" s="10">
        <f t="shared" ref="AN45:AP45" si="53">D45+K45+R45+Y45+AF45</f>
        <v>0</v>
      </c>
      <c r="AO45" s="10">
        <f t="shared" si="53"/>
        <v>0</v>
      </c>
      <c r="AP45" s="10">
        <f t="shared" si="53"/>
        <v>0</v>
      </c>
      <c r="AQ45" s="11">
        <f t="shared" si="47"/>
        <v>0</v>
      </c>
    </row>
    <row r="46">
      <c r="A46" s="19"/>
      <c r="B46" s="19"/>
      <c r="C46" s="28" t="s">
        <v>23</v>
      </c>
      <c r="D46" s="61">
        <f t="shared" ref="D46:H46" si="54">D38+D39+D40+D41+D42+D43+D44+D45</f>
        <v>0</v>
      </c>
      <c r="E46" s="30">
        <f t="shared" si="54"/>
        <v>0</v>
      </c>
      <c r="F46" s="36">
        <f t="shared" si="54"/>
        <v>0</v>
      </c>
      <c r="G46" s="40">
        <f t="shared" si="54"/>
        <v>0</v>
      </c>
      <c r="H46" s="33">
        <f t="shared" si="54"/>
        <v>0</v>
      </c>
      <c r="I46" s="19"/>
      <c r="J46" s="28" t="s">
        <v>23</v>
      </c>
      <c r="K46" s="29">
        <f t="shared" ref="K46:O46" si="55">K38+K39+K40+K41+K42+K43+K44+K45</f>
        <v>0</v>
      </c>
      <c r="L46" s="35">
        <f t="shared" si="55"/>
        <v>0</v>
      </c>
      <c r="M46" s="31">
        <f t="shared" si="55"/>
        <v>0</v>
      </c>
      <c r="N46" s="40">
        <f t="shared" si="55"/>
        <v>0</v>
      </c>
      <c r="O46" s="38">
        <f t="shared" si="55"/>
        <v>0</v>
      </c>
      <c r="P46" s="19"/>
      <c r="Q46" s="28" t="s">
        <v>23</v>
      </c>
      <c r="R46" s="61">
        <f t="shared" ref="R46:V46" si="56">R38+R39+R40+R41+R42+R43+R44+R45</f>
        <v>0</v>
      </c>
      <c r="S46" s="35">
        <f t="shared" si="56"/>
        <v>0</v>
      </c>
      <c r="T46" s="31">
        <f t="shared" si="56"/>
        <v>0</v>
      </c>
      <c r="U46" s="37">
        <f t="shared" si="56"/>
        <v>0</v>
      </c>
      <c r="V46" s="33">
        <f t="shared" si="56"/>
        <v>0</v>
      </c>
      <c r="W46" s="19"/>
      <c r="X46" s="66" t="s">
        <v>23</v>
      </c>
      <c r="Y46" s="29">
        <f t="shared" ref="Y46:AC46" si="57">Y38+Y39+Y40+Y41+Y42+Y43+Y44+Y45</f>
        <v>0</v>
      </c>
      <c r="Z46" s="40">
        <f t="shared" si="57"/>
        <v>0</v>
      </c>
      <c r="AA46" s="31">
        <f t="shared" si="57"/>
        <v>0</v>
      </c>
      <c r="AB46" s="37">
        <f t="shared" si="57"/>
        <v>0</v>
      </c>
      <c r="AC46" s="33">
        <f t="shared" si="57"/>
        <v>0</v>
      </c>
      <c r="AD46" s="19"/>
      <c r="AE46" s="28" t="s">
        <v>23</v>
      </c>
      <c r="AF46" s="29">
        <f t="shared" ref="AF46:AJ46" si="58">AF38+AF39+AF40+AF41+AF42+AF43+AF44+AF45</f>
        <v>0</v>
      </c>
      <c r="AG46" s="30">
        <f t="shared" si="58"/>
        <v>0</v>
      </c>
      <c r="AH46" s="31">
        <f t="shared" si="58"/>
        <v>0</v>
      </c>
      <c r="AI46" s="32">
        <f t="shared" si="58"/>
        <v>0</v>
      </c>
      <c r="AJ46" s="33">
        <f t="shared" si="58"/>
        <v>0</v>
      </c>
      <c r="AL46" s="19"/>
      <c r="AM46" s="28" t="s">
        <v>23</v>
      </c>
      <c r="AN46" s="41">
        <f t="shared" ref="AN46:AQ46" si="59">AN38+AN39+AN40+AN41+AN42+AN43+AN44+AN45</f>
        <v>0</v>
      </c>
      <c r="AO46" s="42">
        <f t="shared" si="59"/>
        <v>0</v>
      </c>
      <c r="AP46" s="43">
        <f t="shared" si="59"/>
        <v>0</v>
      </c>
      <c r="AQ46" s="44">
        <f t="shared" si="59"/>
        <v>0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0</v>
      </c>
      <c r="L47" s="47"/>
      <c r="M47" s="48"/>
      <c r="N47" s="51"/>
      <c r="O47" s="51"/>
      <c r="P47" s="19"/>
      <c r="Q47" s="45" t="s">
        <v>24</v>
      </c>
      <c r="R47" s="50">
        <f>R46-S46</f>
        <v>0</v>
      </c>
      <c r="S47" s="47"/>
      <c r="T47" s="48"/>
      <c r="U47" s="51"/>
      <c r="V47" s="51"/>
      <c r="W47" s="19"/>
      <c r="X47" s="45" t="s">
        <v>24</v>
      </c>
      <c r="Y47" s="50">
        <f>Y46-Z46</f>
        <v>0</v>
      </c>
      <c r="Z47" s="47"/>
      <c r="AA47" s="48"/>
      <c r="AB47" s="51"/>
      <c r="AC47" s="51"/>
      <c r="AD47" s="19"/>
      <c r="AE47" s="45" t="s">
        <v>24</v>
      </c>
      <c r="AF47" s="50">
        <f>AF46-AG46</f>
        <v>0</v>
      </c>
      <c r="AG47" s="47"/>
      <c r="AH47" s="48"/>
      <c r="AI47" s="51"/>
      <c r="AJ47" s="51"/>
      <c r="AL47" s="53"/>
      <c r="AM47" s="45" t="s">
        <v>25</v>
      </c>
      <c r="AN47" s="50">
        <f>AN46-AO46</f>
        <v>0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0</v>
      </c>
      <c r="L48" s="47"/>
      <c r="M48" s="48"/>
      <c r="N48" s="51"/>
      <c r="O48" s="51"/>
      <c r="P48" s="53"/>
      <c r="Q48" s="56" t="s">
        <v>26</v>
      </c>
      <c r="R48" s="57">
        <f>T46-S46</f>
        <v>0</v>
      </c>
      <c r="S48" s="47"/>
      <c r="T48" s="48"/>
      <c r="U48" s="51"/>
      <c r="V48" s="51"/>
      <c r="W48" s="53"/>
      <c r="X48" s="56" t="s">
        <v>26</v>
      </c>
      <c r="Y48" s="57">
        <f>AA46-Z46</f>
        <v>0</v>
      </c>
      <c r="Z48" s="47"/>
      <c r="AA48" s="48"/>
      <c r="AB48" s="51"/>
      <c r="AC48" s="51"/>
      <c r="AD48" s="53"/>
      <c r="AE48" s="56" t="s">
        <v>26</v>
      </c>
      <c r="AF48" s="57">
        <f>AH46-AG46</f>
        <v>0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2" t="s">
        <v>1</v>
      </c>
      <c r="D49" s="3" t="s">
        <v>2</v>
      </c>
      <c r="E49" s="2" t="s">
        <v>3</v>
      </c>
      <c r="F49" s="2" t="s">
        <v>4</v>
      </c>
      <c r="G49" s="2" t="s">
        <v>5</v>
      </c>
      <c r="H49" s="5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2" t="s">
        <v>1</v>
      </c>
      <c r="R49" s="4" t="s">
        <v>7</v>
      </c>
      <c r="S49" s="2" t="s">
        <v>3</v>
      </c>
      <c r="T49" s="2" t="s">
        <v>4</v>
      </c>
      <c r="U49" s="2" t="s">
        <v>5</v>
      </c>
      <c r="V49" s="5" t="s">
        <v>6</v>
      </c>
      <c r="W49" s="68" t="s">
        <v>0</v>
      </c>
      <c r="X49" s="2" t="s">
        <v>1</v>
      </c>
      <c r="Y49" s="4" t="s">
        <v>7</v>
      </c>
      <c r="Z49" s="2" t="s">
        <v>3</v>
      </c>
      <c r="AA49" s="2" t="s">
        <v>4</v>
      </c>
      <c r="AB49" s="2" t="s">
        <v>5</v>
      </c>
      <c r="AC49" s="5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>
        <v>45870.0</v>
      </c>
      <c r="C50" s="9" t="s">
        <v>10</v>
      </c>
      <c r="D50" s="10"/>
      <c r="E50" s="10"/>
      <c r="F50" s="10"/>
      <c r="G50" s="10"/>
      <c r="H50" s="11"/>
      <c r="I50" s="12">
        <v>45877.0</v>
      </c>
      <c r="J50" s="9" t="s">
        <v>10</v>
      </c>
      <c r="K50" s="10"/>
      <c r="L50" s="10"/>
      <c r="M50" s="10"/>
      <c r="N50" s="10"/>
      <c r="O50" s="11"/>
      <c r="P50" s="8">
        <v>45884.0</v>
      </c>
      <c r="Q50" s="9" t="s">
        <v>10</v>
      </c>
      <c r="R50" s="10"/>
      <c r="S50" s="10"/>
      <c r="T50" s="10"/>
      <c r="U50" s="10"/>
      <c r="V50" s="11"/>
      <c r="W50" s="8">
        <v>45891.0</v>
      </c>
      <c r="X50" s="9" t="s">
        <v>10</v>
      </c>
      <c r="Y50" s="10"/>
      <c r="Z50" s="10"/>
      <c r="AA50" s="10"/>
      <c r="AB50" s="10"/>
      <c r="AC50" s="11"/>
      <c r="AD50" s="8">
        <v>45898.0</v>
      </c>
      <c r="AE50" s="9" t="s">
        <v>10</v>
      </c>
      <c r="AF50" s="10"/>
      <c r="AG50" s="10"/>
      <c r="AH50" s="10"/>
      <c r="AI50" s="10"/>
      <c r="AJ50" s="11"/>
      <c r="AL50" s="18" t="s">
        <v>38</v>
      </c>
      <c r="AM50" s="9" t="s">
        <v>10</v>
      </c>
      <c r="AN50" s="10">
        <f t="shared" ref="AN50:AP50" si="60">D50+K50+R50+Y50+AF50</f>
        <v>0</v>
      </c>
      <c r="AO50" s="10">
        <f t="shared" si="60"/>
        <v>0</v>
      </c>
      <c r="AP50" s="10">
        <f t="shared" si="60"/>
        <v>0</v>
      </c>
      <c r="AQ50" s="11">
        <f t="shared" ref="AQ50:AQ57" si="62">H50+O50+V50+AC50+AJ50</f>
        <v>0</v>
      </c>
    </row>
    <row r="51">
      <c r="A51" s="19"/>
      <c r="B51" s="19"/>
      <c r="C51" s="9" t="s">
        <v>12</v>
      </c>
      <c r="D51" s="10"/>
      <c r="E51" s="10"/>
      <c r="F51" s="10"/>
      <c r="G51" s="10"/>
      <c r="H51" s="11"/>
      <c r="I51" s="19"/>
      <c r="J51" s="9" t="s">
        <v>12</v>
      </c>
      <c r="K51" s="10"/>
      <c r="L51" s="10"/>
      <c r="M51" s="10"/>
      <c r="N51" s="10"/>
      <c r="O51" s="11"/>
      <c r="P51" s="19"/>
      <c r="Q51" s="9" t="s">
        <v>32</v>
      </c>
      <c r="R51" s="10"/>
      <c r="S51" s="10"/>
      <c r="T51" s="10"/>
      <c r="U51" s="10"/>
      <c r="V51" s="11"/>
      <c r="W51" s="19"/>
      <c r="X51" s="9" t="s">
        <v>12</v>
      </c>
      <c r="Y51" s="10"/>
      <c r="Z51" s="10"/>
      <c r="AA51" s="10"/>
      <c r="AB51" s="10"/>
      <c r="AC51" s="11"/>
      <c r="AD51" s="19"/>
      <c r="AE51" s="9" t="s">
        <v>12</v>
      </c>
      <c r="AF51" s="10"/>
      <c r="AG51" s="10"/>
      <c r="AH51" s="10"/>
      <c r="AI51" s="10"/>
      <c r="AJ51" s="11"/>
      <c r="AL51" s="19"/>
      <c r="AM51" s="9" t="s">
        <v>12</v>
      </c>
      <c r="AN51" s="10">
        <f t="shared" ref="AN51:AP51" si="61">D51+K51+R51+Y51+AF51</f>
        <v>0</v>
      </c>
      <c r="AO51" s="10">
        <f t="shared" si="61"/>
        <v>0</v>
      </c>
      <c r="AP51" s="10">
        <f t="shared" si="61"/>
        <v>0</v>
      </c>
      <c r="AQ51" s="11">
        <f t="shared" si="62"/>
        <v>0</v>
      </c>
    </row>
    <row r="52">
      <c r="A52" s="19"/>
      <c r="B52" s="19"/>
      <c r="C52" s="9" t="s">
        <v>276</v>
      </c>
      <c r="D52" s="10"/>
      <c r="E52" s="10"/>
      <c r="F52" s="10"/>
      <c r="G52" s="10"/>
      <c r="H52" s="11"/>
      <c r="I52" s="19"/>
      <c r="J52" s="9" t="s">
        <v>276</v>
      </c>
      <c r="K52" s="291"/>
      <c r="L52" s="10"/>
      <c r="M52" s="10"/>
      <c r="N52" s="10"/>
      <c r="O52" s="11"/>
      <c r="P52" s="19"/>
      <c r="Q52" s="9" t="s">
        <v>276</v>
      </c>
      <c r="R52" s="10"/>
      <c r="S52" s="10"/>
      <c r="T52" s="10"/>
      <c r="U52" s="10"/>
      <c r="V52" s="11"/>
      <c r="W52" s="19"/>
      <c r="X52" s="9" t="s">
        <v>276</v>
      </c>
      <c r="Y52" s="10"/>
      <c r="Z52" s="10"/>
      <c r="AA52" s="10"/>
      <c r="AB52" s="10"/>
      <c r="AC52" s="11"/>
      <c r="AD52" s="19"/>
      <c r="AE52" s="9" t="s">
        <v>276</v>
      </c>
      <c r="AF52" s="10"/>
      <c r="AG52" s="10"/>
      <c r="AH52" s="10"/>
      <c r="AI52" s="10"/>
      <c r="AJ52" s="11"/>
      <c r="AL52" s="19"/>
      <c r="AM52" s="9" t="s">
        <v>14</v>
      </c>
      <c r="AN52" s="10">
        <f t="shared" ref="AN52:AP52" si="63">D52+K52+R52+Y52+AF52</f>
        <v>0</v>
      </c>
      <c r="AO52" s="10">
        <f t="shared" si="63"/>
        <v>0</v>
      </c>
      <c r="AP52" s="10">
        <f t="shared" si="63"/>
        <v>0</v>
      </c>
      <c r="AQ52" s="11">
        <f t="shared" si="62"/>
        <v>0</v>
      </c>
    </row>
    <row r="53">
      <c r="A53" s="19"/>
      <c r="B53" s="19"/>
      <c r="C53" s="9" t="s">
        <v>16</v>
      </c>
      <c r="D53" s="10"/>
      <c r="E53" s="10"/>
      <c r="F53" s="10"/>
      <c r="G53" s="10"/>
      <c r="H53" s="11"/>
      <c r="I53" s="19"/>
      <c r="J53" s="9" t="s">
        <v>15</v>
      </c>
      <c r="K53" s="10"/>
      <c r="L53" s="10"/>
      <c r="M53" s="10"/>
      <c r="N53" s="10"/>
      <c r="O53" s="11"/>
      <c r="P53" s="19"/>
      <c r="Q53" s="9" t="s">
        <v>16</v>
      </c>
      <c r="R53" s="10"/>
      <c r="S53" s="10"/>
      <c r="T53" s="10"/>
      <c r="U53" s="10"/>
      <c r="V53" s="11"/>
      <c r="W53" s="19"/>
      <c r="X53" s="9" t="s">
        <v>16</v>
      </c>
      <c r="Y53" s="10"/>
      <c r="Z53" s="10"/>
      <c r="AA53" s="10"/>
      <c r="AB53" s="10"/>
      <c r="AC53" s="11"/>
      <c r="AD53" s="19"/>
      <c r="AE53" s="9" t="s">
        <v>16</v>
      </c>
      <c r="AF53" s="10"/>
      <c r="AG53" s="10"/>
      <c r="AH53" s="10"/>
      <c r="AI53" s="10"/>
      <c r="AJ53" s="11"/>
      <c r="AL53" s="19"/>
      <c r="AM53" s="9" t="s">
        <v>16</v>
      </c>
      <c r="AN53" s="10">
        <f t="shared" ref="AN53:AP53" si="64">D53+K53+R53+Y53+AF53</f>
        <v>0</v>
      </c>
      <c r="AO53" s="10">
        <f t="shared" si="64"/>
        <v>0</v>
      </c>
      <c r="AP53" s="10">
        <f t="shared" si="64"/>
        <v>0</v>
      </c>
      <c r="AQ53" s="11">
        <f t="shared" si="62"/>
        <v>0</v>
      </c>
    </row>
    <row r="54">
      <c r="A54" s="19"/>
      <c r="B54" s="19"/>
      <c r="C54" s="9" t="s">
        <v>17</v>
      </c>
      <c r="D54" s="10"/>
      <c r="E54" s="10"/>
      <c r="F54" s="10"/>
      <c r="G54" s="10"/>
      <c r="H54" s="11"/>
      <c r="I54" s="19"/>
      <c r="J54" s="9" t="s">
        <v>17</v>
      </c>
      <c r="K54" s="10"/>
      <c r="L54" s="10"/>
      <c r="M54" s="10"/>
      <c r="N54" s="10"/>
      <c r="O54" s="11"/>
      <c r="P54" s="19"/>
      <c r="Q54" s="9" t="s">
        <v>17</v>
      </c>
      <c r="R54" s="10"/>
      <c r="S54" s="10"/>
      <c r="T54" s="10"/>
      <c r="U54" s="10"/>
      <c r="V54" s="11"/>
      <c r="W54" s="19"/>
      <c r="X54" s="9" t="s">
        <v>17</v>
      </c>
      <c r="Y54" s="10"/>
      <c r="Z54" s="10"/>
      <c r="AA54" s="10"/>
      <c r="AB54" s="10"/>
      <c r="AC54" s="11"/>
      <c r="AD54" s="19"/>
      <c r="AE54" s="9" t="s">
        <v>17</v>
      </c>
      <c r="AF54" s="10"/>
      <c r="AG54" s="10"/>
      <c r="AH54" s="10"/>
      <c r="AI54" s="10"/>
      <c r="AJ54" s="11"/>
      <c r="AL54" s="19"/>
      <c r="AM54" s="9" t="s">
        <v>17</v>
      </c>
      <c r="AN54" s="10">
        <f t="shared" ref="AN54:AP54" si="65">D54+K54+R54+Y54+AF54</f>
        <v>0</v>
      </c>
      <c r="AO54" s="10">
        <f t="shared" si="65"/>
        <v>0</v>
      </c>
      <c r="AP54" s="10">
        <f t="shared" si="65"/>
        <v>0</v>
      </c>
      <c r="AQ54" s="11">
        <f t="shared" si="62"/>
        <v>0</v>
      </c>
    </row>
    <row r="55">
      <c r="A55" s="19"/>
      <c r="B55" s="19"/>
      <c r="C55" s="9" t="s">
        <v>18</v>
      </c>
      <c r="D55" s="10"/>
      <c r="E55" s="10"/>
      <c r="F55" s="10"/>
      <c r="G55" s="10"/>
      <c r="H55" s="11"/>
      <c r="I55" s="19"/>
      <c r="J55" s="9" t="s">
        <v>18</v>
      </c>
      <c r="K55" s="10"/>
      <c r="L55" s="10"/>
      <c r="M55" s="10"/>
      <c r="N55" s="10"/>
      <c r="O55" s="11"/>
      <c r="P55" s="19"/>
      <c r="Q55" s="9" t="s">
        <v>29</v>
      </c>
      <c r="R55" s="10"/>
      <c r="S55" s="10"/>
      <c r="T55" s="10"/>
      <c r="U55" s="10"/>
      <c r="V55" s="11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6">D55+K55+R55+Y55+AF55</f>
        <v>0</v>
      </c>
      <c r="AO55" s="10">
        <f t="shared" si="66"/>
        <v>0</v>
      </c>
      <c r="AP55" s="10">
        <f t="shared" si="66"/>
        <v>0</v>
      </c>
      <c r="AQ55" s="11">
        <f t="shared" si="62"/>
        <v>0</v>
      </c>
    </row>
    <row r="56">
      <c r="A56" s="19"/>
      <c r="B56" s="19"/>
      <c r="C56" s="9" t="s">
        <v>20</v>
      </c>
      <c r="D56" s="10"/>
      <c r="E56" s="10"/>
      <c r="F56" s="10"/>
      <c r="G56" s="10"/>
      <c r="H56" s="11"/>
      <c r="I56" s="19"/>
      <c r="J56" s="9" t="s">
        <v>19</v>
      </c>
      <c r="K56" s="10"/>
      <c r="L56" s="10"/>
      <c r="M56" s="10"/>
      <c r="N56" s="10"/>
      <c r="O56" s="11"/>
      <c r="P56" s="19"/>
      <c r="Q56" s="9" t="s">
        <v>19</v>
      </c>
      <c r="R56" s="10"/>
      <c r="S56" s="10"/>
      <c r="T56" s="10"/>
      <c r="U56" s="10"/>
      <c r="V56" s="11"/>
      <c r="W56" s="19"/>
      <c r="X56" s="9" t="s">
        <v>19</v>
      </c>
      <c r="Y56" s="10"/>
      <c r="Z56" s="10"/>
      <c r="AA56" s="10"/>
      <c r="AB56" s="10"/>
      <c r="AC56" s="11"/>
      <c r="AD56" s="19"/>
      <c r="AE56" s="9" t="s">
        <v>19</v>
      </c>
      <c r="AF56" s="10"/>
      <c r="AG56" s="10"/>
      <c r="AH56" s="10"/>
      <c r="AI56" s="10"/>
      <c r="AJ56" s="11"/>
      <c r="AL56" s="19"/>
      <c r="AM56" s="9" t="s">
        <v>19</v>
      </c>
      <c r="AN56" s="10">
        <f t="shared" ref="AN56:AP56" si="67">D56+K56+R56+Y56+AF56</f>
        <v>0</v>
      </c>
      <c r="AO56" s="10">
        <f t="shared" si="67"/>
        <v>0</v>
      </c>
      <c r="AP56" s="10">
        <f t="shared" si="67"/>
        <v>0</v>
      </c>
      <c r="AQ56" s="11">
        <f t="shared" si="62"/>
        <v>0</v>
      </c>
    </row>
    <row r="57">
      <c r="A57" s="19"/>
      <c r="B57" s="19"/>
      <c r="C57" s="26" t="s">
        <v>21</v>
      </c>
      <c r="D57" s="10"/>
      <c r="E57" s="10"/>
      <c r="F57" s="10"/>
      <c r="G57" s="10"/>
      <c r="H57" s="11"/>
      <c r="I57" s="19"/>
      <c r="J57" s="26" t="s">
        <v>21</v>
      </c>
      <c r="K57" s="10"/>
      <c r="L57" s="10"/>
      <c r="M57" s="10"/>
      <c r="N57" s="310"/>
      <c r="O57" s="11"/>
      <c r="P57" s="19"/>
      <c r="Q57" s="26" t="s">
        <v>21</v>
      </c>
      <c r="R57" s="10"/>
      <c r="S57" s="10"/>
      <c r="T57" s="10"/>
      <c r="U57" s="10"/>
      <c r="V57" s="11"/>
      <c r="W57" s="19"/>
      <c r="X57" s="26" t="s">
        <v>21</v>
      </c>
      <c r="Y57" s="10"/>
      <c r="Z57" s="10"/>
      <c r="AA57" s="10"/>
      <c r="AB57" s="310"/>
      <c r="AC57" s="11"/>
      <c r="AD57" s="19"/>
      <c r="AE57" s="26" t="s">
        <v>21</v>
      </c>
      <c r="AF57" s="10"/>
      <c r="AG57" s="10"/>
      <c r="AH57" s="10"/>
      <c r="AI57" s="310"/>
      <c r="AJ57" s="11"/>
      <c r="AL57" s="19"/>
      <c r="AM57" s="26" t="s">
        <v>21</v>
      </c>
      <c r="AN57" s="10">
        <f t="shared" ref="AN57:AP57" si="68">D57+K57+R57+Y57+AF57</f>
        <v>0</v>
      </c>
      <c r="AO57" s="10">
        <f t="shared" si="68"/>
        <v>0</v>
      </c>
      <c r="AP57" s="10">
        <f t="shared" si="68"/>
        <v>0</v>
      </c>
      <c r="AQ57" s="11">
        <f t="shared" si="62"/>
        <v>0</v>
      </c>
    </row>
    <row r="58">
      <c r="A58" s="19"/>
      <c r="B58" s="19"/>
      <c r="C58" s="28" t="s">
        <v>23</v>
      </c>
      <c r="D58" s="29">
        <f t="shared" ref="D58:H58" si="69">D50+D51+D52+D53+D54+D55+D56+D57</f>
        <v>0</v>
      </c>
      <c r="E58" s="30">
        <f t="shared" si="69"/>
        <v>0</v>
      </c>
      <c r="F58" s="31">
        <f t="shared" si="69"/>
        <v>0</v>
      </c>
      <c r="G58" s="37">
        <f t="shared" si="69"/>
        <v>0</v>
      </c>
      <c r="H58" s="33">
        <f t="shared" si="69"/>
        <v>0</v>
      </c>
      <c r="I58" s="19"/>
      <c r="J58" s="28" t="s">
        <v>23</v>
      </c>
      <c r="K58" s="61">
        <f t="shared" ref="K58:O58" si="70">K50+K51+K52+K53+K54+K55+K56+K57</f>
        <v>0</v>
      </c>
      <c r="L58" s="30">
        <f t="shared" si="70"/>
        <v>0</v>
      </c>
      <c r="M58" s="36">
        <f t="shared" si="70"/>
        <v>0</v>
      </c>
      <c r="N58" s="40">
        <f t="shared" si="70"/>
        <v>0</v>
      </c>
      <c r="O58" s="33">
        <f t="shared" si="70"/>
        <v>0</v>
      </c>
      <c r="P58" s="19"/>
      <c r="Q58" s="28" t="s">
        <v>23</v>
      </c>
      <c r="R58" s="29">
        <f t="shared" ref="R58:V58" si="71">R50+R51+R52+R53+R54+R55+R56+R57</f>
        <v>0</v>
      </c>
      <c r="S58" s="30">
        <f t="shared" si="71"/>
        <v>0</v>
      </c>
      <c r="T58" s="36">
        <f t="shared" si="71"/>
        <v>0</v>
      </c>
      <c r="U58" s="37">
        <f t="shared" si="71"/>
        <v>0</v>
      </c>
      <c r="V58" s="33">
        <f t="shared" si="71"/>
        <v>0</v>
      </c>
      <c r="W58" s="19"/>
      <c r="X58" s="28" t="s">
        <v>23</v>
      </c>
      <c r="Y58" s="61">
        <f t="shared" ref="Y58:AC58" si="72">Y50+Y51+Y52+Y53+Y54+Y55+Y56+Y57</f>
        <v>0</v>
      </c>
      <c r="Z58" s="35">
        <f t="shared" si="72"/>
        <v>0</v>
      </c>
      <c r="AA58" s="36">
        <f t="shared" si="72"/>
        <v>0</v>
      </c>
      <c r="AB58" s="37">
        <f t="shared" si="72"/>
        <v>0</v>
      </c>
      <c r="AC58" s="33">
        <f t="shared" si="72"/>
        <v>0</v>
      </c>
      <c r="AD58" s="19"/>
      <c r="AE58" s="28" t="s">
        <v>23</v>
      </c>
      <c r="AF58" s="61">
        <f t="shared" ref="AF58:AJ58" si="73">AF50+AF51+AF52+AF53+AF54+AF55+AF56+AF57</f>
        <v>0</v>
      </c>
      <c r="AG58" s="35">
        <f t="shared" si="73"/>
        <v>0</v>
      </c>
      <c r="AH58" s="36">
        <f t="shared" si="73"/>
        <v>0</v>
      </c>
      <c r="AI58" s="37">
        <f t="shared" si="73"/>
        <v>0</v>
      </c>
      <c r="AJ58" s="33">
        <f t="shared" si="73"/>
        <v>0</v>
      </c>
      <c r="AL58" s="19"/>
      <c r="AM58" s="28" t="s">
        <v>23</v>
      </c>
      <c r="AN58" s="41">
        <f t="shared" ref="AN58:AQ58" si="74">AN50+AN51+AN52+AN53+AN54+AN55+AN56+AN57</f>
        <v>0</v>
      </c>
      <c r="AO58" s="42">
        <f t="shared" si="74"/>
        <v>0</v>
      </c>
      <c r="AP58" s="43">
        <f t="shared" si="74"/>
        <v>0</v>
      </c>
      <c r="AQ58" s="44">
        <f t="shared" si="74"/>
        <v>0</v>
      </c>
    </row>
    <row r="59" hidden="1">
      <c r="A59" s="19"/>
      <c r="B59" s="19"/>
      <c r="C59" s="45" t="s">
        <v>24</v>
      </c>
      <c r="D59" s="50">
        <f>D58-E58</f>
        <v>0</v>
      </c>
      <c r="E59" s="47"/>
      <c r="F59" s="48"/>
      <c r="G59" s="51"/>
      <c r="H59" s="51"/>
      <c r="I59" s="19"/>
      <c r="J59" s="45" t="s">
        <v>24</v>
      </c>
      <c r="K59" s="50">
        <f>K58-L58</f>
        <v>0</v>
      </c>
      <c r="L59" s="47"/>
      <c r="M59" s="48"/>
      <c r="N59" s="51"/>
      <c r="O59" s="51"/>
      <c r="P59" s="19"/>
      <c r="Q59" s="45" t="s">
        <v>24</v>
      </c>
      <c r="R59" s="50">
        <f>R58-S58</f>
        <v>0</v>
      </c>
      <c r="S59" s="47"/>
      <c r="T59" s="48"/>
      <c r="U59" s="51"/>
      <c r="V59" s="51"/>
      <c r="W59" s="19"/>
      <c r="X59" s="45" t="s">
        <v>24</v>
      </c>
      <c r="Y59" s="50">
        <f>Y58-Z58</f>
        <v>0</v>
      </c>
      <c r="Z59" s="47"/>
      <c r="AA59" s="48"/>
      <c r="AB59" s="51"/>
      <c r="AC59" s="51"/>
      <c r="AD59" s="19"/>
      <c r="AE59" s="45" t="s">
        <v>24</v>
      </c>
      <c r="AF59" s="50">
        <f>AF58-AG58</f>
        <v>0</v>
      </c>
      <c r="AG59" s="47"/>
      <c r="AH59" s="48"/>
      <c r="AI59" s="51"/>
      <c r="AJ59" s="51"/>
      <c r="AL59" s="53"/>
      <c r="AM59" s="45" t="s">
        <v>25</v>
      </c>
      <c r="AN59" s="50">
        <f>AN58-AO58</f>
        <v>0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0</v>
      </c>
      <c r="E60" s="47"/>
      <c r="F60" s="48"/>
      <c r="G60" s="67"/>
      <c r="H60" s="51"/>
      <c r="I60" s="53"/>
      <c r="J60" s="56" t="s">
        <v>26</v>
      </c>
      <c r="K60" s="57">
        <f>M58-L58</f>
        <v>0</v>
      </c>
      <c r="L60" s="47"/>
      <c r="M60" s="48"/>
      <c r="N60" s="51"/>
      <c r="O60" s="51"/>
      <c r="P60" s="53"/>
      <c r="Q60" s="56" t="s">
        <v>26</v>
      </c>
      <c r="R60" s="57">
        <f>T58-S58</f>
        <v>0</v>
      </c>
      <c r="S60" s="47"/>
      <c r="T60" s="48"/>
      <c r="U60" s="51"/>
      <c r="V60" s="51"/>
      <c r="W60" s="53"/>
      <c r="X60" s="56" t="s">
        <v>26</v>
      </c>
      <c r="Y60" s="57">
        <f>AA58-Z58</f>
        <v>0</v>
      </c>
      <c r="Z60" s="47"/>
      <c r="AA60" s="48"/>
      <c r="AB60" s="51"/>
      <c r="AC60" s="51"/>
      <c r="AD60" s="53"/>
      <c r="AE60" s="56" t="s">
        <v>26</v>
      </c>
      <c r="AF60" s="57">
        <f>AH58-AG58</f>
        <v>0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1" t="s">
        <v>1</v>
      </c>
      <c r="K61" s="307" t="s">
        <v>7</v>
      </c>
      <c r="L61" s="1" t="s">
        <v>3</v>
      </c>
      <c r="M61" s="1" t="s">
        <v>4</v>
      </c>
      <c r="N61" s="1" t="s">
        <v>5</v>
      </c>
      <c r="O61" s="308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1" t="s">
        <v>1</v>
      </c>
      <c r="Y61" s="307" t="s">
        <v>7</v>
      </c>
      <c r="Z61" s="1" t="s">
        <v>3</v>
      </c>
      <c r="AA61" s="1" t="s">
        <v>4</v>
      </c>
      <c r="AB61" s="1" t="s">
        <v>5</v>
      </c>
      <c r="AC61" s="308" t="s">
        <v>6</v>
      </c>
      <c r="AD61" s="2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>
        <v>45871.0</v>
      </c>
      <c r="C62" s="9" t="s">
        <v>10</v>
      </c>
      <c r="D62" s="10"/>
      <c r="E62" s="10"/>
      <c r="F62" s="10"/>
      <c r="G62" s="10"/>
      <c r="H62" s="11"/>
      <c r="I62" s="12">
        <v>45878.0</v>
      </c>
      <c r="J62" s="9" t="s">
        <v>10</v>
      </c>
      <c r="K62" s="10"/>
      <c r="L62" s="10"/>
      <c r="M62" s="10"/>
      <c r="N62" s="10"/>
      <c r="O62" s="11"/>
      <c r="P62" s="8">
        <v>45885.0</v>
      </c>
      <c r="Q62" s="9" t="s">
        <v>10</v>
      </c>
      <c r="R62" s="10"/>
      <c r="S62" s="10"/>
      <c r="T62" s="10"/>
      <c r="U62" s="10"/>
      <c r="V62" s="11"/>
      <c r="W62" s="8">
        <v>45892.0</v>
      </c>
      <c r="X62" s="9" t="s">
        <v>10</v>
      </c>
      <c r="Y62" s="10"/>
      <c r="Z62" s="10"/>
      <c r="AA62" s="10"/>
      <c r="AB62" s="10"/>
      <c r="AC62" s="11"/>
      <c r="AD62" s="12">
        <v>45899.0</v>
      </c>
      <c r="AE62" s="9" t="s">
        <v>10</v>
      </c>
      <c r="AF62" s="10"/>
      <c r="AG62" s="10"/>
      <c r="AH62" s="10"/>
      <c r="AI62" s="10"/>
      <c r="AJ62" s="11"/>
      <c r="AL62" s="18" t="s">
        <v>40</v>
      </c>
      <c r="AM62" s="9" t="s">
        <v>10</v>
      </c>
      <c r="AN62" s="10">
        <f t="shared" ref="AN62:AP62" si="75">D62+K62+R62+Y62+AF62</f>
        <v>0</v>
      </c>
      <c r="AO62" s="10">
        <f t="shared" si="75"/>
        <v>0</v>
      </c>
      <c r="AP62" s="10">
        <f t="shared" si="75"/>
        <v>0</v>
      </c>
      <c r="AQ62" s="11">
        <f t="shared" ref="AQ62:AQ69" si="77">H62+O62+V62+AC62+AJ62</f>
        <v>0</v>
      </c>
    </row>
    <row r="63">
      <c r="A63" s="19"/>
      <c r="B63" s="19"/>
      <c r="C63" s="9" t="s">
        <v>12</v>
      </c>
      <c r="D63" s="10"/>
      <c r="E63" s="10"/>
      <c r="F63" s="10"/>
      <c r="G63" s="10"/>
      <c r="H63" s="11"/>
      <c r="I63" s="19"/>
      <c r="J63" s="9" t="s">
        <v>12</v>
      </c>
      <c r="K63" s="10"/>
      <c r="L63" s="10"/>
      <c r="M63" s="10"/>
      <c r="N63" s="10"/>
      <c r="O63" s="11"/>
      <c r="P63" s="19"/>
      <c r="Q63" s="9" t="s">
        <v>12</v>
      </c>
      <c r="R63" s="72"/>
      <c r="S63" s="10"/>
      <c r="T63" s="72"/>
      <c r="U63" s="10"/>
      <c r="V63" s="11"/>
      <c r="W63" s="19"/>
      <c r="X63" s="9" t="s">
        <v>12</v>
      </c>
      <c r="Y63" s="10"/>
      <c r="Z63" s="10"/>
      <c r="AA63" s="10"/>
      <c r="AB63" s="10"/>
      <c r="AC63" s="11"/>
      <c r="AD63" s="19"/>
      <c r="AE63" s="9" t="s">
        <v>12</v>
      </c>
      <c r="AF63" s="10"/>
      <c r="AG63" s="10"/>
      <c r="AH63" s="10"/>
      <c r="AI63" s="10"/>
      <c r="AJ63" s="11"/>
      <c r="AL63" s="19"/>
      <c r="AM63" s="9" t="s">
        <v>12</v>
      </c>
      <c r="AN63" s="10">
        <f t="shared" ref="AN63:AP63" si="76">D63+K63+R63+Y63+AF63</f>
        <v>0</v>
      </c>
      <c r="AO63" s="10">
        <f t="shared" si="76"/>
        <v>0</v>
      </c>
      <c r="AP63" s="10">
        <f t="shared" si="76"/>
        <v>0</v>
      </c>
      <c r="AQ63" s="11">
        <f t="shared" si="77"/>
        <v>0</v>
      </c>
    </row>
    <row r="64">
      <c r="A64" s="19"/>
      <c r="B64" s="19"/>
      <c r="C64" s="9" t="s">
        <v>276</v>
      </c>
      <c r="D64" s="291"/>
      <c r="E64" s="10"/>
      <c r="F64" s="10"/>
      <c r="G64" s="10"/>
      <c r="H64" s="11"/>
      <c r="I64" s="19"/>
      <c r="J64" s="9" t="s">
        <v>276</v>
      </c>
      <c r="K64" s="10"/>
      <c r="L64" s="10"/>
      <c r="M64" s="10"/>
      <c r="N64" s="10"/>
      <c r="O64" s="11"/>
      <c r="P64" s="19"/>
      <c r="Q64" s="9" t="s">
        <v>276</v>
      </c>
      <c r="R64" s="10"/>
      <c r="S64" s="10"/>
      <c r="T64" s="10"/>
      <c r="U64" s="10"/>
      <c r="V64" s="11"/>
      <c r="W64" s="19"/>
      <c r="X64" s="9" t="s">
        <v>276</v>
      </c>
      <c r="Y64" s="10"/>
      <c r="Z64" s="10"/>
      <c r="AA64" s="10"/>
      <c r="AB64" s="10"/>
      <c r="AC64" s="11"/>
      <c r="AD64" s="19"/>
      <c r="AE64" s="9" t="s">
        <v>276</v>
      </c>
      <c r="AF64" s="10"/>
      <c r="AG64" s="10"/>
      <c r="AH64" s="10"/>
      <c r="AI64" s="10"/>
      <c r="AJ64" s="11"/>
      <c r="AL64" s="19"/>
      <c r="AM64" s="9" t="s">
        <v>14</v>
      </c>
      <c r="AN64" s="10">
        <f t="shared" ref="AN64:AP64" si="78">D64+K64+R64+Y64+AF64</f>
        <v>0</v>
      </c>
      <c r="AO64" s="10">
        <f t="shared" si="78"/>
        <v>0</v>
      </c>
      <c r="AP64" s="10">
        <f t="shared" si="78"/>
        <v>0</v>
      </c>
      <c r="AQ64" s="11">
        <f t="shared" si="77"/>
        <v>0</v>
      </c>
    </row>
    <row r="65">
      <c r="A65" s="19"/>
      <c r="B65" s="19"/>
      <c r="C65" s="9" t="s">
        <v>16</v>
      </c>
      <c r="D65" s="10"/>
      <c r="E65" s="10"/>
      <c r="F65" s="10"/>
      <c r="G65" s="10"/>
      <c r="H65" s="11"/>
      <c r="I65" s="19"/>
      <c r="J65" s="9" t="s">
        <v>16</v>
      </c>
      <c r="K65" s="10"/>
      <c r="L65" s="10"/>
      <c r="M65" s="10"/>
      <c r="N65" s="10"/>
      <c r="O65" s="11"/>
      <c r="P65" s="19"/>
      <c r="Q65" s="9" t="s">
        <v>16</v>
      </c>
      <c r="R65" s="10"/>
      <c r="S65" s="10"/>
      <c r="T65" s="10"/>
      <c r="U65" s="10"/>
      <c r="V65" s="11"/>
      <c r="W65" s="19"/>
      <c r="X65" s="9" t="s">
        <v>16</v>
      </c>
      <c r="Y65" s="10"/>
      <c r="Z65" s="10"/>
      <c r="AA65" s="10"/>
      <c r="AB65" s="10"/>
      <c r="AC65" s="11"/>
      <c r="AD65" s="19"/>
      <c r="AE65" s="9" t="s">
        <v>16</v>
      </c>
      <c r="AF65" s="10"/>
      <c r="AG65" s="10"/>
      <c r="AH65" s="10"/>
      <c r="AI65" s="10"/>
      <c r="AJ65" s="11"/>
      <c r="AL65" s="19"/>
      <c r="AM65" s="9" t="s">
        <v>16</v>
      </c>
      <c r="AN65" s="10">
        <f t="shared" ref="AN65:AP65" si="79">D65+K65+R65+Y65+AF65</f>
        <v>0</v>
      </c>
      <c r="AO65" s="10">
        <f t="shared" si="79"/>
        <v>0</v>
      </c>
      <c r="AP65" s="10">
        <f t="shared" si="79"/>
        <v>0</v>
      </c>
      <c r="AQ65" s="11">
        <f t="shared" si="77"/>
        <v>0</v>
      </c>
    </row>
    <row r="66">
      <c r="A66" s="19"/>
      <c r="B66" s="19"/>
      <c r="C66" s="9" t="s">
        <v>17</v>
      </c>
      <c r="D66" s="10"/>
      <c r="E66" s="10"/>
      <c r="F66" s="10"/>
      <c r="G66" s="10"/>
      <c r="H66" s="11"/>
      <c r="I66" s="19"/>
      <c r="J66" s="9" t="s">
        <v>17</v>
      </c>
      <c r="K66" s="10"/>
      <c r="L66" s="10"/>
      <c r="M66" s="10"/>
      <c r="N66" s="10"/>
      <c r="O66" s="11"/>
      <c r="P66" s="19"/>
      <c r="Q66" s="9" t="s">
        <v>17</v>
      </c>
      <c r="R66" s="10"/>
      <c r="S66" s="10"/>
      <c r="T66" s="10"/>
      <c r="U66" s="10"/>
      <c r="V66" s="11"/>
      <c r="W66" s="19"/>
      <c r="X66" s="9" t="s">
        <v>17</v>
      </c>
      <c r="Y66" s="10"/>
      <c r="Z66" s="10"/>
      <c r="AA66" s="10"/>
      <c r="AB66" s="10"/>
      <c r="AC66" s="11"/>
      <c r="AD66" s="19"/>
      <c r="AE66" s="9" t="s">
        <v>17</v>
      </c>
      <c r="AF66" s="10"/>
      <c r="AG66" s="10"/>
      <c r="AH66" s="10"/>
      <c r="AI66" s="10"/>
      <c r="AJ66" s="11"/>
      <c r="AL66" s="19"/>
      <c r="AM66" s="9" t="s">
        <v>17</v>
      </c>
      <c r="AN66" s="10">
        <f t="shared" ref="AN66:AP66" si="80">D66+K66+R66+Y66+AF66</f>
        <v>0</v>
      </c>
      <c r="AO66" s="10">
        <f t="shared" si="80"/>
        <v>0</v>
      </c>
      <c r="AP66" s="10">
        <f t="shared" si="80"/>
        <v>0</v>
      </c>
      <c r="AQ66" s="11">
        <f t="shared" si="77"/>
        <v>0</v>
      </c>
    </row>
    <row r="67">
      <c r="A67" s="19"/>
      <c r="B67" s="19"/>
      <c r="C67" s="9" t="s">
        <v>18</v>
      </c>
      <c r="D67" s="10"/>
      <c r="E67" s="10"/>
      <c r="F67" s="10"/>
      <c r="G67" s="10"/>
      <c r="H67" s="11"/>
      <c r="I67" s="19"/>
      <c r="J67" s="9" t="s">
        <v>18</v>
      </c>
      <c r="K67" s="10"/>
      <c r="L67" s="10"/>
      <c r="M67" s="10"/>
      <c r="N67" s="10"/>
      <c r="O67" s="11"/>
      <c r="P67" s="19"/>
      <c r="Q67" s="9" t="s">
        <v>18</v>
      </c>
      <c r="R67" s="10"/>
      <c r="S67" s="10"/>
      <c r="T67" s="10"/>
      <c r="U67" s="10"/>
      <c r="V67" s="11"/>
      <c r="W67" s="19"/>
      <c r="X67" s="9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1">D67+K67+R67+Y67+AF67</f>
        <v>0</v>
      </c>
      <c r="AO67" s="10">
        <f t="shared" si="81"/>
        <v>0</v>
      </c>
      <c r="AP67" s="10">
        <f t="shared" si="81"/>
        <v>0</v>
      </c>
      <c r="AQ67" s="11">
        <f t="shared" si="77"/>
        <v>0</v>
      </c>
    </row>
    <row r="68">
      <c r="A68" s="19"/>
      <c r="B68" s="19"/>
      <c r="C68" s="9" t="s">
        <v>20</v>
      </c>
      <c r="D68" s="10"/>
      <c r="E68" s="10"/>
      <c r="F68" s="10"/>
      <c r="G68" s="10"/>
      <c r="H68" s="11"/>
      <c r="I68" s="19"/>
      <c r="J68" s="9" t="s">
        <v>20</v>
      </c>
      <c r="K68" s="10"/>
      <c r="L68" s="10"/>
      <c r="M68" s="10"/>
      <c r="N68" s="10"/>
      <c r="O68" s="11"/>
      <c r="P68" s="19"/>
      <c r="Q68" s="9" t="s">
        <v>19</v>
      </c>
      <c r="R68" s="10"/>
      <c r="S68" s="10"/>
      <c r="T68" s="10"/>
      <c r="U68" s="10"/>
      <c r="V68" s="11"/>
      <c r="W68" s="19"/>
      <c r="X68" s="9" t="s">
        <v>19</v>
      </c>
      <c r="Y68" s="10"/>
      <c r="Z68" s="10"/>
      <c r="AA68" s="10"/>
      <c r="AB68" s="10"/>
      <c r="AC68" s="11"/>
      <c r="AD68" s="19"/>
      <c r="AE68" s="9" t="s">
        <v>19</v>
      </c>
      <c r="AF68" s="10"/>
      <c r="AG68" s="10"/>
      <c r="AH68" s="10"/>
      <c r="AI68" s="10"/>
      <c r="AJ68" s="11"/>
      <c r="AL68" s="19"/>
      <c r="AM68" s="9" t="s">
        <v>19</v>
      </c>
      <c r="AN68" s="10">
        <f t="shared" ref="AN68:AP68" si="82">D68+K68+R68+Y68+AF68</f>
        <v>0</v>
      </c>
      <c r="AO68" s="10">
        <f t="shared" si="82"/>
        <v>0</v>
      </c>
      <c r="AP68" s="10">
        <f t="shared" si="82"/>
        <v>0</v>
      </c>
      <c r="AQ68" s="11">
        <f t="shared" si="77"/>
        <v>0</v>
      </c>
    </row>
    <row r="69">
      <c r="A69" s="19"/>
      <c r="B69" s="19"/>
      <c r="C69" s="26" t="s">
        <v>21</v>
      </c>
      <c r="D69" s="10"/>
      <c r="E69" s="10"/>
      <c r="F69" s="10"/>
      <c r="G69" s="10"/>
      <c r="H69" s="11"/>
      <c r="I69" s="19"/>
      <c r="J69" s="26" t="s">
        <v>21</v>
      </c>
      <c r="K69" s="10"/>
      <c r="L69" s="10"/>
      <c r="M69" s="10"/>
      <c r="N69" s="310"/>
      <c r="O69" s="11"/>
      <c r="P69" s="19"/>
      <c r="Q69" s="26" t="s">
        <v>21</v>
      </c>
      <c r="R69" s="10"/>
      <c r="S69" s="10"/>
      <c r="T69" s="10"/>
      <c r="U69" s="10"/>
      <c r="V69" s="11"/>
      <c r="W69" s="19"/>
      <c r="X69" s="26" t="s">
        <v>21</v>
      </c>
      <c r="Y69" s="10"/>
      <c r="Z69" s="10"/>
      <c r="AA69" s="10"/>
      <c r="AB69" s="310"/>
      <c r="AC69" s="11"/>
      <c r="AD69" s="19"/>
      <c r="AE69" s="26" t="s">
        <v>21</v>
      </c>
      <c r="AF69" s="10"/>
      <c r="AG69" s="10"/>
      <c r="AH69" s="10"/>
      <c r="AI69" s="10"/>
      <c r="AJ69" s="11"/>
      <c r="AL69" s="19"/>
      <c r="AM69" s="26" t="s">
        <v>21</v>
      </c>
      <c r="AN69" s="10">
        <f t="shared" ref="AN69:AP69" si="83">D69+K69+R69+Y69+AF69</f>
        <v>0</v>
      </c>
      <c r="AO69" s="10">
        <f t="shared" si="83"/>
        <v>0</v>
      </c>
      <c r="AP69" s="10">
        <f t="shared" si="83"/>
        <v>0</v>
      </c>
      <c r="AQ69" s="11">
        <f t="shared" si="77"/>
        <v>0</v>
      </c>
    </row>
    <row r="70">
      <c r="A70" s="19"/>
      <c r="B70" s="19"/>
      <c r="C70" s="28" t="s">
        <v>23</v>
      </c>
      <c r="D70" s="61">
        <f t="shared" ref="D70:H70" si="84">D62+D63+D64+D65+D66+D67+D68+D69</f>
        <v>0</v>
      </c>
      <c r="E70" s="30">
        <f t="shared" si="84"/>
        <v>0</v>
      </c>
      <c r="F70" s="36">
        <f t="shared" si="84"/>
        <v>0</v>
      </c>
      <c r="G70" s="40">
        <f t="shared" si="84"/>
        <v>0</v>
      </c>
      <c r="H70" s="33">
        <f t="shared" si="84"/>
        <v>0</v>
      </c>
      <c r="I70" s="19"/>
      <c r="J70" s="28" t="s">
        <v>23</v>
      </c>
      <c r="K70" s="29">
        <f t="shared" ref="K70:O70" si="85">K62+K63+K64+K65+K66+K67+K68+K69</f>
        <v>0</v>
      </c>
      <c r="L70" s="30">
        <f t="shared" si="85"/>
        <v>0</v>
      </c>
      <c r="M70" s="31">
        <f t="shared" si="85"/>
        <v>0</v>
      </c>
      <c r="N70" s="40">
        <f t="shared" si="85"/>
        <v>0</v>
      </c>
      <c r="O70" s="33">
        <f t="shared" si="85"/>
        <v>0</v>
      </c>
      <c r="P70" s="19"/>
      <c r="Q70" s="28" t="s">
        <v>23</v>
      </c>
      <c r="R70" s="29">
        <f t="shared" ref="R70:V70" si="86">R62+R63+R64+R65+R66+R67+R68+R69</f>
        <v>0</v>
      </c>
      <c r="S70" s="30">
        <f t="shared" si="86"/>
        <v>0</v>
      </c>
      <c r="T70" s="31">
        <f t="shared" si="86"/>
        <v>0</v>
      </c>
      <c r="U70" s="37">
        <f t="shared" si="86"/>
        <v>0</v>
      </c>
      <c r="V70" s="33">
        <f t="shared" si="86"/>
        <v>0</v>
      </c>
      <c r="W70" s="19"/>
      <c r="X70" s="28" t="s">
        <v>23</v>
      </c>
      <c r="Y70" s="61">
        <f t="shared" ref="Y70:AC70" si="87">Y62+Y63+Y64+Y65+Y66+Y67+Y68+Y69</f>
        <v>0</v>
      </c>
      <c r="Z70" s="30">
        <f t="shared" si="87"/>
        <v>0</v>
      </c>
      <c r="AA70" s="31">
        <f t="shared" si="87"/>
        <v>0</v>
      </c>
      <c r="AB70" s="37">
        <f t="shared" si="87"/>
        <v>0</v>
      </c>
      <c r="AC70" s="33">
        <f t="shared" si="87"/>
        <v>0</v>
      </c>
      <c r="AD70" s="19"/>
      <c r="AE70" s="28" t="s">
        <v>23</v>
      </c>
      <c r="AF70" s="29">
        <f t="shared" ref="AF70:AJ70" si="88">AF62+AF63+AF64+AF65+AF66+AF67+AF68+AF69</f>
        <v>0</v>
      </c>
      <c r="AG70" s="30">
        <f t="shared" si="88"/>
        <v>0</v>
      </c>
      <c r="AH70" s="31">
        <f t="shared" si="88"/>
        <v>0</v>
      </c>
      <c r="AI70" s="32">
        <f t="shared" si="88"/>
        <v>0</v>
      </c>
      <c r="AJ70" s="33">
        <f t="shared" si="88"/>
        <v>0</v>
      </c>
      <c r="AL70" s="19"/>
      <c r="AM70" s="28" t="s">
        <v>23</v>
      </c>
      <c r="AN70" s="41">
        <f t="shared" ref="AN70:AQ70" si="89">AN62+AN63+AN64+AN65+AN66+AN67+AN68+AN69</f>
        <v>0</v>
      </c>
      <c r="AO70" s="42">
        <f t="shared" si="89"/>
        <v>0</v>
      </c>
      <c r="AP70" s="43">
        <f t="shared" si="89"/>
        <v>0</v>
      </c>
      <c r="AQ70" s="44">
        <f t="shared" si="89"/>
        <v>0</v>
      </c>
    </row>
    <row r="71" hidden="1">
      <c r="A71" s="19"/>
      <c r="B71" s="19"/>
      <c r="C71" s="45" t="s">
        <v>24</v>
      </c>
      <c r="D71" s="50">
        <f>D70-E70</f>
        <v>0</v>
      </c>
      <c r="E71" s="47"/>
      <c r="F71" s="48"/>
      <c r="G71" s="51"/>
      <c r="H71" s="51"/>
      <c r="I71" s="19"/>
      <c r="J71" s="45" t="s">
        <v>24</v>
      </c>
      <c r="K71" s="50">
        <f>K70-L70</f>
        <v>0</v>
      </c>
      <c r="L71" s="47"/>
      <c r="M71" s="48"/>
      <c r="N71" s="51"/>
      <c r="O71" s="51"/>
      <c r="P71" s="19"/>
      <c r="Q71" s="45" t="s">
        <v>24</v>
      </c>
      <c r="R71" s="50">
        <f>R70-S70</f>
        <v>0</v>
      </c>
      <c r="S71" s="47"/>
      <c r="T71" s="48"/>
      <c r="U71" s="51"/>
      <c r="V71" s="51"/>
      <c r="W71" s="19"/>
      <c r="X71" s="45" t="s">
        <v>24</v>
      </c>
      <c r="Y71" s="50">
        <f>Y70-Z70</f>
        <v>0</v>
      </c>
      <c r="Z71" s="47"/>
      <c r="AA71" s="48"/>
      <c r="AB71" s="51"/>
      <c r="AC71" s="51"/>
      <c r="AD71" s="19"/>
      <c r="AE71" s="45" t="s">
        <v>24</v>
      </c>
      <c r="AF71" s="50">
        <f>AF70-AG70</f>
        <v>0</v>
      </c>
      <c r="AG71" s="47"/>
      <c r="AH71" s="48"/>
      <c r="AI71" s="51"/>
      <c r="AJ71" s="51"/>
      <c r="AL71" s="53"/>
      <c r="AM71" s="45" t="s">
        <v>25</v>
      </c>
      <c r="AN71" s="50">
        <f>AN70-AO70</f>
        <v>0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0</v>
      </c>
      <c r="E72" s="47"/>
      <c r="F72" s="48"/>
      <c r="G72" s="59"/>
      <c r="H72" s="51"/>
      <c r="I72" s="53"/>
      <c r="J72" s="56" t="s">
        <v>26</v>
      </c>
      <c r="K72" s="57">
        <f>M70-L70</f>
        <v>0</v>
      </c>
      <c r="L72" s="47"/>
      <c r="M72" s="48"/>
      <c r="N72" s="51"/>
      <c r="O72" s="51"/>
      <c r="P72" s="53"/>
      <c r="Q72" s="56" t="s">
        <v>26</v>
      </c>
      <c r="R72" s="57">
        <f>T70-S70</f>
        <v>0</v>
      </c>
      <c r="S72" s="47"/>
      <c r="T72" s="48"/>
      <c r="U72" s="51"/>
      <c r="V72" s="51"/>
      <c r="W72" s="53"/>
      <c r="X72" s="56" t="s">
        <v>26</v>
      </c>
      <c r="Y72" s="57">
        <f>AA70-Z70</f>
        <v>0</v>
      </c>
      <c r="Z72" s="47"/>
      <c r="AA72" s="48"/>
      <c r="AB72" s="59"/>
      <c r="AC72" s="51"/>
      <c r="AD72" s="53"/>
      <c r="AE72" s="56" t="s">
        <v>26</v>
      </c>
      <c r="AF72" s="57">
        <f>AH70-AG70</f>
        <v>0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45872.0</v>
      </c>
      <c r="C74" s="9" t="s">
        <v>10</v>
      </c>
      <c r="D74" s="10"/>
      <c r="E74" s="10"/>
      <c r="F74" s="10"/>
      <c r="G74" s="10"/>
      <c r="H74" s="11"/>
      <c r="I74" s="12">
        <v>45879.0</v>
      </c>
      <c r="J74" s="9"/>
      <c r="K74" s="10"/>
      <c r="L74" s="10"/>
      <c r="M74" s="10"/>
      <c r="N74" s="10"/>
      <c r="O74" s="11"/>
      <c r="P74" s="8">
        <v>45886.0</v>
      </c>
      <c r="Q74" s="9"/>
      <c r="R74" s="10"/>
      <c r="S74" s="10"/>
      <c r="T74" s="10"/>
      <c r="U74" s="10"/>
      <c r="V74" s="11"/>
      <c r="W74" s="8">
        <v>45893.0</v>
      </c>
      <c r="X74" s="9"/>
      <c r="Y74" s="10"/>
      <c r="Z74" s="10"/>
      <c r="AA74" s="10"/>
      <c r="AB74" s="10"/>
      <c r="AC74" s="11"/>
      <c r="AD74" s="12">
        <v>6686008.0</v>
      </c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/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9" t="s">
        <v>14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/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/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/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/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/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22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0">D81+K81+R81+Y81+AF81</f>
        <v>0</v>
      </c>
      <c r="AO81" s="10">
        <f t="shared" si="90"/>
        <v>0</v>
      </c>
      <c r="AP81" s="10">
        <f t="shared" si="90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1">D74+D75+D76+D77+D78+D79+D80+D81</f>
        <v>0</v>
      </c>
      <c r="E82" s="30">
        <f t="shared" si="91"/>
        <v>0</v>
      </c>
      <c r="F82" s="31">
        <f t="shared" si="91"/>
        <v>0</v>
      </c>
      <c r="G82" s="32">
        <f t="shared" si="91"/>
        <v>0</v>
      </c>
      <c r="H82" s="33">
        <f t="shared" si="91"/>
        <v>0</v>
      </c>
      <c r="I82" s="19"/>
      <c r="J82" s="28" t="s">
        <v>23</v>
      </c>
      <c r="K82" s="29">
        <f t="shared" ref="K82:O82" si="92">K74+K75+K76+K77+K78+K79+K80+K81</f>
        <v>0</v>
      </c>
      <c r="L82" s="30">
        <f t="shared" si="92"/>
        <v>0</v>
      </c>
      <c r="M82" s="31">
        <f t="shared" si="92"/>
        <v>0</v>
      </c>
      <c r="N82" s="32">
        <f t="shared" si="92"/>
        <v>0</v>
      </c>
      <c r="O82" s="33">
        <f t="shared" si="92"/>
        <v>0</v>
      </c>
      <c r="P82" s="19"/>
      <c r="Q82" s="28" t="s">
        <v>23</v>
      </c>
      <c r="R82" s="29">
        <f t="shared" ref="R82:V82" si="93">R74+R75+R76+R77+R78+R79+R80+R81</f>
        <v>0</v>
      </c>
      <c r="S82" s="30">
        <f t="shared" si="93"/>
        <v>0</v>
      </c>
      <c r="T82" s="31">
        <f t="shared" si="93"/>
        <v>0</v>
      </c>
      <c r="U82" s="32">
        <f t="shared" si="93"/>
        <v>0</v>
      </c>
      <c r="V82" s="33">
        <f t="shared" si="93"/>
        <v>0</v>
      </c>
      <c r="W82" s="19"/>
      <c r="X82" s="28" t="s">
        <v>23</v>
      </c>
      <c r="Y82" s="29">
        <f t="shared" ref="Y82:AC82" si="94">Y74+Y75+Y76+Y77+Y78+Y79+Y80+Y81</f>
        <v>0</v>
      </c>
      <c r="Z82" s="30">
        <f t="shared" si="94"/>
        <v>0</v>
      </c>
      <c r="AA82" s="31">
        <f t="shared" si="94"/>
        <v>0</v>
      </c>
      <c r="AB82" s="32">
        <f t="shared" si="94"/>
        <v>0</v>
      </c>
      <c r="AC82" s="33">
        <f t="shared" si="94"/>
        <v>0</v>
      </c>
      <c r="AD82" s="19"/>
      <c r="AE82" s="28" t="s">
        <v>23</v>
      </c>
      <c r="AF82" s="29">
        <f t="shared" ref="AF82:AJ82" si="95">AF74+AF75+AF76+AF77+AF78+AF79+AF80+AF81</f>
        <v>0</v>
      </c>
      <c r="AG82" s="30">
        <f t="shared" si="95"/>
        <v>0</v>
      </c>
      <c r="AH82" s="31">
        <f t="shared" si="95"/>
        <v>0</v>
      </c>
      <c r="AI82" s="32">
        <f t="shared" si="95"/>
        <v>0</v>
      </c>
      <c r="AJ82" s="33">
        <f t="shared" si="95"/>
        <v>0</v>
      </c>
      <c r="AL82" s="19"/>
      <c r="AM82" s="28" t="s">
        <v>23</v>
      </c>
      <c r="AN82" s="41">
        <f t="shared" ref="AN82:AQ82" si="96">AN74+AN75+AN76+AN77+AN78+AN79+AN80+AN81</f>
        <v>0</v>
      </c>
      <c r="AO82" s="42">
        <f t="shared" si="96"/>
        <v>0</v>
      </c>
      <c r="AP82" s="43">
        <f t="shared" si="96"/>
        <v>0</v>
      </c>
      <c r="AQ82" s="44">
        <f t="shared" si="96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44</v>
      </c>
      <c r="D87" s="47"/>
      <c r="E87" s="47"/>
      <c r="F87" s="47"/>
      <c r="G87" s="47"/>
      <c r="H87" s="48"/>
      <c r="I87" s="76"/>
      <c r="J87" s="77" t="s">
        <v>44</v>
      </c>
      <c r="K87" s="47"/>
      <c r="L87" s="47"/>
      <c r="M87" s="47"/>
      <c r="N87" s="47"/>
      <c r="O87" s="48"/>
      <c r="P87" s="76"/>
      <c r="Q87" s="77" t="s">
        <v>44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45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0</v>
      </c>
      <c r="E88" s="47"/>
      <c r="F88" s="47"/>
      <c r="G88" s="47"/>
      <c r="H88" s="48"/>
      <c r="J88" s="9" t="s">
        <v>7</v>
      </c>
      <c r="K88" s="79">
        <f>K10+K22+K34+K46+K58+K70+K82</f>
        <v>0</v>
      </c>
      <c r="L88" s="47"/>
      <c r="M88" s="47"/>
      <c r="N88" s="47"/>
      <c r="O88" s="48"/>
      <c r="Q88" s="9" t="s">
        <v>7</v>
      </c>
      <c r="R88" s="79">
        <f>R10+R22+R34+R46+R58+R70+R82</f>
        <v>0</v>
      </c>
      <c r="S88" s="47"/>
      <c r="T88" s="47"/>
      <c r="U88" s="47"/>
      <c r="V88" s="48"/>
      <c r="X88" s="9" t="s">
        <v>7</v>
      </c>
      <c r="Y88" s="79">
        <f>Y10+Y22+Y34+Y46+Y58+Y70+Y82</f>
        <v>0</v>
      </c>
      <c r="Z88" s="47"/>
      <c r="AA88" s="47"/>
      <c r="AB88" s="47"/>
      <c r="AC88" s="48"/>
      <c r="AE88" s="9" t="s">
        <v>7</v>
      </c>
      <c r="AF88" s="79">
        <f>AF10+AF22+AF34+AF46+AF58+AF70+AF82</f>
        <v>0</v>
      </c>
      <c r="AG88" s="47"/>
      <c r="AH88" s="47"/>
      <c r="AI88" s="47"/>
      <c r="AJ88" s="48"/>
      <c r="AN88" s="55">
        <f t="array" ref="AN88">AN10+AN22+AN34+AN46+AN58+AN70</f>
        <v>0</v>
      </c>
      <c r="AP88" s="55">
        <f t="array" ref="AP88">AP10+AP22+AP34+AP46+AP58+AP70</f>
        <v>0</v>
      </c>
    </row>
    <row r="89">
      <c r="A89" s="78"/>
      <c r="C89" s="9" t="s">
        <v>3</v>
      </c>
      <c r="D89" s="80">
        <f>E10+E22+E34+E46+E58+E70+E82</f>
        <v>0</v>
      </c>
      <c r="E89" s="47"/>
      <c r="F89" s="47"/>
      <c r="G89" s="47"/>
      <c r="H89" s="48"/>
      <c r="J89" s="9" t="s">
        <v>3</v>
      </c>
      <c r="K89" s="80">
        <f>L10+L22+L34+L46+L58+L70+L82</f>
        <v>0</v>
      </c>
      <c r="L89" s="47"/>
      <c r="M89" s="47"/>
      <c r="N89" s="47"/>
      <c r="O89" s="48"/>
      <c r="Q89" s="9" t="s">
        <v>3</v>
      </c>
      <c r="R89" s="80">
        <f>S10+S22+S34+S46+S58+S70+S82</f>
        <v>0</v>
      </c>
      <c r="S89" s="47"/>
      <c r="T89" s="47"/>
      <c r="U89" s="47"/>
      <c r="V89" s="48"/>
      <c r="X89" s="9" t="s">
        <v>3</v>
      </c>
      <c r="Y89" s="80">
        <f>Z10+Z22+Z34+Z46+Z58+Z70+Z82</f>
        <v>0</v>
      </c>
      <c r="Z89" s="47"/>
      <c r="AA89" s="47"/>
      <c r="AB89" s="47"/>
      <c r="AC89" s="48"/>
      <c r="AE89" s="9" t="s">
        <v>3</v>
      </c>
      <c r="AF89" s="80">
        <f>AG10+AG22+AG34+AG46+AG58+AG70+AG82</f>
        <v>0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0</v>
      </c>
      <c r="E90" s="47"/>
      <c r="F90" s="47"/>
      <c r="G90" s="47"/>
      <c r="H90" s="48"/>
      <c r="J90" s="9" t="s">
        <v>46</v>
      </c>
      <c r="K90" s="81">
        <f>M10+M22+M34+M46+M58+M70+M82</f>
        <v>0</v>
      </c>
      <c r="L90" s="47"/>
      <c r="M90" s="47"/>
      <c r="N90" s="47"/>
      <c r="O90" s="48"/>
      <c r="Q90" s="9" t="s">
        <v>46</v>
      </c>
      <c r="R90" s="81">
        <f>T10+T22+T34+T46+T58+T70+T82</f>
        <v>0</v>
      </c>
      <c r="S90" s="47"/>
      <c r="T90" s="47"/>
      <c r="U90" s="47"/>
      <c r="V90" s="48"/>
      <c r="X90" s="9" t="s">
        <v>46</v>
      </c>
      <c r="Y90" s="81">
        <f>AA10+AA22+AA34+AA46+AA58+AA70+AA82</f>
        <v>0</v>
      </c>
      <c r="Z90" s="47"/>
      <c r="AA90" s="47"/>
      <c r="AB90" s="47"/>
      <c r="AC90" s="48"/>
      <c r="AE90" s="9" t="s">
        <v>46</v>
      </c>
      <c r="AF90" s="81">
        <f>AH10+AH22+AH34+AH46+AH58+AH70+AH82</f>
        <v>0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0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0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0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0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0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0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0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0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0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0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0</v>
      </c>
      <c r="E93" s="47"/>
      <c r="F93" s="47"/>
      <c r="G93" s="47"/>
      <c r="H93" s="48"/>
      <c r="J93" s="9" t="s">
        <v>49</v>
      </c>
      <c r="K93" s="84">
        <f t="array" ref="K93">O10+O22+O34+O46+O58+O70+O82</f>
        <v>0</v>
      </c>
      <c r="L93" s="47"/>
      <c r="M93" s="47"/>
      <c r="N93" s="47"/>
      <c r="O93" s="48"/>
      <c r="Q93" s="9" t="s">
        <v>49</v>
      </c>
      <c r="R93" s="84">
        <f t="array" ref="R93">V10+V22+V34+V46+V58+V70+V82</f>
        <v>0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0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0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7">D2+D14+D26+D38+D50+D62</f>
        <v>0</v>
      </c>
      <c r="E98" s="10">
        <f t="shared" si="97"/>
        <v>0</v>
      </c>
      <c r="F98" s="10">
        <f t="shared" si="97"/>
        <v>0</v>
      </c>
      <c r="G98" s="86">
        <f t="shared" ref="G98:G105" si="103">F98-E98</f>
        <v>0</v>
      </c>
      <c r="H98" s="87">
        <f t="shared" ref="H98:H104" si="104">H2+H14+H26+H38+H50+H62</f>
        <v>0</v>
      </c>
      <c r="J98" s="9" t="s">
        <v>10</v>
      </c>
      <c r="K98" s="85">
        <f t="shared" ref="K98:M98" si="98">K2+K14+K26+K38+K50+K62</f>
        <v>0</v>
      </c>
      <c r="L98" s="10">
        <f t="shared" si="98"/>
        <v>0</v>
      </c>
      <c r="M98" s="10">
        <f t="shared" si="98"/>
        <v>0</v>
      </c>
      <c r="N98" s="86">
        <f t="shared" ref="N98:N105" si="106">M98-L98</f>
        <v>0</v>
      </c>
      <c r="O98" s="87">
        <f t="shared" ref="O98:O104" si="107">O2+O14+O26+O38+O50+O62</f>
        <v>0</v>
      </c>
      <c r="Q98" s="9" t="s">
        <v>10</v>
      </c>
      <c r="R98" s="85">
        <f t="shared" ref="R98:T98" si="99">R2+R14+R26+R38+R50+R62</f>
        <v>0</v>
      </c>
      <c r="S98" s="10">
        <f t="shared" si="99"/>
        <v>0</v>
      </c>
      <c r="T98" s="10">
        <f t="shared" si="99"/>
        <v>0</v>
      </c>
      <c r="U98" s="86">
        <f t="shared" ref="U98:U105" si="109">T98-S98</f>
        <v>0</v>
      </c>
      <c r="V98" s="87">
        <f t="shared" ref="V98:V104" si="110">V2+V14+V26+V38+V50+V62</f>
        <v>0</v>
      </c>
      <c r="X98" s="9" t="s">
        <v>10</v>
      </c>
      <c r="Y98" s="85">
        <f t="shared" ref="Y98:AA98" si="100">Y2+Y14+Y26+Y38+Y50+Y62</f>
        <v>0</v>
      </c>
      <c r="Z98" s="10">
        <f t="shared" si="100"/>
        <v>0</v>
      </c>
      <c r="AA98" s="10">
        <f t="shared" si="100"/>
        <v>0</v>
      </c>
      <c r="AB98" s="86">
        <f t="shared" ref="AB98:AB105" si="112">AA98-Z98</f>
        <v>0</v>
      </c>
      <c r="AC98" s="87">
        <f t="shared" ref="AC98:AC104" si="113">AC2+AC14+AC26+AC38+AC50+AC62</f>
        <v>0</v>
      </c>
      <c r="AE98" s="9" t="s">
        <v>10</v>
      </c>
      <c r="AF98" s="85">
        <f t="shared" ref="AF98:AH98" si="101">AF2+AF14+AF26+AF38+AF50+AF62</f>
        <v>0</v>
      </c>
      <c r="AG98" s="10">
        <f t="shared" si="101"/>
        <v>0</v>
      </c>
      <c r="AH98" s="10">
        <f t="shared" si="101"/>
        <v>0</v>
      </c>
      <c r="AI98" s="86">
        <f t="shared" ref="AI98:AI105" si="115">AH98-AG98</f>
        <v>0</v>
      </c>
      <c r="AJ98" s="87">
        <f t="shared" ref="AJ98:AJ104" si="116">AJ2+AJ14+AJ26+AJ38+AJ50+AJ62</f>
        <v>0</v>
      </c>
    </row>
    <row r="99">
      <c r="C99" s="9" t="s">
        <v>12</v>
      </c>
      <c r="D99" s="85">
        <f t="shared" ref="D99:F99" si="102">D3+D15+D27+D39+D51+D63</f>
        <v>0</v>
      </c>
      <c r="E99" s="10">
        <f t="shared" si="102"/>
        <v>0</v>
      </c>
      <c r="F99" s="10">
        <f t="shared" si="102"/>
        <v>0</v>
      </c>
      <c r="G99" s="86">
        <f t="shared" si="103"/>
        <v>0</v>
      </c>
      <c r="H99" s="87">
        <f t="shared" si="104"/>
        <v>0</v>
      </c>
      <c r="J99" s="9" t="s">
        <v>12</v>
      </c>
      <c r="K99" s="85">
        <f t="shared" ref="K99:M99" si="105">K3+K15+K27+K39+K51+K63</f>
        <v>0</v>
      </c>
      <c r="L99" s="10">
        <f t="shared" si="105"/>
        <v>0</v>
      </c>
      <c r="M99" s="10">
        <f t="shared" si="105"/>
        <v>0</v>
      </c>
      <c r="N99" s="86">
        <f t="shared" si="106"/>
        <v>0</v>
      </c>
      <c r="O99" s="87">
        <f t="shared" si="107"/>
        <v>0</v>
      </c>
      <c r="Q99" s="9" t="s">
        <v>12</v>
      </c>
      <c r="R99" s="85">
        <f t="shared" ref="R99:T99" si="108">R3+R15+R27+R39+R51+R63</f>
        <v>0</v>
      </c>
      <c r="S99" s="10">
        <f t="shared" si="108"/>
        <v>0</v>
      </c>
      <c r="T99" s="10">
        <f t="shared" si="108"/>
        <v>0</v>
      </c>
      <c r="U99" s="86">
        <f t="shared" si="109"/>
        <v>0</v>
      </c>
      <c r="V99" s="87">
        <f t="shared" si="110"/>
        <v>0</v>
      </c>
      <c r="X99" s="9" t="s">
        <v>12</v>
      </c>
      <c r="Y99" s="85">
        <f t="shared" ref="Y99:AA99" si="111">Y3+Y15+Y27+Y39+Y51+Y63</f>
        <v>0</v>
      </c>
      <c r="Z99" s="10">
        <f t="shared" si="111"/>
        <v>0</v>
      </c>
      <c r="AA99" s="10">
        <f t="shared" si="111"/>
        <v>0</v>
      </c>
      <c r="AB99" s="86">
        <f t="shared" si="112"/>
        <v>0</v>
      </c>
      <c r="AC99" s="87">
        <f t="shared" si="113"/>
        <v>0</v>
      </c>
      <c r="AE99" s="9" t="s">
        <v>12</v>
      </c>
      <c r="AF99" s="85">
        <f t="shared" ref="AF99:AH99" si="114">AF3+AF15+AF27+AF39+AF51+AF63</f>
        <v>0</v>
      </c>
      <c r="AG99" s="10">
        <f t="shared" si="114"/>
        <v>0</v>
      </c>
      <c r="AH99" s="10">
        <f t="shared" si="114"/>
        <v>0</v>
      </c>
      <c r="AI99" s="86">
        <f t="shared" si="115"/>
        <v>0</v>
      </c>
      <c r="AJ99" s="87">
        <f t="shared" si="116"/>
        <v>0</v>
      </c>
    </row>
    <row r="100">
      <c r="C100" s="9" t="s">
        <v>14</v>
      </c>
      <c r="D100" s="85">
        <f t="shared" ref="D100:F100" si="117">D4+D16+D28+D40+D52+D64</f>
        <v>0</v>
      </c>
      <c r="E100" s="10">
        <f t="shared" si="117"/>
        <v>0</v>
      </c>
      <c r="F100" s="10">
        <f t="shared" si="117"/>
        <v>0</v>
      </c>
      <c r="G100" s="86">
        <f t="shared" si="103"/>
        <v>0</v>
      </c>
      <c r="H100" s="87">
        <f t="shared" si="104"/>
        <v>0</v>
      </c>
      <c r="J100" s="9" t="s">
        <v>14</v>
      </c>
      <c r="K100" s="85">
        <f t="shared" ref="K100:M100" si="118">K4+K16+K28+K40+K52+K64</f>
        <v>0</v>
      </c>
      <c r="L100" s="10">
        <f t="shared" si="118"/>
        <v>0</v>
      </c>
      <c r="M100" s="10">
        <f t="shared" si="118"/>
        <v>0</v>
      </c>
      <c r="N100" s="86">
        <f t="shared" si="106"/>
        <v>0</v>
      </c>
      <c r="O100" s="87">
        <f t="shared" si="107"/>
        <v>0</v>
      </c>
      <c r="Q100" s="9" t="s">
        <v>14</v>
      </c>
      <c r="R100" s="85">
        <f t="shared" ref="R100:T100" si="119">R4+R16+R28+R40+R52+R64</f>
        <v>0</v>
      </c>
      <c r="S100" s="10">
        <f t="shared" si="119"/>
        <v>0</v>
      </c>
      <c r="T100" s="10">
        <f t="shared" si="119"/>
        <v>0</v>
      </c>
      <c r="U100" s="86">
        <f t="shared" si="109"/>
        <v>0</v>
      </c>
      <c r="V100" s="87">
        <f t="shared" si="110"/>
        <v>0</v>
      </c>
      <c r="X100" s="9" t="s">
        <v>14</v>
      </c>
      <c r="Y100" s="85">
        <f t="shared" ref="Y100:AA100" si="120">Y4+Y16+Y28+Y40+Y52+Y64</f>
        <v>0</v>
      </c>
      <c r="Z100" s="10">
        <f t="shared" si="120"/>
        <v>0</v>
      </c>
      <c r="AA100" s="10">
        <f t="shared" si="120"/>
        <v>0</v>
      </c>
      <c r="AB100" s="86">
        <f t="shared" si="112"/>
        <v>0</v>
      </c>
      <c r="AC100" s="87">
        <f t="shared" si="113"/>
        <v>0</v>
      </c>
      <c r="AE100" s="9" t="s">
        <v>14</v>
      </c>
      <c r="AF100" s="85">
        <f t="shared" ref="AF100:AH100" si="121">AF4+AF16+AF28+AF40+AF52+AF64</f>
        <v>0</v>
      </c>
      <c r="AG100" s="10">
        <f t="shared" si="121"/>
        <v>0</v>
      </c>
      <c r="AH100" s="10">
        <f t="shared" si="121"/>
        <v>0</v>
      </c>
      <c r="AI100" s="86">
        <f t="shared" si="115"/>
        <v>0</v>
      </c>
      <c r="AJ100" s="87">
        <f t="shared" si="116"/>
        <v>0</v>
      </c>
    </row>
    <row r="101">
      <c r="C101" s="9" t="s">
        <v>16</v>
      </c>
      <c r="D101" s="85">
        <f t="shared" ref="D101:F101" si="122">D5+D17+D29+D41+D53+D65</f>
        <v>0</v>
      </c>
      <c r="E101" s="10">
        <f t="shared" si="122"/>
        <v>0</v>
      </c>
      <c r="F101" s="10">
        <f t="shared" si="122"/>
        <v>0</v>
      </c>
      <c r="G101" s="86">
        <f t="shared" si="103"/>
        <v>0</v>
      </c>
      <c r="H101" s="87">
        <f t="shared" si="104"/>
        <v>0</v>
      </c>
      <c r="J101" s="9" t="s">
        <v>16</v>
      </c>
      <c r="K101" s="85">
        <f t="shared" ref="K101:M101" si="123">K5+K17+K29+K41+K53+K65</f>
        <v>0</v>
      </c>
      <c r="L101" s="10">
        <f t="shared" si="123"/>
        <v>0</v>
      </c>
      <c r="M101" s="10">
        <f t="shared" si="123"/>
        <v>0</v>
      </c>
      <c r="N101" s="86">
        <f t="shared" si="106"/>
        <v>0</v>
      </c>
      <c r="O101" s="87">
        <f t="shared" si="107"/>
        <v>0</v>
      </c>
      <c r="Q101" s="9" t="s">
        <v>16</v>
      </c>
      <c r="R101" s="85">
        <f t="shared" ref="R101:T101" si="124">R5+R17+R29+R41+R53+R65</f>
        <v>0</v>
      </c>
      <c r="S101" s="10">
        <f t="shared" si="124"/>
        <v>0</v>
      </c>
      <c r="T101" s="10">
        <f t="shared" si="124"/>
        <v>0</v>
      </c>
      <c r="U101" s="86">
        <f t="shared" si="109"/>
        <v>0</v>
      </c>
      <c r="V101" s="87">
        <f t="shared" si="110"/>
        <v>0</v>
      </c>
      <c r="X101" s="9" t="s">
        <v>16</v>
      </c>
      <c r="Y101" s="85">
        <f t="shared" ref="Y101:AA101" si="125">Y5+Y17+Y29+Y41+Y53+Y65</f>
        <v>0</v>
      </c>
      <c r="Z101" s="10">
        <f t="shared" si="125"/>
        <v>0</v>
      </c>
      <c r="AA101" s="10">
        <f t="shared" si="125"/>
        <v>0</v>
      </c>
      <c r="AB101" s="86">
        <f t="shared" si="112"/>
        <v>0</v>
      </c>
      <c r="AC101" s="87">
        <f t="shared" si="113"/>
        <v>0</v>
      </c>
      <c r="AE101" s="9" t="s">
        <v>16</v>
      </c>
      <c r="AF101" s="85">
        <f t="shared" ref="AF101:AH101" si="126">AF5+AF17+AF29+AF41+AF53+AF65</f>
        <v>0</v>
      </c>
      <c r="AG101" s="10">
        <f t="shared" si="126"/>
        <v>0</v>
      </c>
      <c r="AH101" s="10">
        <f t="shared" si="126"/>
        <v>0</v>
      </c>
      <c r="AI101" s="86">
        <f t="shared" si="115"/>
        <v>0</v>
      </c>
      <c r="AJ101" s="87">
        <f t="shared" si="116"/>
        <v>0</v>
      </c>
    </row>
    <row r="102">
      <c r="C102" s="9" t="s">
        <v>17</v>
      </c>
      <c r="D102" s="85">
        <f t="shared" ref="D102:F102" si="127">D6+D18+D30+D42+D54+D66</f>
        <v>0</v>
      </c>
      <c r="E102" s="10">
        <f t="shared" si="127"/>
        <v>0</v>
      </c>
      <c r="F102" s="10">
        <f t="shared" si="127"/>
        <v>0</v>
      </c>
      <c r="G102" s="86">
        <f t="shared" si="103"/>
        <v>0</v>
      </c>
      <c r="H102" s="87">
        <f t="shared" si="104"/>
        <v>0</v>
      </c>
      <c r="J102" s="9" t="s">
        <v>17</v>
      </c>
      <c r="K102" s="85">
        <f t="shared" ref="K102:M102" si="128">K6+K18+K30+K42+K54+K66</f>
        <v>0</v>
      </c>
      <c r="L102" s="10">
        <f t="shared" si="128"/>
        <v>0</v>
      </c>
      <c r="M102" s="10">
        <f t="shared" si="128"/>
        <v>0</v>
      </c>
      <c r="N102" s="86">
        <f t="shared" si="106"/>
        <v>0</v>
      </c>
      <c r="O102" s="87">
        <f t="shared" si="107"/>
        <v>0</v>
      </c>
      <c r="Q102" s="9" t="s">
        <v>17</v>
      </c>
      <c r="R102" s="85">
        <f t="shared" ref="R102:T102" si="129">R6+R18+R30+R42+R54+R66</f>
        <v>0</v>
      </c>
      <c r="S102" s="10">
        <f t="shared" si="129"/>
        <v>0</v>
      </c>
      <c r="T102" s="10">
        <f t="shared" si="129"/>
        <v>0</v>
      </c>
      <c r="U102" s="86">
        <f t="shared" si="109"/>
        <v>0</v>
      </c>
      <c r="V102" s="87">
        <f t="shared" si="110"/>
        <v>0</v>
      </c>
      <c r="X102" s="9" t="s">
        <v>17</v>
      </c>
      <c r="Y102" s="85">
        <f t="shared" ref="Y102:AA102" si="130">Y6+Y18+Y30+Y42+Y54+Y66</f>
        <v>0</v>
      </c>
      <c r="Z102" s="10">
        <f t="shared" si="130"/>
        <v>0</v>
      </c>
      <c r="AA102" s="10">
        <f t="shared" si="130"/>
        <v>0</v>
      </c>
      <c r="AB102" s="86">
        <f t="shared" si="112"/>
        <v>0</v>
      </c>
      <c r="AC102" s="87">
        <f t="shared" si="113"/>
        <v>0</v>
      </c>
      <c r="AE102" s="9" t="s">
        <v>17</v>
      </c>
      <c r="AF102" s="85">
        <f t="shared" ref="AF102:AH102" si="131">AF6+AF18+AF30+AF42+AF54+AF66</f>
        <v>0</v>
      </c>
      <c r="AG102" s="10">
        <f t="shared" si="131"/>
        <v>0</v>
      </c>
      <c r="AH102" s="10">
        <f t="shared" si="131"/>
        <v>0</v>
      </c>
      <c r="AI102" s="86">
        <f t="shared" si="115"/>
        <v>0</v>
      </c>
      <c r="AJ102" s="87">
        <f t="shared" si="116"/>
        <v>0</v>
      </c>
    </row>
    <row r="103">
      <c r="C103" s="9" t="s">
        <v>18</v>
      </c>
      <c r="D103" s="85">
        <f t="shared" ref="D103:F103" si="132">D7+D19+D31+D43+D55+D67</f>
        <v>0</v>
      </c>
      <c r="E103" s="85">
        <f t="shared" si="132"/>
        <v>0</v>
      </c>
      <c r="F103" s="85">
        <f t="shared" si="132"/>
        <v>0</v>
      </c>
      <c r="G103" s="86">
        <f t="shared" si="103"/>
        <v>0</v>
      </c>
      <c r="H103" s="87">
        <f t="shared" si="104"/>
        <v>0</v>
      </c>
      <c r="J103" s="9" t="s">
        <v>18</v>
      </c>
      <c r="K103" s="85">
        <f t="shared" ref="K103:M103" si="133">K7+K19+K31+K43+K55+K67</f>
        <v>0</v>
      </c>
      <c r="L103" s="85">
        <f t="shared" si="133"/>
        <v>0</v>
      </c>
      <c r="M103" s="85">
        <f t="shared" si="133"/>
        <v>0</v>
      </c>
      <c r="N103" s="86">
        <f t="shared" si="106"/>
        <v>0</v>
      </c>
      <c r="O103" s="87">
        <f t="shared" si="107"/>
        <v>0</v>
      </c>
      <c r="Q103" s="9" t="s">
        <v>18</v>
      </c>
      <c r="R103" s="85">
        <f t="shared" ref="R103:T103" si="134">R7+R19+R31+R43+R55+R67</f>
        <v>0</v>
      </c>
      <c r="S103" s="85">
        <f t="shared" si="134"/>
        <v>0</v>
      </c>
      <c r="T103" s="85">
        <f t="shared" si="134"/>
        <v>0</v>
      </c>
      <c r="U103" s="86">
        <f t="shared" si="109"/>
        <v>0</v>
      </c>
      <c r="V103" s="87">
        <f t="shared" si="110"/>
        <v>0</v>
      </c>
      <c r="X103" s="9" t="s">
        <v>18</v>
      </c>
      <c r="Y103" s="85">
        <f t="shared" ref="Y103:AA103" si="135">Y7+Y19+Y31+Y43+Y55+Y67</f>
        <v>0</v>
      </c>
      <c r="Z103" s="85">
        <f t="shared" si="135"/>
        <v>0</v>
      </c>
      <c r="AA103" s="85">
        <f t="shared" si="135"/>
        <v>0</v>
      </c>
      <c r="AB103" s="86">
        <f t="shared" si="112"/>
        <v>0</v>
      </c>
      <c r="AC103" s="87">
        <f t="shared" si="113"/>
        <v>0</v>
      </c>
      <c r="AE103" s="9" t="s">
        <v>18</v>
      </c>
      <c r="AF103" s="85">
        <f t="shared" ref="AF103:AH103" si="136">AF7+AF19+AF31+AF43+AF55+AF67</f>
        <v>0</v>
      </c>
      <c r="AG103" s="85">
        <f t="shared" si="136"/>
        <v>0</v>
      </c>
      <c r="AH103" s="85">
        <f t="shared" si="136"/>
        <v>0</v>
      </c>
      <c r="AI103" s="86">
        <f t="shared" si="115"/>
        <v>0</v>
      </c>
      <c r="AJ103" s="87">
        <f t="shared" si="116"/>
        <v>0</v>
      </c>
    </row>
    <row r="104">
      <c r="C104" s="9" t="s">
        <v>19</v>
      </c>
      <c r="D104" s="85">
        <f t="shared" ref="D104:F104" si="137">D8+D20+D32+D44+D56+D68</f>
        <v>0</v>
      </c>
      <c r="E104" s="10">
        <f t="shared" si="137"/>
        <v>0</v>
      </c>
      <c r="F104" s="10">
        <f t="shared" si="137"/>
        <v>0</v>
      </c>
      <c r="G104" s="86">
        <f t="shared" si="103"/>
        <v>0</v>
      </c>
      <c r="H104" s="87">
        <f t="shared" si="104"/>
        <v>0</v>
      </c>
      <c r="J104" s="9" t="s">
        <v>19</v>
      </c>
      <c r="K104" s="85">
        <f t="shared" ref="K104:M104" si="138">K8+K20+K32+K44+K56+K68</f>
        <v>0</v>
      </c>
      <c r="L104" s="10">
        <f t="shared" si="138"/>
        <v>0</v>
      </c>
      <c r="M104" s="10">
        <f t="shared" si="138"/>
        <v>0</v>
      </c>
      <c r="N104" s="86">
        <f t="shared" si="106"/>
        <v>0</v>
      </c>
      <c r="O104" s="87">
        <f t="shared" si="107"/>
        <v>0</v>
      </c>
      <c r="Q104" s="9" t="s">
        <v>19</v>
      </c>
      <c r="R104" s="85">
        <f t="shared" ref="R104:T104" si="139">R8+R20+R32+R44+R56+R68</f>
        <v>0</v>
      </c>
      <c r="S104" s="10">
        <f t="shared" si="139"/>
        <v>0</v>
      </c>
      <c r="T104" s="10">
        <f t="shared" si="139"/>
        <v>0</v>
      </c>
      <c r="U104" s="86">
        <f t="shared" si="109"/>
        <v>0</v>
      </c>
      <c r="V104" s="87">
        <f t="shared" si="110"/>
        <v>0</v>
      </c>
      <c r="X104" s="9" t="s">
        <v>19</v>
      </c>
      <c r="Y104" s="85">
        <f t="shared" ref="Y104:AA104" si="140">Y8+Y20+Y32+Y44+Y56+Y68</f>
        <v>0</v>
      </c>
      <c r="Z104" s="10">
        <f t="shared" si="140"/>
        <v>0</v>
      </c>
      <c r="AA104" s="10">
        <f t="shared" si="140"/>
        <v>0</v>
      </c>
      <c r="AB104" s="86">
        <f t="shared" si="112"/>
        <v>0</v>
      </c>
      <c r="AC104" s="87">
        <f t="shared" si="113"/>
        <v>0</v>
      </c>
      <c r="AE104" s="9" t="s">
        <v>19</v>
      </c>
      <c r="AF104" s="85">
        <f t="shared" ref="AF104:AH104" si="141">AF8+AF20+AF32+AF44+AF56+AF68</f>
        <v>0</v>
      </c>
      <c r="AG104" s="10">
        <f t="shared" si="141"/>
        <v>0</v>
      </c>
      <c r="AH104" s="10">
        <f t="shared" si="141"/>
        <v>0</v>
      </c>
      <c r="AI104" s="86">
        <f t="shared" si="115"/>
        <v>0</v>
      </c>
      <c r="AJ104" s="87">
        <f t="shared" si="116"/>
        <v>0</v>
      </c>
    </row>
    <row r="105">
      <c r="C105" s="26" t="s">
        <v>21</v>
      </c>
      <c r="D105" s="85">
        <f t="shared" ref="D105:F105" si="142">D9+D21+D33+D45+D57+D69+D81</f>
        <v>0</v>
      </c>
      <c r="E105" s="10">
        <f t="shared" si="142"/>
        <v>0</v>
      </c>
      <c r="F105" s="10">
        <f t="shared" si="142"/>
        <v>0</v>
      </c>
      <c r="G105" s="86">
        <f t="shared" si="103"/>
        <v>0</v>
      </c>
      <c r="H105" s="87">
        <f>H9+H21+H33+H45+H57+H69+H81</f>
        <v>0</v>
      </c>
      <c r="J105" s="26" t="s">
        <v>21</v>
      </c>
      <c r="K105" s="85">
        <f t="shared" ref="K105:M105" si="143">K9+K21+K33+K45+K57+K69+K81</f>
        <v>0</v>
      </c>
      <c r="L105" s="10">
        <f t="shared" si="143"/>
        <v>0</v>
      </c>
      <c r="M105" s="10">
        <f t="shared" si="143"/>
        <v>0</v>
      </c>
      <c r="N105" s="86">
        <f t="shared" si="106"/>
        <v>0</v>
      </c>
      <c r="O105" s="87">
        <f>O9+O21+O33+O45+O57+O69+O81</f>
        <v>0</v>
      </c>
      <c r="Q105" s="26" t="s">
        <v>21</v>
      </c>
      <c r="R105" s="85">
        <f t="shared" ref="R105:T105" si="144">R9+R21+R33+R45+R57+R69+R81</f>
        <v>0</v>
      </c>
      <c r="S105" s="10">
        <f t="shared" si="144"/>
        <v>0</v>
      </c>
      <c r="T105" s="10">
        <f t="shared" si="144"/>
        <v>0</v>
      </c>
      <c r="U105" s="86">
        <f t="shared" si="109"/>
        <v>0</v>
      </c>
      <c r="V105" s="87">
        <f>V9+V21+V33+V45+V57+V69+V81</f>
        <v>0</v>
      </c>
      <c r="X105" s="26" t="s">
        <v>21</v>
      </c>
      <c r="Y105" s="85">
        <f t="shared" ref="Y105:AA105" si="145">Y9+Y21+Y33+Y45+Y57+Y69+Y81</f>
        <v>0</v>
      </c>
      <c r="Z105" s="10">
        <f t="shared" si="145"/>
        <v>0</v>
      </c>
      <c r="AA105" s="10">
        <f t="shared" si="145"/>
        <v>0</v>
      </c>
      <c r="AB105" s="86">
        <f t="shared" si="112"/>
        <v>0</v>
      </c>
      <c r="AC105" s="87">
        <f>AC9+AC21+AC33+AC45+AC57+AC69+AC81</f>
        <v>0</v>
      </c>
      <c r="AE105" s="26" t="s">
        <v>21</v>
      </c>
      <c r="AF105" s="85">
        <f t="shared" ref="AF105:AH105" si="146">AF9+AF21+AF33+AF45+AF57+AF69+AF81</f>
        <v>0</v>
      </c>
      <c r="AG105" s="10">
        <f t="shared" si="146"/>
        <v>0</v>
      </c>
      <c r="AH105" s="10">
        <f t="shared" si="146"/>
        <v>0</v>
      </c>
      <c r="AI105" s="86">
        <f t="shared" si="115"/>
        <v>0</v>
      </c>
      <c r="AJ105" s="87">
        <f>AJ9+AJ21+AJ33+AJ45+AJ57+AJ69+AJ81</f>
        <v>0</v>
      </c>
    </row>
    <row r="106">
      <c r="C106" s="88" t="s">
        <v>57</v>
      </c>
      <c r="D106" s="41">
        <f t="array" ref="D106">D98+D99+D100+D101+D102+D103+D104+D105</f>
        <v>0</v>
      </c>
      <c r="E106" s="42">
        <f t="array" ref="E106">E98+E99+E100+E101+E102+E103+E104+E105</f>
        <v>0</v>
      </c>
      <c r="F106" s="43">
        <f t="array" ref="F106">F98+F99+F100+F101+F102+F103+F104+F105</f>
        <v>0</v>
      </c>
      <c r="G106" s="89">
        <f t="array" ref="G106">G98+G99+G100+G101+G102+G103+G104+G105</f>
        <v>0</v>
      </c>
      <c r="H106" s="44">
        <f t="array" ref="H106">H98+H99+H100+H101+H102+H103+H104+H105</f>
        <v>0</v>
      </c>
      <c r="J106" s="88" t="s">
        <v>57</v>
      </c>
      <c r="K106" s="41">
        <f t="array" ref="K106">K98+K99+K100+K101+K102+K103+K104+K105</f>
        <v>0</v>
      </c>
      <c r="L106" s="42">
        <f t="array" ref="L106">L98+L99+L100+L101+L102+L103+L104+L105</f>
        <v>0</v>
      </c>
      <c r="M106" s="43">
        <f t="array" ref="M106">M98+M99+M100+M101+M102+M103+M104+M105</f>
        <v>0</v>
      </c>
      <c r="N106" s="89">
        <f t="array" ref="N106">N98+N99+N100+N101+N102+N103+N104+N105</f>
        <v>0</v>
      </c>
      <c r="O106" s="44">
        <f t="array" ref="O106">O98+O99+O100+O101+O102+O103+O104+O105</f>
        <v>0</v>
      </c>
      <c r="Q106" s="88" t="s">
        <v>57</v>
      </c>
      <c r="R106" s="41">
        <f t="array" ref="R106">R98+R99+R100+R101+R102+R103+R104+R105</f>
        <v>0</v>
      </c>
      <c r="S106" s="42">
        <f t="array" ref="S106">S98+S99+S100+S101+S102+S103+S104+S105</f>
        <v>0</v>
      </c>
      <c r="T106" s="43">
        <f t="array" ref="T106">T98+T99+T100+T101+T102+T103+T104+T105</f>
        <v>0</v>
      </c>
      <c r="U106" s="89">
        <f t="array" ref="U106">U98+U99+U100+U101+U102+U103+U104+U105</f>
        <v>0</v>
      </c>
      <c r="V106" s="44">
        <f t="array" ref="V106">V98+V99+V100+V101+V102+V103+V104+V105</f>
        <v>0</v>
      </c>
      <c r="X106" s="88" t="s">
        <v>57</v>
      </c>
      <c r="Y106" s="41">
        <f t="array" ref="Y106">Y98+Y99+Y100+Y101+Y102+Y103+Y104+Y105</f>
        <v>0</v>
      </c>
      <c r="Z106" s="42">
        <f t="array" ref="Z106">Z98+Z99+Z100+Z101+Z102+Z103+Z104+Z105</f>
        <v>0</v>
      </c>
      <c r="AA106" s="43">
        <f t="array" ref="AA106">AA98+AA99+AA100+AA101+AA102+AA103+AA104+AA105</f>
        <v>0</v>
      </c>
      <c r="AB106" s="89">
        <f t="array" ref="AB106">AB98+AB99+AB100+AB101+AB102+AB103+AB104+AB105</f>
        <v>0</v>
      </c>
      <c r="AC106" s="44">
        <f t="array" ref="AC106">AC98+AC99+AC100+AC101+AC102+AC103+AC104+AC105</f>
        <v>0</v>
      </c>
      <c r="AE106" s="88" t="s">
        <v>57</v>
      </c>
      <c r="AF106" s="41">
        <f t="array" ref="AF106">AF98+AF99+AF100+AF101+AF102+AF103+AF104+AF105</f>
        <v>0</v>
      </c>
      <c r="AG106" s="42">
        <f t="array" ref="AG106">AG98+AG99+AG100+AG101+AG102+AG103+AG104+AG105</f>
        <v>0</v>
      </c>
      <c r="AH106" s="43">
        <f t="array" ref="AH106">AH98+AH99+AH100+AH101+AH102+AH103+AH104+AH105</f>
        <v>0</v>
      </c>
      <c r="AI106" s="89">
        <f t="array" ref="AI106">AI98+AI99+AI100+AI101+AI102+AI103+AI104+AI105</f>
        <v>0</v>
      </c>
      <c r="AJ106" s="44">
        <f t="array" ref="AJ106">AJ98+AJ99+AJ100+AJ101+AJ102+AJ103+AJ104+AJ105</f>
        <v>0</v>
      </c>
    </row>
    <row r="107">
      <c r="A107" s="55"/>
      <c r="B107" s="55"/>
      <c r="C107" s="90" t="s">
        <v>58</v>
      </c>
      <c r="D107" s="91">
        <f t="shared" ref="D107:H107" si="147">D106/6</f>
        <v>0</v>
      </c>
      <c r="E107" s="92">
        <f t="shared" si="147"/>
        <v>0</v>
      </c>
      <c r="F107" s="93">
        <f t="shared" si="147"/>
        <v>0</v>
      </c>
      <c r="G107" s="89">
        <f t="shared" si="147"/>
        <v>0</v>
      </c>
      <c r="H107" s="94">
        <f t="shared" si="147"/>
        <v>0</v>
      </c>
      <c r="I107" s="55"/>
      <c r="J107" s="90" t="s">
        <v>58</v>
      </c>
      <c r="K107" s="91">
        <f t="shared" ref="K107:O107" si="148">K106/6</f>
        <v>0</v>
      </c>
      <c r="L107" s="92">
        <f t="shared" si="148"/>
        <v>0</v>
      </c>
      <c r="M107" s="93">
        <f t="shared" si="148"/>
        <v>0</v>
      </c>
      <c r="N107" s="89">
        <f t="shared" si="148"/>
        <v>0</v>
      </c>
      <c r="O107" s="94">
        <f t="shared" si="148"/>
        <v>0</v>
      </c>
      <c r="P107" s="55"/>
      <c r="Q107" s="90" t="s">
        <v>58</v>
      </c>
      <c r="R107" s="91">
        <f t="shared" ref="R107:V107" si="149">R106/6</f>
        <v>0</v>
      </c>
      <c r="S107" s="92">
        <f t="shared" si="149"/>
        <v>0</v>
      </c>
      <c r="T107" s="93">
        <f t="shared" si="149"/>
        <v>0</v>
      </c>
      <c r="U107" s="89">
        <f t="shared" si="149"/>
        <v>0</v>
      </c>
      <c r="V107" s="94">
        <f t="shared" si="149"/>
        <v>0</v>
      </c>
      <c r="W107" s="55"/>
      <c r="X107" s="90" t="s">
        <v>58</v>
      </c>
      <c r="Y107" s="91">
        <f t="shared" ref="Y107:AC107" si="150">Y106/6</f>
        <v>0</v>
      </c>
      <c r="Z107" s="92">
        <f t="shared" si="150"/>
        <v>0</v>
      </c>
      <c r="AA107" s="93">
        <f t="shared" si="150"/>
        <v>0</v>
      </c>
      <c r="AB107" s="89">
        <f t="shared" si="150"/>
        <v>0</v>
      </c>
      <c r="AC107" s="94">
        <f t="shared" si="150"/>
        <v>0</v>
      </c>
      <c r="AD107" s="55"/>
      <c r="AE107" s="90" t="s">
        <v>58</v>
      </c>
      <c r="AF107" s="91">
        <f t="shared" ref="AF107:AJ107" si="151">AF106/6</f>
        <v>0</v>
      </c>
      <c r="AG107" s="92">
        <f t="shared" si="151"/>
        <v>0</v>
      </c>
      <c r="AH107" s="93">
        <f t="shared" si="151"/>
        <v>0</v>
      </c>
      <c r="AI107" s="89">
        <f t="shared" si="151"/>
        <v>0</v>
      </c>
      <c r="AJ107" s="94">
        <f t="shared" si="151"/>
        <v>0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L124" s="96">
        <v>45899.0</v>
      </c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Q126" s="78" t="s">
        <v>271</v>
      </c>
      <c r="V126" s="55"/>
      <c r="AC126" s="55"/>
      <c r="AJ126" s="55"/>
    </row>
    <row r="127">
      <c r="C127" s="9" t="s">
        <v>10</v>
      </c>
      <c r="D127" s="100">
        <f t="shared" ref="D127:H127" si="152">D98+K98+R98+Y98+AF98</f>
        <v>0</v>
      </c>
      <c r="E127" s="101">
        <f t="shared" si="152"/>
        <v>0</v>
      </c>
      <c r="F127" s="102">
        <f t="shared" si="152"/>
        <v>0</v>
      </c>
      <c r="G127" s="86">
        <f t="shared" si="152"/>
        <v>0</v>
      </c>
      <c r="H127" s="103">
        <f t="shared" si="152"/>
        <v>0</v>
      </c>
      <c r="I127" s="104" t="s">
        <v>71</v>
      </c>
      <c r="J127" s="105">
        <f t="shared" ref="J127:J134" si="154">D98+K98+R98+Y98+AF98</f>
        <v>0</v>
      </c>
      <c r="K127" s="105"/>
      <c r="L127" s="106"/>
      <c r="M127" s="107">
        <f t="shared" ref="M127:M134" si="155">J127/26</f>
        <v>0</v>
      </c>
      <c r="N127" s="107">
        <f t="shared" ref="N127:N134" si="156">(M127*0)+J127</f>
        <v>0</v>
      </c>
      <c r="O127" s="55"/>
      <c r="Q127" s="245">
        <f t="shared" ref="Q127:Q128" si="157">N127-K127</f>
        <v>0</v>
      </c>
      <c r="V127" s="55"/>
      <c r="AC127" s="55"/>
      <c r="AJ127" s="55"/>
    </row>
    <row r="128">
      <c r="C128" s="9" t="s">
        <v>12</v>
      </c>
      <c r="D128" s="100">
        <f t="shared" ref="D128:H128" si="153">D99+K99+R99+Y99+AF99</f>
        <v>0</v>
      </c>
      <c r="E128" s="101">
        <f t="shared" si="153"/>
        <v>0</v>
      </c>
      <c r="F128" s="102">
        <f t="shared" si="153"/>
        <v>0</v>
      </c>
      <c r="G128" s="86">
        <f t="shared" si="153"/>
        <v>0</v>
      </c>
      <c r="H128" s="103">
        <f t="shared" si="153"/>
        <v>0</v>
      </c>
      <c r="I128" s="104" t="s">
        <v>72</v>
      </c>
      <c r="J128" s="105">
        <f t="shared" si="154"/>
        <v>0</v>
      </c>
      <c r="K128" s="105"/>
      <c r="L128" s="9"/>
      <c r="M128" s="107">
        <f t="shared" si="155"/>
        <v>0</v>
      </c>
      <c r="N128" s="107">
        <f t="shared" si="156"/>
        <v>0</v>
      </c>
      <c r="O128" s="55"/>
      <c r="Q128" s="245">
        <f t="shared" si="157"/>
        <v>0</v>
      </c>
      <c r="V128" s="55"/>
      <c r="AC128" s="55"/>
      <c r="AJ128" s="55"/>
    </row>
    <row r="129">
      <c r="C129" s="9" t="s">
        <v>79</v>
      </c>
      <c r="D129" s="100">
        <f t="shared" ref="D129:H129" si="158">D100+K100+R100+Y100+AF100</f>
        <v>0</v>
      </c>
      <c r="E129" s="101">
        <f t="shared" si="158"/>
        <v>0</v>
      </c>
      <c r="F129" s="102">
        <f t="shared" si="158"/>
        <v>0</v>
      </c>
      <c r="G129" s="86">
        <f t="shared" si="158"/>
        <v>0</v>
      </c>
      <c r="H129" s="103">
        <f t="shared" si="158"/>
        <v>0</v>
      </c>
      <c r="I129" s="104" t="s">
        <v>281</v>
      </c>
      <c r="J129" s="105">
        <f t="shared" si="154"/>
        <v>0</v>
      </c>
      <c r="K129" s="105"/>
      <c r="L129" s="9"/>
      <c r="M129" s="107">
        <f t="shared" si="155"/>
        <v>0</v>
      </c>
      <c r="N129" s="107">
        <f t="shared" si="156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59">D101+K101+R101+Y101+AF101</f>
        <v>0</v>
      </c>
      <c r="E130" s="101">
        <f t="shared" si="159"/>
        <v>0</v>
      </c>
      <c r="F130" s="102">
        <f t="shared" si="159"/>
        <v>0</v>
      </c>
      <c r="G130" s="86">
        <f t="shared" si="159"/>
        <v>0</v>
      </c>
      <c r="H130" s="103">
        <f t="shared" si="159"/>
        <v>0</v>
      </c>
      <c r="I130" s="104" t="s">
        <v>74</v>
      </c>
      <c r="J130" s="105">
        <f t="shared" si="154"/>
        <v>0</v>
      </c>
      <c r="K130" s="105"/>
      <c r="L130" s="106"/>
      <c r="M130" s="107">
        <f t="shared" si="155"/>
        <v>0</v>
      </c>
      <c r="N130" s="107">
        <f t="shared" si="156"/>
        <v>0</v>
      </c>
      <c r="O130" s="55"/>
      <c r="Q130" s="245">
        <f>N130-K130</f>
        <v>0</v>
      </c>
      <c r="V130" s="55"/>
      <c r="AC130" s="55"/>
      <c r="AJ130" s="55"/>
    </row>
    <row r="131">
      <c r="C131" s="9" t="s">
        <v>17</v>
      </c>
      <c r="D131" s="100">
        <f t="shared" ref="D131:H131" si="160">D102+K102+R102+Y102+AF102</f>
        <v>0</v>
      </c>
      <c r="E131" s="101">
        <f t="shared" si="160"/>
        <v>0</v>
      </c>
      <c r="F131" s="102">
        <f t="shared" si="160"/>
        <v>0</v>
      </c>
      <c r="G131" s="86">
        <f t="shared" si="160"/>
        <v>0</v>
      </c>
      <c r="H131" s="103">
        <f t="shared" si="160"/>
        <v>0</v>
      </c>
      <c r="I131" s="104" t="s">
        <v>75</v>
      </c>
      <c r="J131" s="105">
        <f t="shared" si="154"/>
        <v>0</v>
      </c>
      <c r="K131" s="105"/>
      <c r="L131" s="9"/>
      <c r="M131" s="107">
        <f t="shared" si="155"/>
        <v>0</v>
      </c>
      <c r="N131" s="107">
        <f t="shared" si="156"/>
        <v>0</v>
      </c>
      <c r="O131" s="55"/>
      <c r="Q131" s="245">
        <f>N131-K131-K129</f>
        <v>0</v>
      </c>
      <c r="V131" s="55"/>
      <c r="AC131" s="55"/>
      <c r="AJ131" s="55"/>
    </row>
    <row r="132">
      <c r="C132" s="9" t="s">
        <v>18</v>
      </c>
      <c r="D132" s="13">
        <f t="shared" ref="D132:H132" si="161">D103+K103+R103+Y103+AF103</f>
        <v>0</v>
      </c>
      <c r="E132" s="21">
        <f t="shared" si="161"/>
        <v>0</v>
      </c>
      <c r="F132" s="17">
        <f t="shared" si="161"/>
        <v>0</v>
      </c>
      <c r="G132" s="16">
        <f t="shared" si="161"/>
        <v>0</v>
      </c>
      <c r="H132" s="109">
        <f t="shared" si="161"/>
        <v>0</v>
      </c>
      <c r="I132" s="104" t="s">
        <v>76</v>
      </c>
      <c r="J132" s="105">
        <f t="shared" si="154"/>
        <v>0</v>
      </c>
      <c r="K132" s="105"/>
      <c r="L132" s="9"/>
      <c r="M132" s="107">
        <f t="shared" si="155"/>
        <v>0</v>
      </c>
      <c r="N132" s="107">
        <f t="shared" si="156"/>
        <v>0</v>
      </c>
      <c r="O132" s="55"/>
      <c r="Q132" s="245">
        <f t="shared" ref="Q132:Q134" si="163">N132-K132</f>
        <v>0</v>
      </c>
      <c r="V132" s="55"/>
      <c r="AC132" s="55"/>
      <c r="AJ132" s="55"/>
    </row>
    <row r="133">
      <c r="C133" s="9" t="s">
        <v>19</v>
      </c>
      <c r="D133" s="100">
        <f t="shared" ref="D133:H133" si="162">D104+K104+R104+Y104+AF104</f>
        <v>0</v>
      </c>
      <c r="E133" s="101">
        <f t="shared" si="162"/>
        <v>0</v>
      </c>
      <c r="F133" s="102">
        <f t="shared" si="162"/>
        <v>0</v>
      </c>
      <c r="G133" s="86">
        <f t="shared" si="162"/>
        <v>0</v>
      </c>
      <c r="H133" s="103">
        <f t="shared" si="162"/>
        <v>0</v>
      </c>
      <c r="I133" s="104" t="s">
        <v>77</v>
      </c>
      <c r="J133" s="105">
        <f t="shared" si="154"/>
        <v>0</v>
      </c>
      <c r="K133" s="105"/>
      <c r="L133" s="106"/>
      <c r="M133" s="107">
        <f t="shared" si="155"/>
        <v>0</v>
      </c>
      <c r="N133" s="107">
        <f t="shared" si="156"/>
        <v>0</v>
      </c>
      <c r="O133" s="55"/>
      <c r="Q133" s="245">
        <f t="shared" si="163"/>
        <v>0</v>
      </c>
      <c r="V133" s="55"/>
      <c r="AC133" s="55"/>
      <c r="AJ133" s="55"/>
    </row>
    <row r="134">
      <c r="C134" s="26" t="s">
        <v>22</v>
      </c>
      <c r="D134" s="100">
        <f t="shared" ref="D134:H134" si="164">D105+K105+R105+Y105+AF105</f>
        <v>0</v>
      </c>
      <c r="E134" s="101">
        <f t="shared" si="164"/>
        <v>0</v>
      </c>
      <c r="F134" s="102">
        <f t="shared" si="164"/>
        <v>0</v>
      </c>
      <c r="G134" s="86">
        <f t="shared" si="164"/>
        <v>0</v>
      </c>
      <c r="H134" s="103">
        <f t="shared" si="164"/>
        <v>0</v>
      </c>
      <c r="I134" s="104" t="s">
        <v>78</v>
      </c>
      <c r="J134" s="105">
        <f t="shared" si="154"/>
        <v>0</v>
      </c>
      <c r="K134" s="105"/>
      <c r="L134" s="106"/>
      <c r="M134" s="107">
        <f t="shared" si="155"/>
        <v>0</v>
      </c>
      <c r="N134" s="107">
        <f t="shared" si="156"/>
        <v>0</v>
      </c>
      <c r="O134" s="55"/>
      <c r="Q134" s="245">
        <f t="shared" si="163"/>
        <v>0</v>
      </c>
      <c r="V134" s="55"/>
      <c r="AC134" s="55"/>
      <c r="AJ134" s="55"/>
    </row>
    <row r="135">
      <c r="C135" s="78"/>
      <c r="I135" s="104" t="s">
        <v>79</v>
      </c>
      <c r="J135" s="105"/>
      <c r="K135" s="105"/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/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/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/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0</v>
      </c>
      <c r="K139" s="112">
        <f>SUM(K127+K128+K129+K130+K131+K132+K133+K134+K135+K136+K137+K138)</f>
        <v>0</v>
      </c>
      <c r="L139" s="113"/>
      <c r="M139" s="112">
        <f t="shared" ref="M139:N139" si="165">SUM(M127+M128+M129+M130+M131+M132+M133+M134)</f>
        <v>0</v>
      </c>
      <c r="N139" s="112">
        <f t="shared" si="165"/>
        <v>0</v>
      </c>
      <c r="O139" s="55"/>
      <c r="Q139" s="245">
        <f>Q127+Q128+Q130+Q131+Q132+Q133+Q134</f>
        <v>0</v>
      </c>
      <c r="R139" s="78" t="s">
        <v>272</v>
      </c>
      <c r="V139" s="55"/>
      <c r="AC139" s="55"/>
      <c r="AJ139" s="55"/>
    </row>
    <row r="140">
      <c r="O140" s="55"/>
      <c r="Q140" s="245">
        <f>K135+K136+K137+K138</f>
        <v>0</v>
      </c>
      <c r="R140" s="78" t="s">
        <v>274</v>
      </c>
      <c r="V140" s="55"/>
      <c r="AC140" s="55"/>
      <c r="AJ140" s="55"/>
    </row>
    <row r="141">
      <c r="O141" s="55"/>
      <c r="Q141" s="245">
        <f>Q139-Q140</f>
        <v>0</v>
      </c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0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0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0</v>
      </c>
      <c r="E144" s="47"/>
      <c r="F144" s="47"/>
      <c r="G144" s="47"/>
      <c r="H144" s="48"/>
      <c r="L144" s="97" t="s">
        <v>87</v>
      </c>
      <c r="M144" s="114">
        <f>J139+(M139*0)</f>
        <v>0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0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0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0</v>
      </c>
      <c r="E147" s="47"/>
      <c r="F147" s="47"/>
      <c r="G147" s="47"/>
      <c r="H147" s="48"/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0</v>
      </c>
      <c r="E148" s="47"/>
      <c r="F148" s="47"/>
      <c r="G148" s="47"/>
      <c r="H148" s="48"/>
      <c r="M148" s="245">
        <f>M144-219000</f>
        <v>-219000</v>
      </c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0</v>
      </c>
      <c r="E151" s="47"/>
      <c r="F151" s="47"/>
      <c r="G151" s="47"/>
      <c r="H151" s="48"/>
      <c r="O151" s="55"/>
      <c r="V151" s="55"/>
      <c r="AC151" s="55"/>
      <c r="AJ151" s="55"/>
    </row>
    <row r="152"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0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0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0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D143:G143/26</f>
        <v>0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29"/>
      <c r="Q203" s="9" t="s">
        <v>10</v>
      </c>
      <c r="R203" s="120"/>
      <c r="S203" s="49"/>
      <c r="T203" s="49"/>
      <c r="U203" s="49"/>
      <c r="V203" s="51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9">
        <v>202.0</v>
      </c>
      <c r="R204" s="122"/>
      <c r="S204" s="49"/>
      <c r="T204" s="49"/>
      <c r="U204" s="49"/>
      <c r="V204" s="51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9">
        <v>213.0</v>
      </c>
      <c r="R205" s="122"/>
      <c r="S205" s="49"/>
      <c r="T205" s="49"/>
      <c r="U205" s="49"/>
      <c r="V205" s="51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9">
        <v>307.0</v>
      </c>
      <c r="R206" s="122"/>
      <c r="S206" s="49"/>
      <c r="T206" s="49"/>
      <c r="U206" s="49"/>
      <c r="V206" s="51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9">
        <v>313.0</v>
      </c>
      <c r="R207" s="122"/>
      <c r="S207" s="49"/>
      <c r="T207" s="49"/>
      <c r="U207" s="49"/>
      <c r="V207" s="51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9" t="s">
        <v>19</v>
      </c>
      <c r="R208" s="122"/>
      <c r="S208" s="49"/>
      <c r="T208" s="49"/>
      <c r="U208" s="49"/>
      <c r="V208" s="51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9" t="s">
        <v>22</v>
      </c>
      <c r="R209" s="123"/>
      <c r="S209" s="48"/>
      <c r="T209" s="120"/>
      <c r="U209" s="49"/>
      <c r="V209" s="51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0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0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4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R209:S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2" t="s">
        <v>1</v>
      </c>
      <c r="Y1" s="4" t="s">
        <v>7</v>
      </c>
      <c r="Z1" s="2" t="s">
        <v>3</v>
      </c>
      <c r="AA1" s="2" t="s">
        <v>4</v>
      </c>
      <c r="AB1" s="2" t="s">
        <v>5</v>
      </c>
      <c r="AC1" s="5" t="s">
        <v>6</v>
      </c>
      <c r="AD1" s="2" t="s">
        <v>0</v>
      </c>
      <c r="AE1" s="2" t="s">
        <v>1</v>
      </c>
      <c r="AF1" s="4" t="s">
        <v>7</v>
      </c>
      <c r="AG1" s="2" t="s">
        <v>3</v>
      </c>
      <c r="AH1" s="2" t="s">
        <v>4</v>
      </c>
      <c r="AI1" s="2" t="s">
        <v>5</v>
      </c>
      <c r="AJ1" s="5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>
        <v>45901.0</v>
      </c>
      <c r="C2" s="9" t="s">
        <v>10</v>
      </c>
      <c r="D2" s="10"/>
      <c r="E2" s="10"/>
      <c r="F2" s="10"/>
      <c r="G2" s="10"/>
      <c r="H2" s="11"/>
      <c r="I2" s="12">
        <v>45908.0</v>
      </c>
      <c r="J2" s="9" t="s">
        <v>10</v>
      </c>
      <c r="K2" s="10"/>
      <c r="L2" s="10"/>
      <c r="M2" s="10"/>
      <c r="N2" s="10"/>
      <c r="O2" s="11"/>
      <c r="P2" s="12">
        <v>45915.0</v>
      </c>
      <c r="Q2" s="9" t="s">
        <v>282</v>
      </c>
      <c r="R2" s="10"/>
      <c r="S2" s="10"/>
      <c r="T2" s="10"/>
      <c r="U2" s="10"/>
      <c r="V2" s="11"/>
      <c r="W2" s="8">
        <v>45922.0</v>
      </c>
      <c r="X2" s="9" t="s">
        <v>10</v>
      </c>
      <c r="Y2" s="10"/>
      <c r="Z2" s="10"/>
      <c r="AA2" s="10"/>
      <c r="AB2" s="10"/>
      <c r="AC2" s="11"/>
      <c r="AD2" s="8">
        <v>45929.0</v>
      </c>
      <c r="AE2" s="9" t="s">
        <v>10</v>
      </c>
      <c r="AF2" s="10"/>
      <c r="AG2" s="10"/>
      <c r="AH2" s="10"/>
      <c r="AI2" s="10"/>
      <c r="AJ2" s="11"/>
      <c r="AL2" s="18" t="s">
        <v>11</v>
      </c>
      <c r="AM2" s="9" t="s">
        <v>10</v>
      </c>
      <c r="AN2" s="10">
        <f t="shared" ref="AN2:AP2" si="1">D2+K2+R2+Y2+AF2</f>
        <v>0</v>
      </c>
      <c r="AO2" s="10">
        <f t="shared" si="1"/>
        <v>0</v>
      </c>
      <c r="AP2" s="10">
        <f t="shared" si="1"/>
        <v>0</v>
      </c>
      <c r="AQ2" s="11">
        <f t="shared" ref="AQ2:AQ9" si="3">H2+O2+V2+AC2+AJ2</f>
        <v>0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9" t="s">
        <v>12</v>
      </c>
      <c r="K3" s="10"/>
      <c r="L3" s="10"/>
      <c r="M3" s="10"/>
      <c r="N3" s="10"/>
      <c r="O3" s="11"/>
      <c r="P3" s="19"/>
      <c r="Q3" s="9" t="s">
        <v>12</v>
      </c>
      <c r="R3" s="10"/>
      <c r="S3" s="10"/>
      <c r="T3" s="10"/>
      <c r="U3" s="10"/>
      <c r="V3" s="11"/>
      <c r="W3" s="19"/>
      <c r="X3" s="9" t="s">
        <v>12</v>
      </c>
      <c r="Y3" s="10"/>
      <c r="Z3" s="10"/>
      <c r="AA3" s="10"/>
      <c r="AB3" s="10"/>
      <c r="AC3" s="11"/>
      <c r="AD3" s="19"/>
      <c r="AE3" s="9" t="s">
        <v>12</v>
      </c>
      <c r="AF3" s="10"/>
      <c r="AG3" s="10"/>
      <c r="AH3" s="10"/>
      <c r="AI3" s="10"/>
      <c r="AJ3" s="11"/>
      <c r="AL3" s="19"/>
      <c r="AM3" s="9" t="s">
        <v>12</v>
      </c>
      <c r="AN3" s="10">
        <f t="shared" ref="AN3:AP3" si="2">D3+K3+R3+Y3+AF3</f>
        <v>0</v>
      </c>
      <c r="AO3" s="10">
        <f t="shared" si="2"/>
        <v>0</v>
      </c>
      <c r="AP3" s="10">
        <f t="shared" si="2"/>
        <v>0</v>
      </c>
      <c r="AQ3" s="11">
        <f t="shared" si="3"/>
        <v>0</v>
      </c>
    </row>
    <row r="4">
      <c r="B4" s="19"/>
      <c r="C4" s="9" t="s">
        <v>276</v>
      </c>
      <c r="D4" s="10"/>
      <c r="E4" s="10"/>
      <c r="F4" s="10"/>
      <c r="G4" s="10"/>
      <c r="H4" s="11"/>
      <c r="I4" s="19"/>
      <c r="J4" s="9" t="s">
        <v>276</v>
      </c>
      <c r="K4" s="291"/>
      <c r="L4" s="10"/>
      <c r="M4" s="10"/>
      <c r="N4" s="10"/>
      <c r="O4" s="11"/>
      <c r="P4" s="19"/>
      <c r="Q4" s="9" t="s">
        <v>276</v>
      </c>
      <c r="R4" s="291"/>
      <c r="S4" s="10"/>
      <c r="T4" s="10"/>
      <c r="U4" s="10"/>
      <c r="V4" s="11"/>
      <c r="W4" s="19"/>
      <c r="X4" s="9" t="s">
        <v>276</v>
      </c>
      <c r="Y4" s="10"/>
      <c r="Z4" s="10"/>
      <c r="AA4" s="10"/>
      <c r="AB4" s="10"/>
      <c r="AC4" s="11"/>
      <c r="AD4" s="19"/>
      <c r="AE4" s="9" t="s">
        <v>14</v>
      </c>
      <c r="AF4" s="10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10"/>
      <c r="H5" s="11"/>
      <c r="I5" s="19"/>
      <c r="J5" s="9" t="s">
        <v>16</v>
      </c>
      <c r="K5" s="10"/>
      <c r="L5" s="10"/>
      <c r="M5" s="10"/>
      <c r="N5" s="10"/>
      <c r="O5" s="11"/>
      <c r="P5" s="19"/>
      <c r="Q5" s="9" t="s">
        <v>16</v>
      </c>
      <c r="R5" s="10"/>
      <c r="S5" s="10"/>
      <c r="T5" s="10"/>
      <c r="U5" s="10"/>
      <c r="V5" s="163"/>
      <c r="W5" s="19"/>
      <c r="X5" s="9" t="s">
        <v>283</v>
      </c>
      <c r="Y5" s="10"/>
      <c r="Z5" s="10"/>
      <c r="AA5" s="10"/>
      <c r="AB5" s="310"/>
      <c r="AC5" s="163"/>
      <c r="AD5" s="19"/>
      <c r="AE5" s="9" t="s">
        <v>16</v>
      </c>
      <c r="AF5" s="10"/>
      <c r="AG5" s="10"/>
      <c r="AH5" s="10"/>
      <c r="AI5" s="310"/>
      <c r="AJ5" s="11"/>
      <c r="AL5" s="19"/>
      <c r="AM5" s="9" t="s">
        <v>16</v>
      </c>
      <c r="AN5" s="10">
        <f t="shared" ref="AN5:AP5" si="5">D5+K5+R5+Y5+AF5</f>
        <v>0</v>
      </c>
      <c r="AO5" s="10">
        <f t="shared" si="5"/>
        <v>0</v>
      </c>
      <c r="AP5" s="10">
        <f t="shared" si="5"/>
        <v>0</v>
      </c>
      <c r="AQ5" s="11">
        <f t="shared" si="3"/>
        <v>0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10"/>
      <c r="L6" s="10"/>
      <c r="M6" s="10"/>
      <c r="N6" s="10"/>
      <c r="O6" s="11"/>
      <c r="P6" s="19"/>
      <c r="Q6" s="9" t="s">
        <v>17</v>
      </c>
      <c r="R6" s="10"/>
      <c r="S6" s="10"/>
      <c r="T6" s="10"/>
      <c r="U6" s="10"/>
      <c r="V6" s="11"/>
      <c r="W6" s="19"/>
      <c r="X6" s="9" t="s">
        <v>17</v>
      </c>
      <c r="Y6" s="10"/>
      <c r="Z6" s="10"/>
      <c r="AA6" s="10"/>
      <c r="AB6" s="10"/>
      <c r="AC6" s="11"/>
      <c r="AD6" s="19"/>
      <c r="AE6" s="9" t="s">
        <v>17</v>
      </c>
      <c r="AF6" s="10"/>
      <c r="AG6" s="10"/>
      <c r="AH6" s="10"/>
      <c r="AI6" s="10"/>
      <c r="AJ6" s="11"/>
      <c r="AL6" s="19"/>
      <c r="AM6" s="9" t="s">
        <v>17</v>
      </c>
      <c r="AN6" s="10">
        <f t="shared" ref="AN6:AP6" si="6">D6+K6+R6+Y6+AF6</f>
        <v>0</v>
      </c>
      <c r="AO6" s="10">
        <f t="shared" si="6"/>
        <v>0</v>
      </c>
      <c r="AP6" s="10">
        <f t="shared" si="6"/>
        <v>0</v>
      </c>
      <c r="AQ6" s="11">
        <f t="shared" si="3"/>
        <v>0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9" t="s">
        <v>18</v>
      </c>
      <c r="K7" s="10"/>
      <c r="L7" s="10"/>
      <c r="M7" s="10"/>
      <c r="N7" s="10"/>
      <c r="O7" s="11"/>
      <c r="P7" s="19"/>
      <c r="Q7" s="9" t="s">
        <v>18</v>
      </c>
      <c r="R7" s="10"/>
      <c r="S7" s="10"/>
      <c r="T7" s="10"/>
      <c r="U7" s="10"/>
      <c r="V7" s="11"/>
      <c r="W7" s="19"/>
      <c r="X7" s="9" t="s">
        <v>18</v>
      </c>
      <c r="Y7" s="10"/>
      <c r="Z7" s="10"/>
      <c r="AA7" s="10"/>
      <c r="AB7" s="10"/>
      <c r="AC7" s="11"/>
      <c r="AD7" s="19"/>
      <c r="AE7" s="9" t="s">
        <v>18</v>
      </c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0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9" t="s">
        <v>20</v>
      </c>
      <c r="K8" s="10"/>
      <c r="L8" s="10"/>
      <c r="M8" s="10"/>
      <c r="N8" s="10"/>
      <c r="O8" s="11"/>
      <c r="P8" s="19"/>
      <c r="Q8" s="9" t="s">
        <v>19</v>
      </c>
      <c r="R8" s="10"/>
      <c r="S8" s="10"/>
      <c r="T8" s="10"/>
      <c r="U8" s="10"/>
      <c r="V8" s="11"/>
      <c r="W8" s="19"/>
      <c r="X8" s="9" t="s">
        <v>19</v>
      </c>
      <c r="Y8" s="10"/>
      <c r="Z8" s="10"/>
      <c r="AA8" s="10"/>
      <c r="AB8" s="10"/>
      <c r="AC8" s="11"/>
      <c r="AD8" s="19"/>
      <c r="AE8" s="9" t="s">
        <v>19</v>
      </c>
      <c r="AF8" s="10"/>
      <c r="AG8" s="10"/>
      <c r="AH8" s="10"/>
      <c r="AI8" s="10"/>
      <c r="AJ8" s="11"/>
      <c r="AL8" s="19"/>
      <c r="AM8" s="9" t="s">
        <v>19</v>
      </c>
      <c r="AN8" s="10">
        <f t="shared" ref="AN8:AP8" si="8">D8+K8+R8+Y8+AF8</f>
        <v>0</v>
      </c>
      <c r="AO8" s="10">
        <f t="shared" si="8"/>
        <v>0</v>
      </c>
      <c r="AP8" s="10">
        <f t="shared" si="8"/>
        <v>0</v>
      </c>
      <c r="AQ8" s="11">
        <f t="shared" si="3"/>
        <v>0</v>
      </c>
    </row>
    <row r="9">
      <c r="B9" s="19"/>
      <c r="C9" s="26" t="s">
        <v>21</v>
      </c>
      <c r="D9" s="10"/>
      <c r="E9" s="10"/>
      <c r="F9" s="10"/>
      <c r="G9" s="310"/>
      <c r="H9" s="11"/>
      <c r="I9" s="19"/>
      <c r="J9" s="26" t="s">
        <v>22</v>
      </c>
      <c r="K9" s="10"/>
      <c r="L9" s="10"/>
      <c r="M9" s="10"/>
      <c r="N9" s="310"/>
      <c r="O9" s="11"/>
      <c r="P9" s="19"/>
      <c r="Q9" s="26" t="s">
        <v>21</v>
      </c>
      <c r="R9" s="10"/>
      <c r="S9" s="10"/>
      <c r="T9" s="10"/>
      <c r="U9" s="310"/>
      <c r="V9" s="11"/>
      <c r="W9" s="19"/>
      <c r="X9" s="26" t="s">
        <v>21</v>
      </c>
      <c r="Y9" s="10"/>
      <c r="Z9" s="10"/>
      <c r="AA9" s="10"/>
      <c r="AB9" s="310"/>
      <c r="AC9" s="11"/>
      <c r="AD9" s="19"/>
      <c r="AE9" s="26" t="s">
        <v>21</v>
      </c>
      <c r="AF9" s="10"/>
      <c r="AG9" s="10"/>
      <c r="AH9" s="10"/>
      <c r="AI9" s="310"/>
      <c r="AJ9" s="11"/>
      <c r="AL9" s="19"/>
      <c r="AM9" s="26" t="s">
        <v>21</v>
      </c>
      <c r="AN9" s="10">
        <f t="shared" ref="AN9:AP9" si="9">D9+K9+R9+Y9+AF9</f>
        <v>0</v>
      </c>
      <c r="AO9" s="10">
        <f t="shared" si="9"/>
        <v>0</v>
      </c>
      <c r="AP9" s="10">
        <f t="shared" si="9"/>
        <v>0</v>
      </c>
      <c r="AQ9" s="11">
        <f t="shared" si="3"/>
        <v>0</v>
      </c>
    </row>
    <row r="10">
      <c r="B10" s="19"/>
      <c r="C10" s="66" t="s">
        <v>23</v>
      </c>
      <c r="D10" s="284"/>
      <c r="E10" s="284"/>
      <c r="F10" s="284"/>
      <c r="G10" s="284"/>
      <c r="H10" s="285"/>
      <c r="I10" s="19"/>
      <c r="J10" s="28" t="s">
        <v>23</v>
      </c>
      <c r="K10" s="61">
        <f t="shared" ref="K10:O10" si="10">K2+K3+K4+K5+K6+K7+K8+K9</f>
        <v>0</v>
      </c>
      <c r="L10" s="37">
        <f t="shared" si="10"/>
        <v>0</v>
      </c>
      <c r="M10" s="36">
        <f t="shared" si="10"/>
        <v>0</v>
      </c>
      <c r="N10" s="40">
        <f t="shared" si="10"/>
        <v>0</v>
      </c>
      <c r="O10" s="33">
        <f t="shared" si="10"/>
        <v>0</v>
      </c>
      <c r="P10" s="19"/>
      <c r="Q10" s="28" t="s">
        <v>23</v>
      </c>
      <c r="R10" s="29">
        <f t="shared" ref="R10:V10" si="11">R2+R3+R4+R5+R6+R7+R8+R9</f>
        <v>0</v>
      </c>
      <c r="S10" s="35">
        <f t="shared" si="11"/>
        <v>0</v>
      </c>
      <c r="T10" s="36">
        <f t="shared" si="11"/>
        <v>0</v>
      </c>
      <c r="U10" s="40">
        <f t="shared" si="11"/>
        <v>0</v>
      </c>
      <c r="V10" s="33">
        <f t="shared" si="11"/>
        <v>0</v>
      </c>
      <c r="W10" s="19"/>
      <c r="X10" s="28" t="s">
        <v>23</v>
      </c>
      <c r="Y10" s="61">
        <f t="shared" ref="Y10:AC10" si="12">Y2+Y3+Y4+Y5+Y6+Y7+Y8+Y9</f>
        <v>0</v>
      </c>
      <c r="Z10" s="35">
        <f t="shared" si="12"/>
        <v>0</v>
      </c>
      <c r="AA10" s="36">
        <f t="shared" si="12"/>
        <v>0</v>
      </c>
      <c r="AB10" s="37">
        <f t="shared" si="12"/>
        <v>0</v>
      </c>
      <c r="AC10" s="33">
        <f t="shared" si="12"/>
        <v>0</v>
      </c>
      <c r="AD10" s="19"/>
      <c r="AE10" s="28" t="s">
        <v>23</v>
      </c>
      <c r="AF10" s="61">
        <f t="shared" ref="AF10:AJ10" si="13">AF2+AF3+AF4+AF5+AF6+AF7+AF8+AF9</f>
        <v>0</v>
      </c>
      <c r="AG10" s="40">
        <f t="shared" si="13"/>
        <v>0</v>
      </c>
      <c r="AH10" s="31">
        <f t="shared" si="13"/>
        <v>0</v>
      </c>
      <c r="AI10" s="37">
        <f t="shared" si="13"/>
        <v>0</v>
      </c>
      <c r="AJ10" s="33">
        <f t="shared" si="13"/>
        <v>0</v>
      </c>
      <c r="AL10" s="19"/>
      <c r="AM10" s="28" t="s">
        <v>23</v>
      </c>
      <c r="AN10" s="41">
        <f t="shared" ref="AN10:AQ10" si="14">AN2+AN3+AN4+AN5+AN6+AN7+AN8+AN9</f>
        <v>0</v>
      </c>
      <c r="AO10" s="42">
        <f t="shared" si="14"/>
        <v>0</v>
      </c>
      <c r="AP10" s="43">
        <f t="shared" si="14"/>
        <v>0</v>
      </c>
      <c r="AQ10" s="44">
        <f t="shared" si="14"/>
        <v>0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0</v>
      </c>
      <c r="L11" s="47"/>
      <c r="M11" s="48"/>
      <c r="N11" s="51"/>
      <c r="O11" s="52"/>
      <c r="P11" s="19"/>
      <c r="Q11" s="45" t="s">
        <v>24</v>
      </c>
      <c r="R11" s="50">
        <f>R10-S10</f>
        <v>0</v>
      </c>
      <c r="S11" s="47"/>
      <c r="T11" s="48"/>
      <c r="U11" s="51"/>
      <c r="V11" s="52"/>
      <c r="W11" s="19"/>
      <c r="X11" s="45" t="s">
        <v>24</v>
      </c>
      <c r="Y11" s="50">
        <f>Y10-Z10</f>
        <v>0</v>
      </c>
      <c r="Z11" s="47"/>
      <c r="AA11" s="48"/>
      <c r="AB11" s="51"/>
      <c r="AC11" s="52"/>
      <c r="AD11" s="19"/>
      <c r="AE11" s="45" t="s">
        <v>24</v>
      </c>
      <c r="AF11" s="50">
        <f>AF10-AG10</f>
        <v>0</v>
      </c>
      <c r="AG11" s="47"/>
      <c r="AH11" s="48"/>
      <c r="AI11" s="51"/>
      <c r="AJ11" s="52"/>
      <c r="AL11" s="53"/>
      <c r="AM11" s="45" t="s">
        <v>25</v>
      </c>
      <c r="AN11" s="50">
        <f>AN10-AO10</f>
        <v>0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0</v>
      </c>
      <c r="L12" s="47"/>
      <c r="M12" s="48"/>
      <c r="N12" s="51"/>
      <c r="O12" s="52"/>
      <c r="P12" s="53"/>
      <c r="Q12" s="56" t="s">
        <v>26</v>
      </c>
      <c r="R12" s="57">
        <f>T10-S10</f>
        <v>0</v>
      </c>
      <c r="S12" s="47"/>
      <c r="T12" s="48"/>
      <c r="U12" s="51"/>
      <c r="V12" s="52"/>
      <c r="W12" s="53"/>
      <c r="X12" s="56" t="s">
        <v>26</v>
      </c>
      <c r="Y12" s="57">
        <f>AA10-Z10</f>
        <v>0</v>
      </c>
      <c r="Z12" s="47"/>
      <c r="AA12" s="48"/>
      <c r="AB12" s="51"/>
      <c r="AC12" s="52"/>
      <c r="AD12" s="53"/>
      <c r="AE12" s="56" t="s">
        <v>26</v>
      </c>
      <c r="AF12" s="57">
        <f>AH10-AG10</f>
        <v>0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1" t="s">
        <v>1</v>
      </c>
      <c r="Y13" s="307" t="s">
        <v>7</v>
      </c>
      <c r="Z13" s="1" t="s">
        <v>3</v>
      </c>
      <c r="AA13" s="1" t="s">
        <v>4</v>
      </c>
      <c r="AB13" s="1" t="s">
        <v>5</v>
      </c>
      <c r="AC13" s="308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>
        <v>45902.0</v>
      </c>
      <c r="C14" s="9" t="s">
        <v>10</v>
      </c>
      <c r="D14" s="10"/>
      <c r="E14" s="10"/>
      <c r="F14" s="10"/>
      <c r="G14" s="10"/>
      <c r="H14" s="11"/>
      <c r="I14" s="12">
        <v>45909.0</v>
      </c>
      <c r="J14" s="9" t="s">
        <v>10</v>
      </c>
      <c r="K14" s="10"/>
      <c r="L14" s="10"/>
      <c r="M14" s="10"/>
      <c r="N14" s="10"/>
      <c r="O14" s="11"/>
      <c r="P14" s="8">
        <v>45916.0</v>
      </c>
      <c r="Q14" s="9" t="s">
        <v>10</v>
      </c>
      <c r="R14" s="10"/>
      <c r="S14" s="10"/>
      <c r="T14" s="10"/>
      <c r="U14" s="10"/>
      <c r="V14" s="11"/>
      <c r="W14" s="8">
        <v>45923.0</v>
      </c>
      <c r="X14" s="9" t="s">
        <v>10</v>
      </c>
      <c r="Y14" s="10"/>
      <c r="Z14" s="10"/>
      <c r="AA14" s="10"/>
      <c r="AB14" s="10"/>
      <c r="AC14" s="11"/>
      <c r="AD14" s="8">
        <v>45930.0</v>
      </c>
      <c r="AE14" s="9" t="s">
        <v>10</v>
      </c>
      <c r="AF14" s="10"/>
      <c r="AG14" s="10"/>
      <c r="AH14" s="10"/>
      <c r="AI14" s="10"/>
      <c r="AJ14" s="11"/>
      <c r="AL14" s="18" t="s">
        <v>28</v>
      </c>
      <c r="AM14" s="9" t="s">
        <v>10</v>
      </c>
      <c r="AN14" s="10">
        <f t="shared" ref="AN14:AP14" si="15">D14+K14+R14+Y14+AF14</f>
        <v>0</v>
      </c>
      <c r="AO14" s="10">
        <f t="shared" si="15"/>
        <v>0</v>
      </c>
      <c r="AP14" s="10">
        <f t="shared" si="15"/>
        <v>0</v>
      </c>
      <c r="AQ14" s="11">
        <f t="shared" ref="AQ14:AQ21" si="17">H14+O14+V14+AC14+AJ14</f>
        <v>0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9" t="s">
        <v>12</v>
      </c>
      <c r="K15" s="10"/>
      <c r="L15" s="10"/>
      <c r="M15" s="10"/>
      <c r="N15" s="10"/>
      <c r="O15" s="11"/>
      <c r="P15" s="19"/>
      <c r="Q15" s="9" t="s">
        <v>12</v>
      </c>
      <c r="R15" s="10"/>
      <c r="S15" s="10"/>
      <c r="T15" s="10"/>
      <c r="U15" s="10"/>
      <c r="V15" s="11"/>
      <c r="W15" s="19"/>
      <c r="X15" s="9" t="s">
        <v>12</v>
      </c>
      <c r="Y15" s="10"/>
      <c r="Z15" s="10"/>
      <c r="AA15" s="10"/>
      <c r="AB15" s="10"/>
      <c r="AC15" s="11"/>
      <c r="AD15" s="19"/>
      <c r="AE15" s="9" t="s">
        <v>12</v>
      </c>
      <c r="AF15" s="10"/>
      <c r="AG15" s="10"/>
      <c r="AH15" s="10"/>
      <c r="AI15" s="10"/>
      <c r="AJ15" s="11"/>
      <c r="AL15" s="19"/>
      <c r="AM15" s="9" t="s">
        <v>12</v>
      </c>
      <c r="AN15" s="10">
        <f t="shared" ref="AN15:AP15" si="16">D15+K15+R15+Y15+AF15</f>
        <v>0</v>
      </c>
      <c r="AO15" s="10">
        <f t="shared" si="16"/>
        <v>0</v>
      </c>
      <c r="AP15" s="10">
        <f t="shared" si="16"/>
        <v>0</v>
      </c>
      <c r="AQ15" s="11">
        <f t="shared" si="17"/>
        <v>0</v>
      </c>
    </row>
    <row r="16">
      <c r="A16" s="19"/>
      <c r="B16" s="19"/>
      <c r="C16" s="9" t="s">
        <v>276</v>
      </c>
      <c r="D16" s="291"/>
      <c r="E16" s="10"/>
      <c r="F16" s="10"/>
      <c r="G16" s="10"/>
      <c r="H16" s="11"/>
      <c r="I16" s="19"/>
      <c r="J16" s="9" t="s">
        <v>276</v>
      </c>
      <c r="K16" s="291"/>
      <c r="L16" s="10"/>
      <c r="M16" s="10"/>
      <c r="N16" s="10"/>
      <c r="O16" s="11"/>
      <c r="P16" s="19"/>
      <c r="Q16" s="9" t="s">
        <v>276</v>
      </c>
      <c r="R16" s="10"/>
      <c r="S16" s="10"/>
      <c r="T16" s="10"/>
      <c r="U16" s="10"/>
      <c r="V16" s="11"/>
      <c r="W16" s="19"/>
      <c r="X16" s="9" t="s">
        <v>276</v>
      </c>
      <c r="Y16" s="10"/>
      <c r="Z16" s="10"/>
      <c r="AA16" s="10"/>
      <c r="AB16" s="10"/>
      <c r="AC16" s="11"/>
      <c r="AD16" s="19"/>
      <c r="AE16" s="9" t="s">
        <v>14</v>
      </c>
      <c r="AF16" s="10"/>
      <c r="AG16" s="10"/>
      <c r="AH16" s="10"/>
      <c r="AI16" s="10"/>
      <c r="AJ16" s="11"/>
      <c r="AL16" s="19"/>
      <c r="AM16" s="9" t="s">
        <v>14</v>
      </c>
      <c r="AN16" s="10">
        <f t="shared" ref="AN16:AP16" si="18">D16+K16+R16+Y16+AF16</f>
        <v>0</v>
      </c>
      <c r="AO16" s="10">
        <f t="shared" si="18"/>
        <v>0</v>
      </c>
      <c r="AP16" s="10">
        <f t="shared" si="18"/>
        <v>0</v>
      </c>
      <c r="AQ16" s="11">
        <f t="shared" si="17"/>
        <v>0</v>
      </c>
    </row>
    <row r="17">
      <c r="A17" s="19"/>
      <c r="B17" s="19"/>
      <c r="C17" s="9" t="s">
        <v>16</v>
      </c>
      <c r="D17" s="10"/>
      <c r="E17" s="10"/>
      <c r="F17" s="10"/>
      <c r="G17" s="310"/>
      <c r="H17" s="11"/>
      <c r="I17" s="19"/>
      <c r="J17" s="9" t="s">
        <v>16</v>
      </c>
      <c r="K17" s="10"/>
      <c r="L17" s="10"/>
      <c r="M17" s="10"/>
      <c r="N17" s="10"/>
      <c r="O17" s="11"/>
      <c r="P17" s="19"/>
      <c r="Q17" s="9" t="s">
        <v>15</v>
      </c>
      <c r="R17" s="10"/>
      <c r="S17" s="10"/>
      <c r="T17" s="10"/>
      <c r="U17" s="10"/>
      <c r="V17" s="11"/>
      <c r="W17" s="19"/>
      <c r="X17" s="9" t="s">
        <v>16</v>
      </c>
      <c r="Y17" s="10"/>
      <c r="Z17" s="10"/>
      <c r="AA17" s="10"/>
      <c r="AB17" s="10"/>
      <c r="AC17" s="11"/>
      <c r="AD17" s="19"/>
      <c r="AE17" s="9" t="s">
        <v>16</v>
      </c>
      <c r="AF17" s="10"/>
      <c r="AG17" s="10"/>
      <c r="AH17" s="10"/>
      <c r="AI17" s="310"/>
      <c r="AJ17" s="11"/>
      <c r="AL17" s="19"/>
      <c r="AM17" s="9" t="s">
        <v>16</v>
      </c>
      <c r="AN17" s="10">
        <f t="shared" ref="AN17:AP17" si="19">D17+K17+R17+Y17+AF17</f>
        <v>0</v>
      </c>
      <c r="AO17" s="10">
        <f t="shared" si="19"/>
        <v>0</v>
      </c>
      <c r="AP17" s="10">
        <f t="shared" si="19"/>
        <v>0</v>
      </c>
      <c r="AQ17" s="11">
        <f t="shared" si="17"/>
        <v>0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9" t="s">
        <v>17</v>
      </c>
      <c r="K18" s="10"/>
      <c r="L18" s="10"/>
      <c r="M18" s="10"/>
      <c r="N18" s="10"/>
      <c r="O18" s="11"/>
      <c r="P18" s="19"/>
      <c r="Q18" s="9" t="s">
        <v>17</v>
      </c>
      <c r="R18" s="10"/>
      <c r="S18" s="10"/>
      <c r="T18" s="10"/>
      <c r="U18" s="10"/>
      <c r="V18" s="11"/>
      <c r="W18" s="19"/>
      <c r="X18" s="9" t="s">
        <v>17</v>
      </c>
      <c r="Y18" s="10"/>
      <c r="Z18" s="10"/>
      <c r="AA18" s="10"/>
      <c r="AB18" s="10"/>
      <c r="AC18" s="11"/>
      <c r="AD18" s="19"/>
      <c r="AE18" s="9" t="s">
        <v>17</v>
      </c>
      <c r="AF18" s="10"/>
      <c r="AG18" s="10"/>
      <c r="AH18" s="10"/>
      <c r="AI18" s="10"/>
      <c r="AJ18" s="11"/>
      <c r="AL18" s="19"/>
      <c r="AM18" s="9" t="s">
        <v>17</v>
      </c>
      <c r="AN18" s="10">
        <f t="shared" ref="AN18:AP18" si="20">D18+K18+R18+Y18+AF18</f>
        <v>0</v>
      </c>
      <c r="AO18" s="10">
        <f t="shared" si="20"/>
        <v>0</v>
      </c>
      <c r="AP18" s="10">
        <f t="shared" si="20"/>
        <v>0</v>
      </c>
      <c r="AQ18" s="11">
        <f t="shared" si="17"/>
        <v>0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9" t="s">
        <v>18</v>
      </c>
      <c r="K19" s="10"/>
      <c r="L19" s="10"/>
      <c r="M19" s="10"/>
      <c r="N19" s="10"/>
      <c r="O19" s="11"/>
      <c r="P19" s="19"/>
      <c r="Q19" s="9" t="s">
        <v>18</v>
      </c>
      <c r="R19" s="10"/>
      <c r="S19" s="10"/>
      <c r="T19" s="10"/>
      <c r="U19" s="10"/>
      <c r="V19" s="11"/>
      <c r="W19" s="19"/>
      <c r="X19" s="9" t="s">
        <v>18</v>
      </c>
      <c r="Y19" s="10"/>
      <c r="Z19" s="10"/>
      <c r="AA19" s="10"/>
      <c r="AB19" s="10"/>
      <c r="AC19" s="11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1">D19+K19+R19+Y19+AF19</f>
        <v>0</v>
      </c>
      <c r="AO19" s="10">
        <f t="shared" si="21"/>
        <v>0</v>
      </c>
      <c r="AP19" s="10">
        <f t="shared" si="21"/>
        <v>0</v>
      </c>
      <c r="AQ19" s="11">
        <f t="shared" si="17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0"/>
      <c r="L20" s="10"/>
      <c r="M20" s="10"/>
      <c r="N20" s="10"/>
      <c r="O20" s="11"/>
      <c r="P20" s="19"/>
      <c r="Q20" s="9" t="s">
        <v>19</v>
      </c>
      <c r="R20" s="10"/>
      <c r="S20" s="10"/>
      <c r="T20" s="10"/>
      <c r="U20" s="10"/>
      <c r="V20" s="11"/>
      <c r="W20" s="19"/>
      <c r="X20" s="9" t="s">
        <v>19</v>
      </c>
      <c r="Y20" s="10"/>
      <c r="Z20" s="10"/>
      <c r="AA20" s="10"/>
      <c r="AB20" s="10"/>
      <c r="AC20" s="11"/>
      <c r="AD20" s="19"/>
      <c r="AE20" s="9" t="s">
        <v>19</v>
      </c>
      <c r="AF20" s="10"/>
      <c r="AG20" s="10"/>
      <c r="AH20" s="10"/>
      <c r="AI20" s="10"/>
      <c r="AJ20" s="11"/>
      <c r="AL20" s="19"/>
      <c r="AM20" s="9" t="s">
        <v>19</v>
      </c>
      <c r="AN20" s="10">
        <f t="shared" ref="AN20:AP20" si="22">D20+K20+R20+Y20+AF20</f>
        <v>0</v>
      </c>
      <c r="AO20" s="10">
        <f t="shared" si="22"/>
        <v>0</v>
      </c>
      <c r="AP20" s="10">
        <f t="shared" si="22"/>
        <v>0</v>
      </c>
      <c r="AQ20" s="11">
        <f t="shared" si="17"/>
        <v>0</v>
      </c>
    </row>
    <row r="21">
      <c r="A21" s="19"/>
      <c r="B21" s="19"/>
      <c r="C21" s="26" t="s">
        <v>21</v>
      </c>
      <c r="D21" s="10"/>
      <c r="E21" s="10"/>
      <c r="F21" s="10"/>
      <c r="G21" s="310"/>
      <c r="H21" s="11"/>
      <c r="I21" s="19"/>
      <c r="J21" s="26" t="s">
        <v>22</v>
      </c>
      <c r="K21" s="10"/>
      <c r="L21" s="10"/>
      <c r="M21" s="10"/>
      <c r="N21" s="310"/>
      <c r="O21" s="11"/>
      <c r="P21" s="19"/>
      <c r="Q21" s="26" t="s">
        <v>21</v>
      </c>
      <c r="R21" s="10"/>
      <c r="S21" s="10"/>
      <c r="T21" s="10"/>
      <c r="U21" s="310"/>
      <c r="V21" s="11"/>
      <c r="W21" s="19"/>
      <c r="X21" s="26" t="s">
        <v>21</v>
      </c>
      <c r="Y21" s="10"/>
      <c r="Z21" s="10"/>
      <c r="AA21" s="10"/>
      <c r="AB21" s="310"/>
      <c r="AC21" s="11"/>
      <c r="AD21" s="19"/>
      <c r="AE21" s="26" t="s">
        <v>21</v>
      </c>
      <c r="AF21" s="10"/>
      <c r="AG21" s="10"/>
      <c r="AH21" s="10"/>
      <c r="AI21" s="310"/>
      <c r="AJ21" s="11"/>
      <c r="AL21" s="19"/>
      <c r="AM21" s="26" t="s">
        <v>21</v>
      </c>
      <c r="AN21" s="10">
        <f t="shared" ref="AN21:AP21" si="23">D21+K21+R21+Y21+AF21</f>
        <v>0</v>
      </c>
      <c r="AO21" s="10">
        <f t="shared" si="23"/>
        <v>0</v>
      </c>
      <c r="AP21" s="10">
        <f t="shared" si="23"/>
        <v>0</v>
      </c>
      <c r="AQ21" s="11">
        <f t="shared" si="17"/>
        <v>0</v>
      </c>
    </row>
    <row r="22">
      <c r="A22" s="19"/>
      <c r="B22" s="19"/>
      <c r="C22" s="28" t="s">
        <v>23</v>
      </c>
      <c r="D22" s="29">
        <f t="shared" ref="D22:H22" si="24">D14+D15+D16+D17+D18+D19+D20+D21</f>
        <v>0</v>
      </c>
      <c r="E22" s="35">
        <f t="shared" si="24"/>
        <v>0</v>
      </c>
      <c r="F22" s="31">
        <f t="shared" si="24"/>
        <v>0</v>
      </c>
      <c r="G22" s="37">
        <f t="shared" si="24"/>
        <v>0</v>
      </c>
      <c r="H22" s="33">
        <f t="shared" si="24"/>
        <v>0</v>
      </c>
      <c r="I22" s="19"/>
      <c r="J22" s="28" t="s">
        <v>23</v>
      </c>
      <c r="K22" s="29">
        <f t="shared" ref="K22:O22" si="25">K14+K15+K16+K17+K18+K19+K20+K21</f>
        <v>0</v>
      </c>
      <c r="L22" s="30">
        <f t="shared" si="25"/>
        <v>0</v>
      </c>
      <c r="M22" s="31">
        <f t="shared" si="25"/>
        <v>0</v>
      </c>
      <c r="N22" s="40">
        <f t="shared" si="25"/>
        <v>0</v>
      </c>
      <c r="O22" s="33">
        <f t="shared" si="25"/>
        <v>0</v>
      </c>
      <c r="P22" s="19"/>
      <c r="Q22" s="28" t="s">
        <v>23</v>
      </c>
      <c r="R22" s="29">
        <f t="shared" ref="R22:V22" si="26">R14+R15+R16+R17+R18+R19+R20+R21</f>
        <v>0</v>
      </c>
      <c r="S22" s="30">
        <f t="shared" si="26"/>
        <v>0</v>
      </c>
      <c r="T22" s="31">
        <f t="shared" si="26"/>
        <v>0</v>
      </c>
      <c r="U22" s="40">
        <f t="shared" si="26"/>
        <v>0</v>
      </c>
      <c r="V22" s="294">
        <f t="shared" si="26"/>
        <v>0</v>
      </c>
      <c r="W22" s="19"/>
      <c r="X22" s="28" t="s">
        <v>23</v>
      </c>
      <c r="Y22" s="29">
        <f t="shared" ref="Y22:AC22" si="27">Y14+Y15+Y16+Y17+Y18+Y19+Y20+Y21</f>
        <v>0</v>
      </c>
      <c r="Z22" s="30">
        <f t="shared" si="27"/>
        <v>0</v>
      </c>
      <c r="AA22" s="36">
        <f t="shared" si="27"/>
        <v>0</v>
      </c>
      <c r="AB22" s="37">
        <f t="shared" si="27"/>
        <v>0</v>
      </c>
      <c r="AC22" s="294">
        <f t="shared" si="27"/>
        <v>0</v>
      </c>
      <c r="AD22" s="19"/>
      <c r="AE22" s="28" t="s">
        <v>23</v>
      </c>
      <c r="AF22" s="61">
        <f t="shared" ref="AF22:AJ22" si="28">AF14+AF15+AF16+AF17+AF18+AF19+AF20+AF21</f>
        <v>0</v>
      </c>
      <c r="AG22" s="30">
        <f t="shared" si="28"/>
        <v>0</v>
      </c>
      <c r="AH22" s="31">
        <f t="shared" si="28"/>
        <v>0</v>
      </c>
      <c r="AI22" s="37">
        <f t="shared" si="28"/>
        <v>0</v>
      </c>
      <c r="AJ22" s="33">
        <f t="shared" si="28"/>
        <v>0</v>
      </c>
      <c r="AL22" s="19"/>
      <c r="AM22" s="28" t="s">
        <v>23</v>
      </c>
      <c r="AN22" s="41">
        <f t="shared" ref="AN22:AQ22" si="29">AN14+AN15+AN16+AN17+AN18+AN19+AN20+AN21</f>
        <v>0</v>
      </c>
      <c r="AO22" s="42">
        <f t="shared" si="29"/>
        <v>0</v>
      </c>
      <c r="AP22" s="43">
        <f t="shared" si="29"/>
        <v>0</v>
      </c>
      <c r="AQ22" s="44">
        <f t="shared" si="29"/>
        <v>0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0</v>
      </c>
      <c r="L23" s="47"/>
      <c r="M23" s="48"/>
      <c r="N23" s="51"/>
      <c r="O23" s="51"/>
      <c r="P23" s="19"/>
      <c r="Q23" s="45" t="s">
        <v>24</v>
      </c>
      <c r="R23" s="50">
        <f>R22-S22</f>
        <v>0</v>
      </c>
      <c r="S23" s="47"/>
      <c r="T23" s="48"/>
      <c r="U23" s="51"/>
      <c r="V23" s="51"/>
      <c r="W23" s="19"/>
      <c r="X23" s="45" t="s">
        <v>24</v>
      </c>
      <c r="Y23" s="50">
        <f>Y22-Z22</f>
        <v>0</v>
      </c>
      <c r="Z23" s="47"/>
      <c r="AA23" s="48"/>
      <c r="AB23" s="51"/>
      <c r="AC23" s="51"/>
      <c r="AD23" s="19"/>
      <c r="AE23" s="45" t="s">
        <v>24</v>
      </c>
      <c r="AF23" s="50">
        <f>AF22-AG22</f>
        <v>0</v>
      </c>
      <c r="AG23" s="47"/>
      <c r="AH23" s="48"/>
      <c r="AI23" s="51"/>
      <c r="AJ23" s="51"/>
      <c r="AL23" s="53"/>
      <c r="AM23" s="45" t="s">
        <v>25</v>
      </c>
      <c r="AN23" s="50">
        <f>AN22-AO22</f>
        <v>0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0</v>
      </c>
      <c r="L24" s="47"/>
      <c r="M24" s="48"/>
      <c r="N24" s="51"/>
      <c r="O24" s="51"/>
      <c r="P24" s="53"/>
      <c r="Q24" s="56" t="s">
        <v>26</v>
      </c>
      <c r="R24" s="57">
        <f>T22-S22</f>
        <v>0</v>
      </c>
      <c r="S24" s="47"/>
      <c r="T24" s="48"/>
      <c r="U24" s="51"/>
      <c r="V24" s="51"/>
      <c r="W24" s="53"/>
      <c r="X24" s="56" t="s">
        <v>26</v>
      </c>
      <c r="Y24" s="57">
        <f>AA22-Z22</f>
        <v>0</v>
      </c>
      <c r="Z24" s="47"/>
      <c r="AA24" s="48"/>
      <c r="AB24" s="51"/>
      <c r="AC24" s="51"/>
      <c r="AD24" s="53"/>
      <c r="AE24" s="56" t="s">
        <v>26</v>
      </c>
      <c r="AF24" s="57">
        <f>AH22-AG22</f>
        <v>0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2" t="s">
        <v>1</v>
      </c>
      <c r="K25" s="4" t="s">
        <v>7</v>
      </c>
      <c r="L25" s="2" t="s">
        <v>3</v>
      </c>
      <c r="M25" s="2" t="s">
        <v>4</v>
      </c>
      <c r="N25" s="2" t="s">
        <v>5</v>
      </c>
      <c r="O25" s="5" t="s">
        <v>6</v>
      </c>
      <c r="P25" s="2" t="s">
        <v>0</v>
      </c>
      <c r="Q25" s="2" t="s">
        <v>1</v>
      </c>
      <c r="R25" s="4" t="s">
        <v>7</v>
      </c>
      <c r="S25" s="2" t="s">
        <v>3</v>
      </c>
      <c r="T25" s="2" t="s">
        <v>4</v>
      </c>
      <c r="U25" s="2" t="s">
        <v>5</v>
      </c>
      <c r="V25" s="5" t="s">
        <v>6</v>
      </c>
      <c r="W25" s="2" t="s">
        <v>0</v>
      </c>
      <c r="X25" s="2" t="s">
        <v>1</v>
      </c>
      <c r="Y25" s="4" t="s">
        <v>7</v>
      </c>
      <c r="Z25" s="2" t="s">
        <v>3</v>
      </c>
      <c r="AA25" s="2" t="s">
        <v>4</v>
      </c>
      <c r="AB25" s="2" t="s">
        <v>5</v>
      </c>
      <c r="AC25" s="5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168">
        <v>45903.0</v>
      </c>
      <c r="C26" s="9" t="s">
        <v>10</v>
      </c>
      <c r="D26" s="10"/>
      <c r="E26" s="10"/>
      <c r="F26" s="10"/>
      <c r="G26" s="10"/>
      <c r="H26" s="11"/>
      <c r="I26" s="12">
        <v>45910.0</v>
      </c>
      <c r="J26" s="9" t="s">
        <v>10</v>
      </c>
      <c r="K26" s="10"/>
      <c r="L26" s="10"/>
      <c r="M26" s="10"/>
      <c r="N26" s="10"/>
      <c r="O26" s="11"/>
      <c r="P26" s="8">
        <v>45917.0</v>
      </c>
      <c r="Q26" s="9" t="s">
        <v>10</v>
      </c>
      <c r="R26" s="10"/>
      <c r="S26" s="10"/>
      <c r="T26" s="10"/>
      <c r="U26" s="10"/>
      <c r="V26" s="11"/>
      <c r="W26" s="8">
        <v>45924.0</v>
      </c>
      <c r="X26" s="9" t="s">
        <v>10</v>
      </c>
      <c r="Y26" s="10"/>
      <c r="Z26" s="10"/>
      <c r="AA26" s="10"/>
      <c r="AB26" s="10"/>
      <c r="AC26" s="11"/>
      <c r="AD26" s="8"/>
      <c r="AE26" s="9" t="s">
        <v>10</v>
      </c>
      <c r="AF26" s="10"/>
      <c r="AG26" s="10"/>
      <c r="AH26" s="10"/>
      <c r="AI26" s="10"/>
      <c r="AJ26" s="11"/>
      <c r="AL26" s="18" t="s">
        <v>31</v>
      </c>
      <c r="AM26" s="9" t="s">
        <v>10</v>
      </c>
      <c r="AN26" s="10">
        <f t="shared" ref="AN26:AP26" si="30">D26+K26+R26+Y26+AF26</f>
        <v>0</v>
      </c>
      <c r="AO26" s="10">
        <f t="shared" si="30"/>
        <v>0</v>
      </c>
      <c r="AP26" s="10">
        <f t="shared" si="30"/>
        <v>0</v>
      </c>
      <c r="AQ26" s="11">
        <f t="shared" ref="AQ26:AQ33" si="32">H26+O26+V26+AC26+AJ26</f>
        <v>0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0"/>
      <c r="L27" s="10"/>
      <c r="M27" s="10"/>
      <c r="N27" s="10"/>
      <c r="O27" s="11"/>
      <c r="P27" s="19"/>
      <c r="Q27" s="9" t="s">
        <v>12</v>
      </c>
      <c r="R27" s="10"/>
      <c r="S27" s="10"/>
      <c r="T27" s="10"/>
      <c r="U27" s="10"/>
      <c r="V27" s="11"/>
      <c r="W27" s="19"/>
      <c r="X27" s="9" t="s">
        <v>12</v>
      </c>
      <c r="Y27" s="10"/>
      <c r="Z27" s="10"/>
      <c r="AA27" s="10"/>
      <c r="AB27" s="10"/>
      <c r="AC27" s="11"/>
      <c r="AD27" s="19"/>
      <c r="AE27" s="9" t="s">
        <v>12</v>
      </c>
      <c r="AF27" s="10"/>
      <c r="AG27" s="10"/>
      <c r="AH27" s="10"/>
      <c r="AI27" s="10"/>
      <c r="AJ27" s="11"/>
      <c r="AL27" s="19"/>
      <c r="AM27" s="9" t="s">
        <v>12</v>
      </c>
      <c r="AN27" s="10">
        <f t="shared" ref="AN27:AP27" si="31">D27+K27+R27+Y27+AF27</f>
        <v>0</v>
      </c>
      <c r="AO27" s="10">
        <f t="shared" si="31"/>
        <v>0</v>
      </c>
      <c r="AP27" s="10">
        <f t="shared" si="31"/>
        <v>0</v>
      </c>
      <c r="AQ27" s="11">
        <f t="shared" si="32"/>
        <v>0</v>
      </c>
    </row>
    <row r="28">
      <c r="A28" s="19"/>
      <c r="B28" s="19"/>
      <c r="C28" s="9" t="s">
        <v>276</v>
      </c>
      <c r="D28" s="291"/>
      <c r="E28" s="10"/>
      <c r="F28" s="10"/>
      <c r="G28" s="10"/>
      <c r="H28" s="11"/>
      <c r="I28" s="19"/>
      <c r="J28" s="9" t="s">
        <v>276</v>
      </c>
      <c r="K28" s="291"/>
      <c r="L28" s="10"/>
      <c r="M28" s="10"/>
      <c r="N28" s="10"/>
      <c r="O28" s="11"/>
      <c r="P28" s="19"/>
      <c r="Q28" s="9" t="s">
        <v>276</v>
      </c>
      <c r="R28" s="10"/>
      <c r="S28" s="10"/>
      <c r="T28" s="10"/>
      <c r="U28" s="10"/>
      <c r="V28" s="11"/>
      <c r="W28" s="19"/>
      <c r="X28" s="9" t="s">
        <v>276</v>
      </c>
      <c r="Y28" s="10"/>
      <c r="Z28" s="10"/>
      <c r="AA28" s="10"/>
      <c r="AB28" s="10"/>
      <c r="AC28" s="11"/>
      <c r="AD28" s="19"/>
      <c r="AE28" s="9" t="s">
        <v>14</v>
      </c>
      <c r="AF28" s="10"/>
      <c r="AG28" s="10"/>
      <c r="AH28" s="10"/>
      <c r="AI28" s="10"/>
      <c r="AJ28" s="11"/>
      <c r="AL28" s="19"/>
      <c r="AM28" s="9" t="s">
        <v>14</v>
      </c>
      <c r="AN28" s="10">
        <f t="shared" ref="AN28:AP28" si="33">D28+K28+R28+Y28+AF28</f>
        <v>0</v>
      </c>
      <c r="AO28" s="10">
        <f t="shared" si="33"/>
        <v>0</v>
      </c>
      <c r="AP28" s="10">
        <f t="shared" si="33"/>
        <v>0</v>
      </c>
      <c r="AQ28" s="11">
        <f t="shared" si="32"/>
        <v>0</v>
      </c>
    </row>
    <row r="29">
      <c r="A29" s="19"/>
      <c r="B29" s="19"/>
      <c r="C29" s="9" t="s">
        <v>15</v>
      </c>
      <c r="D29" s="10"/>
      <c r="E29" s="10"/>
      <c r="F29" s="10"/>
      <c r="G29" s="10"/>
      <c r="H29" s="11"/>
      <c r="I29" s="19"/>
      <c r="J29" s="9" t="s">
        <v>15</v>
      </c>
      <c r="K29" s="10"/>
      <c r="L29" s="10"/>
      <c r="M29" s="10"/>
      <c r="N29" s="10"/>
      <c r="O29" s="11"/>
      <c r="P29" s="19"/>
      <c r="Q29" s="9" t="s">
        <v>15</v>
      </c>
      <c r="R29" s="10"/>
      <c r="S29" s="10"/>
      <c r="T29" s="10"/>
      <c r="U29" s="10"/>
      <c r="V29" s="11"/>
      <c r="W29" s="19"/>
      <c r="X29" s="9" t="s">
        <v>16</v>
      </c>
      <c r="Y29" s="10"/>
      <c r="Z29" s="10"/>
      <c r="AA29" s="10"/>
      <c r="AB29" s="10"/>
      <c r="AC29" s="11"/>
      <c r="AD29" s="19"/>
      <c r="AE29" s="9" t="s">
        <v>16</v>
      </c>
      <c r="AF29" s="10"/>
      <c r="AG29" s="10"/>
      <c r="AH29" s="10"/>
      <c r="AI29" s="10"/>
      <c r="AJ29" s="11"/>
      <c r="AL29" s="19"/>
      <c r="AM29" s="9" t="s">
        <v>16</v>
      </c>
      <c r="AN29" s="10">
        <f t="shared" ref="AN29:AP29" si="34">D29+K29+R29+Y29+AF29</f>
        <v>0</v>
      </c>
      <c r="AO29" s="10">
        <f t="shared" si="34"/>
        <v>0</v>
      </c>
      <c r="AP29" s="10">
        <f t="shared" si="34"/>
        <v>0</v>
      </c>
      <c r="AQ29" s="11">
        <f t="shared" si="32"/>
        <v>0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9" t="s">
        <v>17</v>
      </c>
      <c r="K30" s="10"/>
      <c r="L30" s="10"/>
      <c r="M30" s="10"/>
      <c r="N30" s="10"/>
      <c r="O30" s="11"/>
      <c r="P30" s="19"/>
      <c r="Q30" s="9" t="s">
        <v>17</v>
      </c>
      <c r="R30" s="10"/>
      <c r="S30" s="10"/>
      <c r="T30" s="10"/>
      <c r="U30" s="10"/>
      <c r="V30" s="11"/>
      <c r="W30" s="19"/>
      <c r="X30" s="9" t="s">
        <v>17</v>
      </c>
      <c r="Y30" s="10"/>
      <c r="Z30" s="10"/>
      <c r="AA30" s="10"/>
      <c r="AB30" s="10"/>
      <c r="AC30" s="11"/>
      <c r="AD30" s="19"/>
      <c r="AE30" s="9" t="s">
        <v>17</v>
      </c>
      <c r="AF30" s="10"/>
      <c r="AG30" s="10"/>
      <c r="AH30" s="10"/>
      <c r="AI30" s="10"/>
      <c r="AJ30" s="11"/>
      <c r="AL30" s="19"/>
      <c r="AM30" s="9" t="s">
        <v>17</v>
      </c>
      <c r="AN30" s="10">
        <f t="shared" ref="AN30:AP30" si="35">D30+K30+R30+Y30+AF30</f>
        <v>0</v>
      </c>
      <c r="AO30" s="10">
        <f t="shared" si="35"/>
        <v>0</v>
      </c>
      <c r="AP30" s="10">
        <f t="shared" si="35"/>
        <v>0</v>
      </c>
      <c r="AQ30" s="11">
        <f t="shared" si="32"/>
        <v>0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9" t="s">
        <v>29</v>
      </c>
      <c r="K31" s="10"/>
      <c r="L31" s="10"/>
      <c r="M31" s="10"/>
      <c r="N31" s="10"/>
      <c r="O31" s="11"/>
      <c r="P31" s="19"/>
      <c r="Q31" s="9" t="s">
        <v>18</v>
      </c>
      <c r="R31" s="10"/>
      <c r="S31" s="10"/>
      <c r="T31" s="10"/>
      <c r="U31" s="10"/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6">D31+K31+R31+Y31+AF31</f>
        <v>0</v>
      </c>
      <c r="AO31" s="10">
        <f t="shared" si="36"/>
        <v>0</v>
      </c>
      <c r="AP31" s="10">
        <f t="shared" si="36"/>
        <v>0</v>
      </c>
      <c r="AQ31" s="11">
        <f t="shared" si="32"/>
        <v>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9" t="s">
        <v>19</v>
      </c>
      <c r="K32" s="10"/>
      <c r="L32" s="10"/>
      <c r="M32" s="10"/>
      <c r="N32" s="10"/>
      <c r="O32" s="11"/>
      <c r="P32" s="19"/>
      <c r="Q32" s="9" t="s">
        <v>19</v>
      </c>
      <c r="R32" s="10"/>
      <c r="S32" s="10"/>
      <c r="T32" s="10"/>
      <c r="U32" s="10"/>
      <c r="V32" s="11"/>
      <c r="W32" s="19"/>
      <c r="X32" s="9" t="s">
        <v>19</v>
      </c>
      <c r="Y32" s="10"/>
      <c r="Z32" s="10"/>
      <c r="AA32" s="10"/>
      <c r="AB32" s="10"/>
      <c r="AC32" s="11"/>
      <c r="AD32" s="19"/>
      <c r="AE32" s="9" t="s">
        <v>19</v>
      </c>
      <c r="AF32" s="10"/>
      <c r="AG32" s="10"/>
      <c r="AH32" s="10"/>
      <c r="AI32" s="10"/>
      <c r="AJ32" s="11"/>
      <c r="AL32" s="19"/>
      <c r="AM32" s="9" t="s">
        <v>19</v>
      </c>
      <c r="AN32" s="10">
        <f t="shared" ref="AN32:AP32" si="37">D32+K32+R32+Y32+AF32</f>
        <v>0</v>
      </c>
      <c r="AO32" s="10">
        <f t="shared" si="37"/>
        <v>0</v>
      </c>
      <c r="AP32" s="10">
        <f t="shared" si="37"/>
        <v>0</v>
      </c>
      <c r="AQ32" s="11">
        <f t="shared" si="32"/>
        <v>0</v>
      </c>
    </row>
    <row r="33">
      <c r="A33" s="19"/>
      <c r="B33" s="19"/>
      <c r="C33" s="26" t="s">
        <v>21</v>
      </c>
      <c r="D33" s="10"/>
      <c r="E33" s="10"/>
      <c r="F33" s="10"/>
      <c r="G33" s="10"/>
      <c r="H33" s="11"/>
      <c r="I33" s="19"/>
      <c r="J33" s="26" t="s">
        <v>21</v>
      </c>
      <c r="K33" s="10"/>
      <c r="L33" s="10"/>
      <c r="M33" s="10"/>
      <c r="N33" s="310"/>
      <c r="O33" s="11"/>
      <c r="P33" s="19"/>
      <c r="Q33" s="26" t="s">
        <v>22</v>
      </c>
      <c r="R33" s="10"/>
      <c r="S33" s="10"/>
      <c r="T33" s="10"/>
      <c r="U33" s="10"/>
      <c r="V33" s="11"/>
      <c r="W33" s="19"/>
      <c r="X33" s="26" t="s">
        <v>21</v>
      </c>
      <c r="Y33" s="10"/>
      <c r="Z33" s="10"/>
      <c r="AA33" s="10"/>
      <c r="AB33" s="310"/>
      <c r="AC33" s="11"/>
      <c r="AD33" s="19"/>
      <c r="AE33" s="26" t="s">
        <v>21</v>
      </c>
      <c r="AF33" s="10"/>
      <c r="AG33" s="10"/>
      <c r="AH33" s="10"/>
      <c r="AI33" s="10"/>
      <c r="AJ33" s="11"/>
      <c r="AL33" s="19"/>
      <c r="AM33" s="26" t="s">
        <v>21</v>
      </c>
      <c r="AN33" s="10">
        <f t="shared" ref="AN33:AP33" si="38">D33+K33+R33+Y33+AF33</f>
        <v>0</v>
      </c>
      <c r="AO33" s="10">
        <f t="shared" si="38"/>
        <v>0</v>
      </c>
      <c r="AP33" s="10">
        <f t="shared" si="38"/>
        <v>0</v>
      </c>
      <c r="AQ33" s="11">
        <f t="shared" si="32"/>
        <v>0</v>
      </c>
    </row>
    <row r="34">
      <c r="A34" s="19"/>
      <c r="B34" s="19"/>
      <c r="C34" s="28" t="s">
        <v>23</v>
      </c>
      <c r="D34" s="29">
        <f t="shared" ref="D34:H34" si="39">D26+D27+D28+D29+D30+D31+D32+D33</f>
        <v>0</v>
      </c>
      <c r="E34" s="30">
        <f t="shared" si="39"/>
        <v>0</v>
      </c>
      <c r="F34" s="36">
        <f t="shared" si="39"/>
        <v>0</v>
      </c>
      <c r="G34" s="40">
        <f t="shared" si="39"/>
        <v>0</v>
      </c>
      <c r="H34" s="33">
        <f t="shared" si="39"/>
        <v>0</v>
      </c>
      <c r="I34" s="19"/>
      <c r="J34" s="28" t="s">
        <v>23</v>
      </c>
      <c r="K34" s="61">
        <f t="shared" ref="K34:O34" si="40">K26+K27+K28+K29+K30+K31+K32+K33</f>
        <v>0</v>
      </c>
      <c r="L34" s="35">
        <f t="shared" si="40"/>
        <v>0</v>
      </c>
      <c r="M34" s="31">
        <f t="shared" si="40"/>
        <v>0</v>
      </c>
      <c r="N34" s="40">
        <f t="shared" si="40"/>
        <v>0</v>
      </c>
      <c r="O34" s="38">
        <f t="shared" si="40"/>
        <v>0</v>
      </c>
      <c r="P34" s="19"/>
      <c r="Q34" s="28" t="s">
        <v>23</v>
      </c>
      <c r="R34" s="29">
        <f t="shared" ref="R34:V34" si="41">R26+R27+R28+R29+R30+R31+R32+R33</f>
        <v>0</v>
      </c>
      <c r="S34" s="35">
        <f t="shared" si="41"/>
        <v>0</v>
      </c>
      <c r="T34" s="31">
        <f t="shared" si="41"/>
        <v>0</v>
      </c>
      <c r="U34" s="37">
        <f t="shared" si="41"/>
        <v>0</v>
      </c>
      <c r="V34" s="294">
        <f t="shared" si="41"/>
        <v>0</v>
      </c>
      <c r="W34" s="19"/>
      <c r="X34" s="28" t="s">
        <v>23</v>
      </c>
      <c r="Y34" s="61">
        <f t="shared" ref="Y34:AC34" si="42">Y26+Y27+Y28+Y29+Y30+Y31+Y32+Y33</f>
        <v>0</v>
      </c>
      <c r="Z34" s="30">
        <f t="shared" si="42"/>
        <v>0</v>
      </c>
      <c r="AA34" s="31">
        <f t="shared" si="42"/>
        <v>0</v>
      </c>
      <c r="AB34" s="37">
        <f t="shared" si="42"/>
        <v>0</v>
      </c>
      <c r="AC34" s="33">
        <f t="shared" si="42"/>
        <v>0</v>
      </c>
      <c r="AD34" s="19"/>
      <c r="AE34" s="28" t="s">
        <v>23</v>
      </c>
      <c r="AF34" s="29">
        <f t="shared" ref="AF34:AJ34" si="43">AF26+AF27+AF28+AF29+AF30+AF31+AF32+AF33</f>
        <v>0</v>
      </c>
      <c r="AG34" s="30">
        <f t="shared" si="43"/>
        <v>0</v>
      </c>
      <c r="AH34" s="31">
        <f t="shared" si="43"/>
        <v>0</v>
      </c>
      <c r="AI34" s="32">
        <f t="shared" si="43"/>
        <v>0</v>
      </c>
      <c r="AJ34" s="33">
        <f t="shared" si="43"/>
        <v>0</v>
      </c>
      <c r="AL34" s="19"/>
      <c r="AM34" s="28" t="s">
        <v>23</v>
      </c>
      <c r="AN34" s="41">
        <f t="shared" ref="AN34:AQ34" si="44">AN26+AN27+AN28+AN29+AN30+AN31+AN32+AN33</f>
        <v>0</v>
      </c>
      <c r="AO34" s="42">
        <f t="shared" si="44"/>
        <v>0</v>
      </c>
      <c r="AP34" s="43">
        <f t="shared" si="44"/>
        <v>0</v>
      </c>
      <c r="AQ34" s="44">
        <f t="shared" si="44"/>
        <v>0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0</v>
      </c>
      <c r="L35" s="47"/>
      <c r="M35" s="48"/>
      <c r="N35" s="51"/>
      <c r="O35" s="51"/>
      <c r="P35" s="19"/>
      <c r="Q35" s="45" t="s">
        <v>24</v>
      </c>
      <c r="R35" s="50">
        <f>R34-S34</f>
        <v>0</v>
      </c>
      <c r="S35" s="47"/>
      <c r="T35" s="48"/>
      <c r="U35" s="51"/>
      <c r="V35" s="51"/>
      <c r="W35" s="19"/>
      <c r="X35" s="45" t="s">
        <v>24</v>
      </c>
      <c r="Y35" s="50">
        <f>Y34-Z34</f>
        <v>0</v>
      </c>
      <c r="Z35" s="47"/>
      <c r="AA35" s="48"/>
      <c r="AB35" s="51"/>
      <c r="AC35" s="51"/>
      <c r="AD35" s="19"/>
      <c r="AE35" s="45" t="s">
        <v>24</v>
      </c>
      <c r="AF35" s="50">
        <f>AF34-AG34</f>
        <v>0</v>
      </c>
      <c r="AG35" s="47"/>
      <c r="AH35" s="48"/>
      <c r="AI35" s="51"/>
      <c r="AJ35" s="51"/>
      <c r="AL35" s="53"/>
      <c r="AM35" s="45" t="s">
        <v>25</v>
      </c>
      <c r="AN35" s="50">
        <f>AN34-AO34</f>
        <v>0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0</v>
      </c>
      <c r="L36" s="47"/>
      <c r="M36" s="48"/>
      <c r="N36" s="51"/>
      <c r="O36" s="51"/>
      <c r="P36" s="53"/>
      <c r="Q36" s="56" t="s">
        <v>26</v>
      </c>
      <c r="R36" s="57">
        <f>T34-S34</f>
        <v>0</v>
      </c>
      <c r="S36" s="47"/>
      <c r="T36" s="48"/>
      <c r="U36" s="51"/>
      <c r="V36" s="51"/>
      <c r="W36" s="53"/>
      <c r="X36" s="56" t="s">
        <v>26</v>
      </c>
      <c r="Y36" s="57">
        <f>AA34-Z34</f>
        <v>0</v>
      </c>
      <c r="Z36" s="47"/>
      <c r="AA36" s="48"/>
      <c r="AB36" s="51"/>
      <c r="AC36" s="51"/>
      <c r="AD36" s="53"/>
      <c r="AE36" s="56" t="s">
        <v>26</v>
      </c>
      <c r="AF36" s="57">
        <f>AH34-AG34</f>
        <v>0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2" t="s">
        <v>1</v>
      </c>
      <c r="K37" s="4" t="s">
        <v>7</v>
      </c>
      <c r="L37" s="2" t="s">
        <v>3</v>
      </c>
      <c r="M37" s="2" t="s">
        <v>4</v>
      </c>
      <c r="N37" s="2" t="s">
        <v>5</v>
      </c>
      <c r="O37" s="5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2" t="s">
        <v>1</v>
      </c>
      <c r="Y37" s="4" t="s">
        <v>7</v>
      </c>
      <c r="Z37" s="2" t="s">
        <v>3</v>
      </c>
      <c r="AA37" s="2" t="s">
        <v>4</v>
      </c>
      <c r="AB37" s="2" t="s">
        <v>5</v>
      </c>
      <c r="AC37" s="5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12">
        <v>45904.0</v>
      </c>
      <c r="C38" s="9" t="s">
        <v>10</v>
      </c>
      <c r="D38" s="10"/>
      <c r="E38" s="10"/>
      <c r="F38" s="10"/>
      <c r="G38" s="10"/>
      <c r="H38" s="11"/>
      <c r="I38" s="12">
        <v>45911.0</v>
      </c>
      <c r="J38" s="9" t="s">
        <v>10</v>
      </c>
      <c r="K38" s="10"/>
      <c r="L38" s="10"/>
      <c r="M38" s="10"/>
      <c r="N38" s="10"/>
      <c r="O38" s="11"/>
      <c r="P38" s="8">
        <v>45918.0</v>
      </c>
      <c r="Q38" s="9" t="s">
        <v>10</v>
      </c>
      <c r="R38" s="10"/>
      <c r="S38" s="10"/>
      <c r="T38" s="10"/>
      <c r="U38" s="10"/>
      <c r="V38" s="11"/>
      <c r="W38" s="8">
        <v>45925.0</v>
      </c>
      <c r="X38" s="9" t="s">
        <v>10</v>
      </c>
      <c r="Y38" s="10"/>
      <c r="Z38" s="10"/>
      <c r="AA38" s="10"/>
      <c r="AB38" s="10"/>
      <c r="AC38" s="11"/>
      <c r="AD38" s="8"/>
      <c r="AE38" s="9" t="s">
        <v>10</v>
      </c>
      <c r="AF38" s="10"/>
      <c r="AG38" s="10"/>
      <c r="AH38" s="10"/>
      <c r="AI38" s="10"/>
      <c r="AJ38" s="11"/>
      <c r="AL38" s="18" t="s">
        <v>36</v>
      </c>
      <c r="AM38" s="9" t="s">
        <v>10</v>
      </c>
      <c r="AN38" s="10">
        <f t="shared" ref="AN38:AP38" si="45">D38+K38+R38+Y38+AF38</f>
        <v>0</v>
      </c>
      <c r="AO38" s="10">
        <f t="shared" si="45"/>
        <v>0</v>
      </c>
      <c r="AP38" s="10">
        <f t="shared" si="45"/>
        <v>0</v>
      </c>
      <c r="AQ38" s="11">
        <f t="shared" ref="AQ38:AQ45" si="47">H38+O38+V38+AC38+AJ38</f>
        <v>0</v>
      </c>
    </row>
    <row r="39">
      <c r="A39" s="19"/>
      <c r="B39" s="19"/>
      <c r="C39" s="9" t="s">
        <v>12</v>
      </c>
      <c r="D39" s="10"/>
      <c r="E39" s="10"/>
      <c r="F39" s="10"/>
      <c r="G39" s="10"/>
      <c r="H39" s="11"/>
      <c r="I39" s="19"/>
      <c r="J39" s="9" t="s">
        <v>12</v>
      </c>
      <c r="K39" s="10"/>
      <c r="L39" s="10"/>
      <c r="M39" s="10"/>
      <c r="N39" s="10"/>
      <c r="O39" s="11"/>
      <c r="P39" s="19"/>
      <c r="Q39" s="9" t="s">
        <v>12</v>
      </c>
      <c r="R39" s="10"/>
      <c r="S39" s="10"/>
      <c r="T39" s="10"/>
      <c r="U39" s="10"/>
      <c r="V39" s="11"/>
      <c r="W39" s="19"/>
      <c r="X39" s="9" t="s">
        <v>280</v>
      </c>
      <c r="Y39" s="10"/>
      <c r="Z39" s="10"/>
      <c r="AA39" s="10"/>
      <c r="AB39" s="10"/>
      <c r="AC39" s="11"/>
      <c r="AD39" s="19"/>
      <c r="AE39" s="9" t="s">
        <v>12</v>
      </c>
      <c r="AF39" s="10"/>
      <c r="AG39" s="10"/>
      <c r="AH39" s="10"/>
      <c r="AI39" s="10"/>
      <c r="AJ39" s="11"/>
      <c r="AL39" s="19"/>
      <c r="AM39" s="9" t="s">
        <v>12</v>
      </c>
      <c r="AN39" s="10">
        <f t="shared" ref="AN39:AP39" si="46">D39+K39+R39+Y39+AF39</f>
        <v>0</v>
      </c>
      <c r="AO39" s="10">
        <f t="shared" si="46"/>
        <v>0</v>
      </c>
      <c r="AP39" s="10">
        <f t="shared" si="46"/>
        <v>0</v>
      </c>
      <c r="AQ39" s="11">
        <f t="shared" si="47"/>
        <v>0</v>
      </c>
    </row>
    <row r="40">
      <c r="A40" s="19"/>
      <c r="B40" s="19"/>
      <c r="C40" s="9" t="s">
        <v>276</v>
      </c>
      <c r="D40" s="291"/>
      <c r="E40" s="10"/>
      <c r="F40" s="10"/>
      <c r="G40" s="10"/>
      <c r="H40" s="11"/>
      <c r="I40" s="19"/>
      <c r="J40" s="9" t="s">
        <v>276</v>
      </c>
      <c r="K40" s="10"/>
      <c r="L40" s="10"/>
      <c r="M40" s="10"/>
      <c r="N40" s="10"/>
      <c r="O40" s="11"/>
      <c r="P40" s="19"/>
      <c r="Q40" s="9" t="s">
        <v>276</v>
      </c>
      <c r="R40" s="10"/>
      <c r="S40" s="10"/>
      <c r="T40" s="10"/>
      <c r="U40" s="10"/>
      <c r="V40" s="11"/>
      <c r="W40" s="19"/>
      <c r="X40" s="9" t="s">
        <v>276</v>
      </c>
      <c r="Y40" s="10"/>
      <c r="Z40" s="10"/>
      <c r="AA40" s="10"/>
      <c r="AB40" s="10"/>
      <c r="AC40" s="11"/>
      <c r="AD40" s="19"/>
      <c r="AE40" s="9" t="s">
        <v>14</v>
      </c>
      <c r="AF40" s="10"/>
      <c r="AG40" s="10"/>
      <c r="AH40" s="10"/>
      <c r="AI40" s="10"/>
      <c r="AJ40" s="11"/>
      <c r="AL40" s="19"/>
      <c r="AM40" s="9" t="s">
        <v>14</v>
      </c>
      <c r="AN40" s="10">
        <f t="shared" ref="AN40:AP40" si="48">D40+K40+R40+Y40+AF40</f>
        <v>0</v>
      </c>
      <c r="AO40" s="10">
        <f t="shared" si="48"/>
        <v>0</v>
      </c>
      <c r="AP40" s="10">
        <f t="shared" si="48"/>
        <v>0</v>
      </c>
      <c r="AQ40" s="11">
        <f t="shared" si="47"/>
        <v>0</v>
      </c>
    </row>
    <row r="41">
      <c r="A41" s="19"/>
      <c r="B41" s="19"/>
      <c r="C41" s="9" t="s">
        <v>16</v>
      </c>
      <c r="D41" s="10"/>
      <c r="E41" s="10"/>
      <c r="F41" s="10"/>
      <c r="G41" s="10"/>
      <c r="H41" s="11"/>
      <c r="I41" s="19"/>
      <c r="J41" s="9" t="s">
        <v>16</v>
      </c>
      <c r="K41" s="10"/>
      <c r="L41" s="10"/>
      <c r="M41" s="10"/>
      <c r="N41" s="10"/>
      <c r="O41" s="11"/>
      <c r="P41" s="19"/>
      <c r="Q41" s="9" t="s">
        <v>16</v>
      </c>
      <c r="R41" s="10"/>
      <c r="S41" s="10"/>
      <c r="T41" s="10"/>
      <c r="U41" s="10"/>
      <c r="V41" s="11"/>
      <c r="W41" s="19"/>
      <c r="X41" s="9" t="s">
        <v>16</v>
      </c>
      <c r="Y41" s="10"/>
      <c r="Z41" s="10"/>
      <c r="AA41" s="10"/>
      <c r="AB41" s="10"/>
      <c r="AC41" s="11"/>
      <c r="AD41" s="19"/>
      <c r="AE41" s="9" t="s">
        <v>16</v>
      </c>
      <c r="AF41" s="10"/>
      <c r="AG41" s="10"/>
      <c r="AH41" s="10"/>
      <c r="AI41" s="10"/>
      <c r="AJ41" s="11"/>
      <c r="AL41" s="19"/>
      <c r="AM41" s="9" t="s">
        <v>16</v>
      </c>
      <c r="AN41" s="10">
        <f t="shared" ref="AN41:AP41" si="49">D41+K41+R41+Y41+AF41</f>
        <v>0</v>
      </c>
      <c r="AO41" s="10">
        <f t="shared" si="49"/>
        <v>0</v>
      </c>
      <c r="AP41" s="10">
        <f t="shared" si="49"/>
        <v>0</v>
      </c>
      <c r="AQ41" s="11">
        <f t="shared" si="47"/>
        <v>0</v>
      </c>
    </row>
    <row r="42">
      <c r="A42" s="19"/>
      <c r="B42" s="19"/>
      <c r="C42" s="9" t="s">
        <v>17</v>
      </c>
      <c r="D42" s="10"/>
      <c r="E42" s="10"/>
      <c r="F42" s="10"/>
      <c r="G42" s="10"/>
      <c r="H42" s="11"/>
      <c r="I42" s="19"/>
      <c r="J42" s="9" t="s">
        <v>17</v>
      </c>
      <c r="K42" s="10"/>
      <c r="L42" s="10"/>
      <c r="M42" s="10"/>
      <c r="N42" s="10"/>
      <c r="O42" s="11"/>
      <c r="P42" s="19"/>
      <c r="Q42" s="9" t="s">
        <v>17</v>
      </c>
      <c r="R42" s="10"/>
      <c r="S42" s="10"/>
      <c r="T42" s="10"/>
      <c r="U42" s="10"/>
      <c r="V42" s="11"/>
      <c r="W42" s="19"/>
      <c r="X42" s="9" t="s">
        <v>17</v>
      </c>
      <c r="Y42" s="10"/>
      <c r="Z42" s="10"/>
      <c r="AA42" s="10"/>
      <c r="AB42" s="10"/>
      <c r="AC42" s="11"/>
      <c r="AD42" s="19"/>
      <c r="AE42" s="9" t="s">
        <v>17</v>
      </c>
      <c r="AF42" s="10"/>
      <c r="AG42" s="10"/>
      <c r="AH42" s="10"/>
      <c r="AI42" s="10"/>
      <c r="AJ42" s="11"/>
      <c r="AL42" s="19"/>
      <c r="AM42" s="9" t="s">
        <v>17</v>
      </c>
      <c r="AN42" s="10">
        <f t="shared" ref="AN42:AP42" si="50">D42+K42+R42+Y42+AF42</f>
        <v>0</v>
      </c>
      <c r="AO42" s="10">
        <f t="shared" si="50"/>
        <v>0</v>
      </c>
      <c r="AP42" s="10">
        <f t="shared" si="50"/>
        <v>0</v>
      </c>
      <c r="AQ42" s="11">
        <f t="shared" si="47"/>
        <v>0</v>
      </c>
    </row>
    <row r="43">
      <c r="A43" s="19"/>
      <c r="B43" s="19"/>
      <c r="C43" s="9" t="s">
        <v>18</v>
      </c>
      <c r="D43" s="10"/>
      <c r="E43" s="10"/>
      <c r="F43" s="10"/>
      <c r="G43" s="10"/>
      <c r="H43" s="11"/>
      <c r="I43" s="19"/>
      <c r="J43" s="9" t="s">
        <v>18</v>
      </c>
      <c r="K43" s="10"/>
      <c r="L43" s="10"/>
      <c r="M43" s="10"/>
      <c r="N43" s="10"/>
      <c r="O43" s="11"/>
      <c r="P43" s="19"/>
      <c r="Q43" s="9" t="s">
        <v>18</v>
      </c>
      <c r="R43" s="10"/>
      <c r="S43" s="10"/>
      <c r="T43" s="10"/>
      <c r="U43" s="10"/>
      <c r="V43" s="11"/>
      <c r="W43" s="19"/>
      <c r="X43" s="9" t="s">
        <v>18</v>
      </c>
      <c r="Y43" s="10"/>
      <c r="Z43" s="10"/>
      <c r="AA43" s="10"/>
      <c r="AB43" s="10"/>
      <c r="AC43" s="11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1">D43+K43+R43+Y43+AF43</f>
        <v>0</v>
      </c>
      <c r="AO43" s="10">
        <f t="shared" si="51"/>
        <v>0</v>
      </c>
      <c r="AP43" s="10">
        <f t="shared" si="51"/>
        <v>0</v>
      </c>
      <c r="AQ43" s="11">
        <f t="shared" si="47"/>
        <v>0</v>
      </c>
    </row>
    <row r="44">
      <c r="A44" s="19"/>
      <c r="B44" s="19"/>
      <c r="C44" s="9" t="s">
        <v>20</v>
      </c>
      <c r="D44" s="10"/>
      <c r="E44" s="10"/>
      <c r="F44" s="10"/>
      <c r="G44" s="10"/>
      <c r="H44" s="11"/>
      <c r="I44" s="19"/>
      <c r="J44" s="9" t="s">
        <v>19</v>
      </c>
      <c r="K44" s="10"/>
      <c r="L44" s="10"/>
      <c r="M44" s="10"/>
      <c r="N44" s="10"/>
      <c r="O44" s="11"/>
      <c r="P44" s="19"/>
      <c r="Q44" s="9" t="s">
        <v>19</v>
      </c>
      <c r="R44" s="10"/>
      <c r="S44" s="10"/>
      <c r="T44" s="10"/>
      <c r="U44" s="10"/>
      <c r="V44" s="11"/>
      <c r="W44" s="19"/>
      <c r="X44" s="9" t="s">
        <v>19</v>
      </c>
      <c r="Y44" s="10"/>
      <c r="Z44" s="10"/>
      <c r="AA44" s="10"/>
      <c r="AB44" s="10"/>
      <c r="AC44" s="11"/>
      <c r="AD44" s="19"/>
      <c r="AE44" s="9" t="s">
        <v>19</v>
      </c>
      <c r="AF44" s="10"/>
      <c r="AG44" s="10"/>
      <c r="AH44" s="10"/>
      <c r="AI44" s="10"/>
      <c r="AJ44" s="11"/>
      <c r="AL44" s="19"/>
      <c r="AM44" s="9" t="s">
        <v>19</v>
      </c>
      <c r="AN44" s="10">
        <f t="shared" ref="AN44:AP44" si="52">D44+K44+R44+Y44+AF44</f>
        <v>0</v>
      </c>
      <c r="AO44" s="10">
        <f t="shared" si="52"/>
        <v>0</v>
      </c>
      <c r="AP44" s="10">
        <f t="shared" si="52"/>
        <v>0</v>
      </c>
      <c r="AQ44" s="11">
        <f t="shared" si="47"/>
        <v>0</v>
      </c>
    </row>
    <row r="45">
      <c r="A45" s="19"/>
      <c r="B45" s="19"/>
      <c r="C45" s="26" t="s">
        <v>21</v>
      </c>
      <c r="D45" s="10"/>
      <c r="E45" s="10"/>
      <c r="F45" s="10"/>
      <c r="G45" s="10"/>
      <c r="H45" s="11"/>
      <c r="I45" s="19"/>
      <c r="J45" s="26" t="s">
        <v>21</v>
      </c>
      <c r="K45" s="10"/>
      <c r="L45" s="10"/>
      <c r="M45" s="10"/>
      <c r="N45" s="10"/>
      <c r="O45" s="11"/>
      <c r="P45" s="19"/>
      <c r="Q45" s="26" t="s">
        <v>21</v>
      </c>
      <c r="R45" s="10"/>
      <c r="S45" s="10"/>
      <c r="T45" s="10"/>
      <c r="U45" s="310"/>
      <c r="V45" s="11"/>
      <c r="W45" s="19"/>
      <c r="X45" s="26" t="s">
        <v>22</v>
      </c>
      <c r="Y45" s="10"/>
      <c r="Z45" s="10"/>
      <c r="AA45" s="10"/>
      <c r="AB45" s="310"/>
      <c r="AC45" s="11"/>
      <c r="AD45" s="19"/>
      <c r="AE45" s="26" t="s">
        <v>21</v>
      </c>
      <c r="AF45" s="10"/>
      <c r="AG45" s="10"/>
      <c r="AH45" s="10"/>
      <c r="AI45" s="10"/>
      <c r="AJ45" s="11"/>
      <c r="AL45" s="19"/>
      <c r="AM45" s="26" t="s">
        <v>21</v>
      </c>
      <c r="AN45" s="10">
        <f t="shared" ref="AN45:AP45" si="53">D45+K45+R45+Y45+AF45</f>
        <v>0</v>
      </c>
      <c r="AO45" s="10">
        <f t="shared" si="53"/>
        <v>0</v>
      </c>
      <c r="AP45" s="10">
        <f t="shared" si="53"/>
        <v>0</v>
      </c>
      <c r="AQ45" s="11">
        <f t="shared" si="47"/>
        <v>0</v>
      </c>
    </row>
    <row r="46">
      <c r="A46" s="19"/>
      <c r="B46" s="19"/>
      <c r="C46" s="28" t="s">
        <v>23</v>
      </c>
      <c r="D46" s="61">
        <f t="shared" ref="D46:H46" si="54">D38+D39+D40+D41+D42+D43+D44+D45</f>
        <v>0</v>
      </c>
      <c r="E46" s="30">
        <f t="shared" si="54"/>
        <v>0</v>
      </c>
      <c r="F46" s="36">
        <f t="shared" si="54"/>
        <v>0</v>
      </c>
      <c r="G46" s="40">
        <f t="shared" si="54"/>
        <v>0</v>
      </c>
      <c r="H46" s="33">
        <f t="shared" si="54"/>
        <v>0</v>
      </c>
      <c r="I46" s="19"/>
      <c r="J46" s="28" t="s">
        <v>23</v>
      </c>
      <c r="K46" s="29">
        <f t="shared" ref="K46:O46" si="55">K38+K39+K40+K41+K42+K43+K44+K45</f>
        <v>0</v>
      </c>
      <c r="L46" s="35">
        <f t="shared" si="55"/>
        <v>0</v>
      </c>
      <c r="M46" s="31">
        <f t="shared" si="55"/>
        <v>0</v>
      </c>
      <c r="N46" s="40">
        <f t="shared" si="55"/>
        <v>0</v>
      </c>
      <c r="O46" s="38">
        <f t="shared" si="55"/>
        <v>0</v>
      </c>
      <c r="P46" s="19"/>
      <c r="Q46" s="28" t="s">
        <v>23</v>
      </c>
      <c r="R46" s="61">
        <f t="shared" ref="R46:V46" si="56">R38+R39+R40+R41+R42+R43+R44+R45</f>
        <v>0</v>
      </c>
      <c r="S46" s="35">
        <f t="shared" si="56"/>
        <v>0</v>
      </c>
      <c r="T46" s="31">
        <f t="shared" si="56"/>
        <v>0</v>
      </c>
      <c r="U46" s="37">
        <f t="shared" si="56"/>
        <v>0</v>
      </c>
      <c r="V46" s="33">
        <f t="shared" si="56"/>
        <v>0</v>
      </c>
      <c r="W46" s="19"/>
      <c r="X46" s="66" t="s">
        <v>23</v>
      </c>
      <c r="Y46" s="61">
        <f t="shared" ref="Y46:AC46" si="57">Y38+Y39+Y40+Y41+Y42+Y43+Y44+Y45</f>
        <v>0</v>
      </c>
      <c r="Z46" s="40">
        <f t="shared" si="57"/>
        <v>0</v>
      </c>
      <c r="AA46" s="31">
        <f t="shared" si="57"/>
        <v>0</v>
      </c>
      <c r="AB46" s="37">
        <f t="shared" si="57"/>
        <v>0</v>
      </c>
      <c r="AC46" s="33">
        <f t="shared" si="57"/>
        <v>0</v>
      </c>
      <c r="AD46" s="19"/>
      <c r="AE46" s="28" t="s">
        <v>23</v>
      </c>
      <c r="AF46" s="29">
        <f t="shared" ref="AF46:AJ46" si="58">AF38+AF39+AF40+AF41+AF42+AF43+AF44+AF45</f>
        <v>0</v>
      </c>
      <c r="AG46" s="30">
        <f t="shared" si="58"/>
        <v>0</v>
      </c>
      <c r="AH46" s="31">
        <f t="shared" si="58"/>
        <v>0</v>
      </c>
      <c r="AI46" s="32">
        <f t="shared" si="58"/>
        <v>0</v>
      </c>
      <c r="AJ46" s="33">
        <f t="shared" si="58"/>
        <v>0</v>
      </c>
      <c r="AL46" s="19"/>
      <c r="AM46" s="28" t="s">
        <v>23</v>
      </c>
      <c r="AN46" s="41">
        <f t="shared" ref="AN46:AQ46" si="59">AN38+AN39+AN40+AN41+AN42+AN43+AN44+AN45</f>
        <v>0</v>
      </c>
      <c r="AO46" s="42">
        <f t="shared" si="59"/>
        <v>0</v>
      </c>
      <c r="AP46" s="43">
        <f t="shared" si="59"/>
        <v>0</v>
      </c>
      <c r="AQ46" s="44">
        <f t="shared" si="59"/>
        <v>0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0</v>
      </c>
      <c r="L47" s="47"/>
      <c r="M47" s="48"/>
      <c r="N47" s="51"/>
      <c r="O47" s="51"/>
      <c r="P47" s="19"/>
      <c r="Q47" s="45" t="s">
        <v>24</v>
      </c>
      <c r="R47" s="50">
        <f>R46-S46</f>
        <v>0</v>
      </c>
      <c r="S47" s="47"/>
      <c r="T47" s="48"/>
      <c r="U47" s="51"/>
      <c r="V47" s="51"/>
      <c r="W47" s="19"/>
      <c r="X47" s="45" t="s">
        <v>24</v>
      </c>
      <c r="Y47" s="50">
        <f>Y46-Z46</f>
        <v>0</v>
      </c>
      <c r="Z47" s="47"/>
      <c r="AA47" s="48"/>
      <c r="AB47" s="51"/>
      <c r="AC47" s="51"/>
      <c r="AD47" s="19"/>
      <c r="AE47" s="45" t="s">
        <v>24</v>
      </c>
      <c r="AF47" s="50">
        <f>AF46-AG46</f>
        <v>0</v>
      </c>
      <c r="AG47" s="47"/>
      <c r="AH47" s="48"/>
      <c r="AI47" s="51"/>
      <c r="AJ47" s="51"/>
      <c r="AL47" s="53"/>
      <c r="AM47" s="45" t="s">
        <v>25</v>
      </c>
      <c r="AN47" s="50">
        <f>AN46-AO46</f>
        <v>0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0</v>
      </c>
      <c r="L48" s="47"/>
      <c r="M48" s="48"/>
      <c r="N48" s="51"/>
      <c r="O48" s="51"/>
      <c r="P48" s="53"/>
      <c r="Q48" s="56" t="s">
        <v>26</v>
      </c>
      <c r="R48" s="57">
        <f>T46-S46</f>
        <v>0</v>
      </c>
      <c r="S48" s="47"/>
      <c r="T48" s="48"/>
      <c r="U48" s="51"/>
      <c r="V48" s="51"/>
      <c r="W48" s="53"/>
      <c r="X48" s="56" t="s">
        <v>26</v>
      </c>
      <c r="Y48" s="57">
        <f>AA46-Z46</f>
        <v>0</v>
      </c>
      <c r="Z48" s="47"/>
      <c r="AA48" s="48"/>
      <c r="AB48" s="51"/>
      <c r="AC48" s="51"/>
      <c r="AD48" s="53"/>
      <c r="AE48" s="56" t="s">
        <v>26</v>
      </c>
      <c r="AF48" s="57">
        <f>AH46-AG46</f>
        <v>0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2" t="s">
        <v>1</v>
      </c>
      <c r="D49" s="3" t="s">
        <v>2</v>
      </c>
      <c r="E49" s="2" t="s">
        <v>3</v>
      </c>
      <c r="F49" s="2" t="s">
        <v>4</v>
      </c>
      <c r="G49" s="2" t="s">
        <v>5</v>
      </c>
      <c r="H49" s="5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2" t="s">
        <v>1</v>
      </c>
      <c r="R49" s="4" t="s">
        <v>7</v>
      </c>
      <c r="S49" s="2" t="s">
        <v>3</v>
      </c>
      <c r="T49" s="2" t="s">
        <v>4</v>
      </c>
      <c r="U49" s="2" t="s">
        <v>5</v>
      </c>
      <c r="V49" s="5" t="s">
        <v>6</v>
      </c>
      <c r="W49" s="68" t="s">
        <v>0</v>
      </c>
      <c r="X49" s="2" t="s">
        <v>1</v>
      </c>
      <c r="Y49" s="4" t="s">
        <v>7</v>
      </c>
      <c r="Z49" s="2" t="s">
        <v>3</v>
      </c>
      <c r="AA49" s="2" t="s">
        <v>4</v>
      </c>
      <c r="AB49" s="2" t="s">
        <v>5</v>
      </c>
      <c r="AC49" s="5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>
        <v>45905.0</v>
      </c>
      <c r="C50" s="9" t="s">
        <v>10</v>
      </c>
      <c r="D50" s="10"/>
      <c r="E50" s="10"/>
      <c r="F50" s="10"/>
      <c r="G50" s="10"/>
      <c r="H50" s="11"/>
      <c r="I50" s="12">
        <v>45820.0</v>
      </c>
      <c r="J50" s="9" t="s">
        <v>10</v>
      </c>
      <c r="K50" s="10"/>
      <c r="L50" s="10"/>
      <c r="M50" s="10"/>
      <c r="N50" s="10"/>
      <c r="O50" s="11"/>
      <c r="P50" s="8">
        <v>45919.0</v>
      </c>
      <c r="Q50" s="9" t="s">
        <v>10</v>
      </c>
      <c r="R50" s="10"/>
      <c r="S50" s="10"/>
      <c r="T50" s="10"/>
      <c r="U50" s="10"/>
      <c r="V50" s="11"/>
      <c r="W50" s="8">
        <v>45926.0</v>
      </c>
      <c r="X50" s="9" t="s">
        <v>10</v>
      </c>
      <c r="Y50" s="10"/>
      <c r="Z50" s="10"/>
      <c r="AA50" s="10"/>
      <c r="AB50" s="10"/>
      <c r="AC50" s="11"/>
      <c r="AD50" s="8"/>
      <c r="AE50" s="9" t="s">
        <v>10</v>
      </c>
      <c r="AF50" s="10"/>
      <c r="AG50" s="10"/>
      <c r="AH50" s="10"/>
      <c r="AI50" s="10"/>
      <c r="AJ50" s="11"/>
      <c r="AL50" s="18" t="s">
        <v>38</v>
      </c>
      <c r="AM50" s="9" t="s">
        <v>10</v>
      </c>
      <c r="AN50" s="10">
        <f t="shared" ref="AN50:AP50" si="60">D50+K50+R50+Y50+AF50</f>
        <v>0</v>
      </c>
      <c r="AO50" s="10">
        <f t="shared" si="60"/>
        <v>0</v>
      </c>
      <c r="AP50" s="10">
        <f t="shared" si="60"/>
        <v>0</v>
      </c>
      <c r="AQ50" s="11">
        <f t="shared" ref="AQ50:AQ57" si="62">H50+O50+V50+AC50+AJ50</f>
        <v>0</v>
      </c>
    </row>
    <row r="51">
      <c r="A51" s="19"/>
      <c r="B51" s="19"/>
      <c r="C51" s="9" t="s">
        <v>12</v>
      </c>
      <c r="D51" s="10"/>
      <c r="E51" s="10"/>
      <c r="F51" s="10"/>
      <c r="G51" s="10"/>
      <c r="H51" s="11"/>
      <c r="I51" s="19"/>
      <c r="J51" s="9" t="s">
        <v>12</v>
      </c>
      <c r="K51" s="10"/>
      <c r="L51" s="10"/>
      <c r="M51" s="10"/>
      <c r="N51" s="10"/>
      <c r="O51" s="11"/>
      <c r="P51" s="19"/>
      <c r="Q51" s="9" t="s">
        <v>32</v>
      </c>
      <c r="R51" s="10"/>
      <c r="S51" s="10"/>
      <c r="T51" s="10"/>
      <c r="U51" s="10"/>
      <c r="V51" s="11"/>
      <c r="W51" s="19"/>
      <c r="X51" s="9" t="s">
        <v>12</v>
      </c>
      <c r="Y51" s="10"/>
      <c r="Z51" s="10"/>
      <c r="AA51" s="10"/>
      <c r="AB51" s="10"/>
      <c r="AC51" s="11"/>
      <c r="AD51" s="19"/>
      <c r="AE51" s="9" t="s">
        <v>12</v>
      </c>
      <c r="AF51" s="10"/>
      <c r="AG51" s="10"/>
      <c r="AH51" s="10"/>
      <c r="AI51" s="10"/>
      <c r="AJ51" s="11"/>
      <c r="AL51" s="19"/>
      <c r="AM51" s="9" t="s">
        <v>12</v>
      </c>
      <c r="AN51" s="10">
        <f t="shared" ref="AN51:AP51" si="61">D51+K51+R51+Y51+AF51</f>
        <v>0</v>
      </c>
      <c r="AO51" s="10">
        <f t="shared" si="61"/>
        <v>0</v>
      </c>
      <c r="AP51" s="10">
        <f t="shared" si="61"/>
        <v>0</v>
      </c>
      <c r="AQ51" s="11">
        <f t="shared" si="62"/>
        <v>0</v>
      </c>
    </row>
    <row r="52">
      <c r="A52" s="19"/>
      <c r="B52" s="19"/>
      <c r="C52" s="9" t="s">
        <v>276</v>
      </c>
      <c r="D52" s="10"/>
      <c r="E52" s="10"/>
      <c r="F52" s="10"/>
      <c r="G52" s="10"/>
      <c r="H52" s="11"/>
      <c r="I52" s="19"/>
      <c r="J52" s="9" t="s">
        <v>276</v>
      </c>
      <c r="K52" s="291"/>
      <c r="L52" s="10"/>
      <c r="M52" s="10"/>
      <c r="N52" s="10"/>
      <c r="O52" s="11"/>
      <c r="P52" s="19"/>
      <c r="Q52" s="9" t="s">
        <v>276</v>
      </c>
      <c r="R52" s="10"/>
      <c r="S52" s="10"/>
      <c r="T52" s="10"/>
      <c r="U52" s="10"/>
      <c r="V52" s="11"/>
      <c r="W52" s="19"/>
      <c r="X52" s="9" t="s">
        <v>276</v>
      </c>
      <c r="Y52" s="10"/>
      <c r="Z52" s="10"/>
      <c r="AA52" s="10"/>
      <c r="AB52" s="10"/>
      <c r="AC52" s="11"/>
      <c r="AD52" s="19"/>
      <c r="AE52" s="9" t="s">
        <v>14</v>
      </c>
      <c r="AF52" s="10"/>
      <c r="AG52" s="10"/>
      <c r="AH52" s="10"/>
      <c r="AI52" s="10"/>
      <c r="AJ52" s="11"/>
      <c r="AL52" s="19"/>
      <c r="AM52" s="9" t="s">
        <v>14</v>
      </c>
      <c r="AN52" s="10">
        <f t="shared" ref="AN52:AP52" si="63">D52+K52+R52+Y52+AF52</f>
        <v>0</v>
      </c>
      <c r="AO52" s="10">
        <f t="shared" si="63"/>
        <v>0</v>
      </c>
      <c r="AP52" s="10">
        <f t="shared" si="63"/>
        <v>0</v>
      </c>
      <c r="AQ52" s="11">
        <f t="shared" si="62"/>
        <v>0</v>
      </c>
    </row>
    <row r="53">
      <c r="A53" s="19"/>
      <c r="B53" s="19"/>
      <c r="C53" s="9" t="s">
        <v>16</v>
      </c>
      <c r="D53" s="10"/>
      <c r="E53" s="10"/>
      <c r="F53" s="10"/>
      <c r="G53" s="10"/>
      <c r="H53" s="11"/>
      <c r="I53" s="19"/>
      <c r="J53" s="9" t="s">
        <v>15</v>
      </c>
      <c r="K53" s="10"/>
      <c r="L53" s="10"/>
      <c r="M53" s="10"/>
      <c r="N53" s="10"/>
      <c r="O53" s="11"/>
      <c r="P53" s="19"/>
      <c r="Q53" s="9" t="s">
        <v>16</v>
      </c>
      <c r="R53" s="10"/>
      <c r="S53" s="10"/>
      <c r="T53" s="10"/>
      <c r="U53" s="10"/>
      <c r="V53" s="11"/>
      <c r="W53" s="19"/>
      <c r="X53" s="9" t="s">
        <v>16</v>
      </c>
      <c r="Y53" s="10"/>
      <c r="Z53" s="10"/>
      <c r="AA53" s="10"/>
      <c r="AB53" s="310"/>
      <c r="AC53" s="11"/>
      <c r="AD53" s="19"/>
      <c r="AE53" s="9" t="s">
        <v>16</v>
      </c>
      <c r="AF53" s="10"/>
      <c r="AG53" s="10"/>
      <c r="AH53" s="10"/>
      <c r="AI53" s="10"/>
      <c r="AJ53" s="11"/>
      <c r="AL53" s="19"/>
      <c r="AM53" s="9" t="s">
        <v>16</v>
      </c>
      <c r="AN53" s="10">
        <f t="shared" ref="AN53:AP53" si="64">D53+K53+R53+Y53+AF53</f>
        <v>0</v>
      </c>
      <c r="AO53" s="10">
        <f t="shared" si="64"/>
        <v>0</v>
      </c>
      <c r="AP53" s="10">
        <f t="shared" si="64"/>
        <v>0</v>
      </c>
      <c r="AQ53" s="11">
        <f t="shared" si="62"/>
        <v>0</v>
      </c>
    </row>
    <row r="54">
      <c r="A54" s="19"/>
      <c r="B54" s="19"/>
      <c r="C54" s="9" t="s">
        <v>17</v>
      </c>
      <c r="D54" s="10"/>
      <c r="E54" s="10"/>
      <c r="F54" s="10"/>
      <c r="G54" s="10"/>
      <c r="H54" s="11"/>
      <c r="I54" s="19"/>
      <c r="J54" s="9" t="s">
        <v>17</v>
      </c>
      <c r="K54" s="10"/>
      <c r="L54" s="10"/>
      <c r="M54" s="10"/>
      <c r="N54" s="10"/>
      <c r="O54" s="11"/>
      <c r="P54" s="19"/>
      <c r="Q54" s="9" t="s">
        <v>17</v>
      </c>
      <c r="R54" s="10"/>
      <c r="S54" s="10"/>
      <c r="T54" s="10"/>
      <c r="U54" s="10"/>
      <c r="V54" s="11"/>
      <c r="W54" s="19"/>
      <c r="X54" s="9" t="s">
        <v>17</v>
      </c>
      <c r="Y54" s="10"/>
      <c r="Z54" s="10"/>
      <c r="AA54" s="10"/>
      <c r="AB54" s="10"/>
      <c r="AC54" s="11"/>
      <c r="AD54" s="19"/>
      <c r="AE54" s="9" t="s">
        <v>17</v>
      </c>
      <c r="AF54" s="10"/>
      <c r="AG54" s="10"/>
      <c r="AH54" s="10"/>
      <c r="AI54" s="10"/>
      <c r="AJ54" s="11"/>
      <c r="AL54" s="19"/>
      <c r="AM54" s="9" t="s">
        <v>17</v>
      </c>
      <c r="AN54" s="10">
        <f t="shared" ref="AN54:AP54" si="65">D54+K54+R54+Y54+AF54</f>
        <v>0</v>
      </c>
      <c r="AO54" s="10">
        <f t="shared" si="65"/>
        <v>0</v>
      </c>
      <c r="AP54" s="10">
        <f t="shared" si="65"/>
        <v>0</v>
      </c>
      <c r="AQ54" s="11">
        <f t="shared" si="62"/>
        <v>0</v>
      </c>
    </row>
    <row r="55">
      <c r="A55" s="19"/>
      <c r="B55" s="19"/>
      <c r="C55" s="9" t="s">
        <v>18</v>
      </c>
      <c r="D55" s="10"/>
      <c r="E55" s="10"/>
      <c r="F55" s="10"/>
      <c r="G55" s="10"/>
      <c r="H55" s="11"/>
      <c r="I55" s="19"/>
      <c r="J55" s="9" t="s">
        <v>18</v>
      </c>
      <c r="K55" s="10"/>
      <c r="L55" s="10"/>
      <c r="M55" s="10"/>
      <c r="N55" s="10"/>
      <c r="O55" s="11"/>
      <c r="P55" s="19"/>
      <c r="Q55" s="9" t="s">
        <v>29</v>
      </c>
      <c r="R55" s="10"/>
      <c r="S55" s="10"/>
      <c r="T55" s="10"/>
      <c r="U55" s="10"/>
      <c r="V55" s="11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6">D55+K55+R55+Y55+AF55</f>
        <v>0</v>
      </c>
      <c r="AO55" s="10">
        <f t="shared" si="66"/>
        <v>0</v>
      </c>
      <c r="AP55" s="10">
        <f t="shared" si="66"/>
        <v>0</v>
      </c>
      <c r="AQ55" s="11">
        <f t="shared" si="62"/>
        <v>0</v>
      </c>
    </row>
    <row r="56">
      <c r="A56" s="19"/>
      <c r="B56" s="19"/>
      <c r="C56" s="9" t="s">
        <v>20</v>
      </c>
      <c r="D56" s="10"/>
      <c r="E56" s="10"/>
      <c r="F56" s="10"/>
      <c r="G56" s="10"/>
      <c r="H56" s="11"/>
      <c r="I56" s="19"/>
      <c r="J56" s="9" t="s">
        <v>19</v>
      </c>
      <c r="K56" s="10"/>
      <c r="L56" s="10"/>
      <c r="M56" s="10"/>
      <c r="N56" s="10"/>
      <c r="O56" s="11"/>
      <c r="P56" s="19"/>
      <c r="Q56" s="9" t="s">
        <v>19</v>
      </c>
      <c r="R56" s="10"/>
      <c r="S56" s="10"/>
      <c r="T56" s="10"/>
      <c r="U56" s="10"/>
      <c r="V56" s="11"/>
      <c r="W56" s="19"/>
      <c r="X56" s="9" t="s">
        <v>19</v>
      </c>
      <c r="Y56" s="10"/>
      <c r="Z56" s="10"/>
      <c r="AA56" s="10"/>
      <c r="AB56" s="10"/>
      <c r="AC56" s="11"/>
      <c r="AD56" s="19"/>
      <c r="AE56" s="9" t="s">
        <v>19</v>
      </c>
      <c r="AF56" s="10"/>
      <c r="AG56" s="10"/>
      <c r="AH56" s="10"/>
      <c r="AI56" s="10"/>
      <c r="AJ56" s="11"/>
      <c r="AL56" s="19"/>
      <c r="AM56" s="9" t="s">
        <v>19</v>
      </c>
      <c r="AN56" s="10">
        <f t="shared" ref="AN56:AP56" si="67">D56+K56+R56+Y56+AF56</f>
        <v>0</v>
      </c>
      <c r="AO56" s="10">
        <f t="shared" si="67"/>
        <v>0</v>
      </c>
      <c r="AP56" s="10">
        <f t="shared" si="67"/>
        <v>0</v>
      </c>
      <c r="AQ56" s="11">
        <f t="shared" si="62"/>
        <v>0</v>
      </c>
    </row>
    <row r="57">
      <c r="A57" s="19"/>
      <c r="B57" s="19"/>
      <c r="C57" s="26" t="s">
        <v>21</v>
      </c>
      <c r="D57" s="10"/>
      <c r="E57" s="10"/>
      <c r="F57" s="10"/>
      <c r="G57" s="10"/>
      <c r="H57" s="11"/>
      <c r="I57" s="19"/>
      <c r="J57" s="26" t="s">
        <v>21</v>
      </c>
      <c r="K57" s="10"/>
      <c r="L57" s="10"/>
      <c r="M57" s="10"/>
      <c r="N57" s="10"/>
      <c r="O57" s="11"/>
      <c r="P57" s="19"/>
      <c r="Q57" s="26" t="s">
        <v>21</v>
      </c>
      <c r="R57" s="10"/>
      <c r="S57" s="10"/>
      <c r="T57" s="10"/>
      <c r="U57" s="10"/>
      <c r="V57" s="11"/>
      <c r="W57" s="19"/>
      <c r="X57" s="26" t="s">
        <v>21</v>
      </c>
      <c r="Y57" s="10"/>
      <c r="Z57" s="10"/>
      <c r="AA57" s="10"/>
      <c r="AB57" s="310"/>
      <c r="AC57" s="11"/>
      <c r="AD57" s="19"/>
      <c r="AE57" s="26" t="s">
        <v>21</v>
      </c>
      <c r="AF57" s="10"/>
      <c r="AG57" s="10"/>
      <c r="AH57" s="10"/>
      <c r="AI57" s="10"/>
      <c r="AJ57" s="11"/>
      <c r="AL57" s="19"/>
      <c r="AM57" s="26" t="s">
        <v>21</v>
      </c>
      <c r="AN57" s="10">
        <f t="shared" ref="AN57:AP57" si="68">D57+K57+R57+Y57+AF57</f>
        <v>0</v>
      </c>
      <c r="AO57" s="10">
        <f t="shared" si="68"/>
        <v>0</v>
      </c>
      <c r="AP57" s="10">
        <f t="shared" si="68"/>
        <v>0</v>
      </c>
      <c r="AQ57" s="11">
        <f t="shared" si="62"/>
        <v>0</v>
      </c>
    </row>
    <row r="58">
      <c r="A58" s="19"/>
      <c r="B58" s="19"/>
      <c r="C58" s="28" t="s">
        <v>23</v>
      </c>
      <c r="D58" s="29">
        <f t="shared" ref="D58:H58" si="69">D50+D51+D52+D53+D54+D55+D56+D57</f>
        <v>0</v>
      </c>
      <c r="E58" s="30">
        <f t="shared" si="69"/>
        <v>0</v>
      </c>
      <c r="F58" s="31">
        <f t="shared" si="69"/>
        <v>0</v>
      </c>
      <c r="G58" s="37">
        <f t="shared" si="69"/>
        <v>0</v>
      </c>
      <c r="H58" s="33">
        <f t="shared" si="69"/>
        <v>0</v>
      </c>
      <c r="I58" s="19"/>
      <c r="J58" s="28" t="s">
        <v>23</v>
      </c>
      <c r="K58" s="61">
        <f t="shared" ref="K58:O58" si="70">K50+K51+K52+K53+K54+K55+K56+K57</f>
        <v>0</v>
      </c>
      <c r="L58" s="30">
        <f t="shared" si="70"/>
        <v>0</v>
      </c>
      <c r="M58" s="36">
        <f t="shared" si="70"/>
        <v>0</v>
      </c>
      <c r="N58" s="40">
        <f t="shared" si="70"/>
        <v>0</v>
      </c>
      <c r="O58" s="33">
        <f t="shared" si="70"/>
        <v>0</v>
      </c>
      <c r="P58" s="19"/>
      <c r="Q58" s="28" t="s">
        <v>23</v>
      </c>
      <c r="R58" s="29">
        <f t="shared" ref="R58:V58" si="71">R50+R51+R52+R53+R54+R55+R56+R57</f>
        <v>0</v>
      </c>
      <c r="S58" s="30">
        <f t="shared" si="71"/>
        <v>0</v>
      </c>
      <c r="T58" s="36">
        <f t="shared" si="71"/>
        <v>0</v>
      </c>
      <c r="U58" s="37">
        <f t="shared" si="71"/>
        <v>0</v>
      </c>
      <c r="V58" s="33">
        <f t="shared" si="71"/>
        <v>0</v>
      </c>
      <c r="W58" s="19"/>
      <c r="X58" s="28" t="s">
        <v>23</v>
      </c>
      <c r="Y58" s="61">
        <f t="shared" ref="Y58:AC58" si="72">Y50+Y51+Y52+Y53+Y54+Y55+Y56+Y57</f>
        <v>0</v>
      </c>
      <c r="Z58" s="35">
        <f t="shared" si="72"/>
        <v>0</v>
      </c>
      <c r="AA58" s="36">
        <f t="shared" si="72"/>
        <v>0</v>
      </c>
      <c r="AB58" s="37">
        <f t="shared" si="72"/>
        <v>0</v>
      </c>
      <c r="AC58" s="33">
        <f t="shared" si="72"/>
        <v>0</v>
      </c>
      <c r="AD58" s="19"/>
      <c r="AE58" s="28" t="s">
        <v>23</v>
      </c>
      <c r="AF58" s="29">
        <f t="shared" ref="AF58:AJ58" si="73">AF50+AF51+AF52+AF53+AF54+AF55+AF56+AF57</f>
        <v>0</v>
      </c>
      <c r="AG58" s="30">
        <f t="shared" si="73"/>
        <v>0</v>
      </c>
      <c r="AH58" s="31">
        <f t="shared" si="73"/>
        <v>0</v>
      </c>
      <c r="AI58" s="32">
        <f t="shared" si="73"/>
        <v>0</v>
      </c>
      <c r="AJ58" s="33">
        <f t="shared" si="73"/>
        <v>0</v>
      </c>
      <c r="AL58" s="19"/>
      <c r="AM58" s="28" t="s">
        <v>23</v>
      </c>
      <c r="AN58" s="41">
        <f t="shared" ref="AN58:AQ58" si="74">AN50+AN51+AN52+AN53+AN54+AN55+AN56+AN57</f>
        <v>0</v>
      </c>
      <c r="AO58" s="42">
        <f t="shared" si="74"/>
        <v>0</v>
      </c>
      <c r="AP58" s="43">
        <f t="shared" si="74"/>
        <v>0</v>
      </c>
      <c r="AQ58" s="44">
        <f t="shared" si="74"/>
        <v>0</v>
      </c>
    </row>
    <row r="59" hidden="1">
      <c r="A59" s="19"/>
      <c r="B59" s="19"/>
      <c r="C59" s="45" t="s">
        <v>24</v>
      </c>
      <c r="D59" s="50">
        <f>D58-E58</f>
        <v>0</v>
      </c>
      <c r="E59" s="47"/>
      <c r="F59" s="48"/>
      <c r="G59" s="51"/>
      <c r="H59" s="51"/>
      <c r="I59" s="19"/>
      <c r="J59" s="45" t="s">
        <v>24</v>
      </c>
      <c r="K59" s="50">
        <f>K58-L58</f>
        <v>0</v>
      </c>
      <c r="L59" s="47"/>
      <c r="M59" s="48"/>
      <c r="N59" s="51"/>
      <c r="O59" s="51"/>
      <c r="P59" s="19"/>
      <c r="Q59" s="45" t="s">
        <v>24</v>
      </c>
      <c r="R59" s="50">
        <f>R58-S58</f>
        <v>0</v>
      </c>
      <c r="S59" s="47"/>
      <c r="T59" s="48"/>
      <c r="U59" s="51"/>
      <c r="V59" s="51"/>
      <c r="W59" s="19"/>
      <c r="X59" s="45" t="s">
        <v>24</v>
      </c>
      <c r="Y59" s="50">
        <f>Y58-Z58</f>
        <v>0</v>
      </c>
      <c r="Z59" s="47"/>
      <c r="AA59" s="48"/>
      <c r="AB59" s="51"/>
      <c r="AC59" s="51"/>
      <c r="AD59" s="19"/>
      <c r="AE59" s="45" t="s">
        <v>24</v>
      </c>
      <c r="AF59" s="50">
        <f>AF58-AG58</f>
        <v>0</v>
      </c>
      <c r="AG59" s="47"/>
      <c r="AH59" s="48"/>
      <c r="AI59" s="51"/>
      <c r="AJ59" s="51"/>
      <c r="AL59" s="53"/>
      <c r="AM59" s="45" t="s">
        <v>25</v>
      </c>
      <c r="AN59" s="50">
        <f>AN58-AO58</f>
        <v>0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0</v>
      </c>
      <c r="E60" s="47"/>
      <c r="F60" s="48"/>
      <c r="G60" s="67"/>
      <c r="H60" s="51"/>
      <c r="I60" s="53"/>
      <c r="J60" s="56" t="s">
        <v>26</v>
      </c>
      <c r="K60" s="57">
        <f>M58-L58</f>
        <v>0</v>
      </c>
      <c r="L60" s="47"/>
      <c r="M60" s="48"/>
      <c r="N60" s="51"/>
      <c r="O60" s="51"/>
      <c r="P60" s="53"/>
      <c r="Q60" s="56" t="s">
        <v>26</v>
      </c>
      <c r="R60" s="57">
        <f>T58-S58</f>
        <v>0</v>
      </c>
      <c r="S60" s="47"/>
      <c r="T60" s="48"/>
      <c r="U60" s="51"/>
      <c r="V60" s="51"/>
      <c r="W60" s="53"/>
      <c r="X60" s="56" t="s">
        <v>26</v>
      </c>
      <c r="Y60" s="57">
        <f>AA58-Z58</f>
        <v>0</v>
      </c>
      <c r="Z60" s="47"/>
      <c r="AA60" s="48"/>
      <c r="AB60" s="51"/>
      <c r="AC60" s="51"/>
      <c r="AD60" s="53"/>
      <c r="AE60" s="56" t="s">
        <v>26</v>
      </c>
      <c r="AF60" s="57">
        <f>AH58-AG58</f>
        <v>0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2" t="s">
        <v>1</v>
      </c>
      <c r="K61" s="4" t="s">
        <v>7</v>
      </c>
      <c r="L61" s="2" t="s">
        <v>3</v>
      </c>
      <c r="M61" s="2" t="s">
        <v>4</v>
      </c>
      <c r="N61" s="2" t="s">
        <v>5</v>
      </c>
      <c r="O61" s="5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2" t="s">
        <v>1</v>
      </c>
      <c r="Y61" s="4" t="s">
        <v>7</v>
      </c>
      <c r="Z61" s="2" t="s">
        <v>3</v>
      </c>
      <c r="AA61" s="2" t="s">
        <v>4</v>
      </c>
      <c r="AB61" s="2" t="s">
        <v>5</v>
      </c>
      <c r="AC61" s="5" t="s">
        <v>6</v>
      </c>
      <c r="AD61" s="2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>
        <v>45906.0</v>
      </c>
      <c r="C62" s="9" t="s">
        <v>10</v>
      </c>
      <c r="D62" s="10"/>
      <c r="E62" s="10"/>
      <c r="F62" s="10"/>
      <c r="G62" s="10"/>
      <c r="H62" s="11"/>
      <c r="I62" s="12">
        <v>45821.0</v>
      </c>
      <c r="J62" s="9" t="s">
        <v>10</v>
      </c>
      <c r="K62" s="10"/>
      <c r="L62" s="10"/>
      <c r="M62" s="10"/>
      <c r="N62" s="10"/>
      <c r="O62" s="11"/>
      <c r="P62" s="8">
        <v>45920.0</v>
      </c>
      <c r="Q62" s="9" t="s">
        <v>10</v>
      </c>
      <c r="R62" s="10"/>
      <c r="S62" s="10"/>
      <c r="T62" s="10"/>
      <c r="U62" s="10"/>
      <c r="V62" s="11"/>
      <c r="W62" s="8">
        <v>45927.0</v>
      </c>
      <c r="X62" s="9" t="s">
        <v>10</v>
      </c>
      <c r="Y62" s="10"/>
      <c r="Z62" s="10"/>
      <c r="AA62" s="10"/>
      <c r="AB62" s="10"/>
      <c r="AC62" s="11"/>
      <c r="AD62" s="12"/>
      <c r="AE62" s="9" t="s">
        <v>10</v>
      </c>
      <c r="AF62" s="10"/>
      <c r="AG62" s="10"/>
      <c r="AH62" s="10"/>
      <c r="AI62" s="10"/>
      <c r="AJ62" s="11"/>
      <c r="AL62" s="18" t="s">
        <v>40</v>
      </c>
      <c r="AM62" s="9" t="s">
        <v>10</v>
      </c>
      <c r="AN62" s="10">
        <f t="shared" ref="AN62:AP62" si="75">D62+K62+R62+Y62+AF62</f>
        <v>0</v>
      </c>
      <c r="AO62" s="10">
        <f t="shared" si="75"/>
        <v>0</v>
      </c>
      <c r="AP62" s="10">
        <f t="shared" si="75"/>
        <v>0</v>
      </c>
      <c r="AQ62" s="11">
        <f t="shared" ref="AQ62:AQ69" si="77">H62+O62+V62+AC62+AJ62</f>
        <v>0</v>
      </c>
    </row>
    <row r="63">
      <c r="A63" s="19"/>
      <c r="B63" s="19"/>
      <c r="C63" s="9" t="s">
        <v>12</v>
      </c>
      <c r="D63" s="10"/>
      <c r="E63" s="10"/>
      <c r="F63" s="10"/>
      <c r="G63" s="10"/>
      <c r="H63" s="11"/>
      <c r="I63" s="19"/>
      <c r="J63" s="9" t="s">
        <v>12</v>
      </c>
      <c r="K63" s="10"/>
      <c r="L63" s="10"/>
      <c r="M63" s="10"/>
      <c r="N63" s="10"/>
      <c r="O63" s="11"/>
      <c r="P63" s="19"/>
      <c r="Q63" s="9" t="s">
        <v>12</v>
      </c>
      <c r="R63" s="72"/>
      <c r="S63" s="10"/>
      <c r="T63" s="72"/>
      <c r="U63" s="10"/>
      <c r="V63" s="11"/>
      <c r="W63" s="19"/>
      <c r="X63" s="9" t="s">
        <v>12</v>
      </c>
      <c r="Y63" s="10"/>
      <c r="Z63" s="10"/>
      <c r="AA63" s="10"/>
      <c r="AB63" s="10"/>
      <c r="AC63" s="11"/>
      <c r="AD63" s="19"/>
      <c r="AE63" s="9" t="s">
        <v>12</v>
      </c>
      <c r="AF63" s="10"/>
      <c r="AG63" s="10"/>
      <c r="AH63" s="10"/>
      <c r="AI63" s="10"/>
      <c r="AJ63" s="11"/>
      <c r="AL63" s="19"/>
      <c r="AM63" s="9" t="s">
        <v>12</v>
      </c>
      <c r="AN63" s="10">
        <f t="shared" ref="AN63:AP63" si="76">D63+K63+R63+Y63+AF63</f>
        <v>0</v>
      </c>
      <c r="AO63" s="10">
        <f t="shared" si="76"/>
        <v>0</v>
      </c>
      <c r="AP63" s="10">
        <f t="shared" si="76"/>
        <v>0</v>
      </c>
      <c r="AQ63" s="11">
        <f t="shared" si="77"/>
        <v>0</v>
      </c>
    </row>
    <row r="64">
      <c r="A64" s="19"/>
      <c r="B64" s="19"/>
      <c r="C64" s="9" t="s">
        <v>276</v>
      </c>
      <c r="D64" s="291"/>
      <c r="E64" s="10"/>
      <c r="F64" s="10"/>
      <c r="G64" s="10"/>
      <c r="H64" s="11"/>
      <c r="I64" s="19"/>
      <c r="J64" s="9" t="s">
        <v>276</v>
      </c>
      <c r="K64" s="10"/>
      <c r="L64" s="10"/>
      <c r="M64" s="10"/>
      <c r="N64" s="10"/>
      <c r="O64" s="11"/>
      <c r="P64" s="19"/>
      <c r="Q64" s="9" t="s">
        <v>276</v>
      </c>
      <c r="R64" s="10"/>
      <c r="S64" s="10"/>
      <c r="T64" s="10"/>
      <c r="U64" s="10"/>
      <c r="V64" s="11"/>
      <c r="W64" s="19"/>
      <c r="X64" s="9" t="s">
        <v>276</v>
      </c>
      <c r="Y64" s="10"/>
      <c r="Z64" s="10"/>
      <c r="AA64" s="10"/>
      <c r="AB64" s="10"/>
      <c r="AC64" s="11"/>
      <c r="AD64" s="19"/>
      <c r="AE64" s="9" t="s">
        <v>14</v>
      </c>
      <c r="AF64" s="10"/>
      <c r="AG64" s="10"/>
      <c r="AH64" s="10"/>
      <c r="AI64" s="10"/>
      <c r="AJ64" s="11"/>
      <c r="AL64" s="19"/>
      <c r="AM64" s="9" t="s">
        <v>14</v>
      </c>
      <c r="AN64" s="10">
        <f t="shared" ref="AN64:AP64" si="78">D64+K64+R64+Y64+AF64</f>
        <v>0</v>
      </c>
      <c r="AO64" s="10">
        <f t="shared" si="78"/>
        <v>0</v>
      </c>
      <c r="AP64" s="10">
        <f t="shared" si="78"/>
        <v>0</v>
      </c>
      <c r="AQ64" s="11">
        <f t="shared" si="77"/>
        <v>0</v>
      </c>
    </row>
    <row r="65">
      <c r="A65" s="19"/>
      <c r="B65" s="19"/>
      <c r="C65" s="9" t="s">
        <v>16</v>
      </c>
      <c r="D65" s="10"/>
      <c r="E65" s="10"/>
      <c r="F65" s="10"/>
      <c r="G65" s="10"/>
      <c r="H65" s="11"/>
      <c r="I65" s="19"/>
      <c r="J65" s="9" t="s">
        <v>16</v>
      </c>
      <c r="K65" s="10"/>
      <c r="L65" s="10"/>
      <c r="M65" s="10"/>
      <c r="N65" s="10"/>
      <c r="O65" s="11"/>
      <c r="P65" s="19"/>
      <c r="Q65" s="9" t="s">
        <v>16</v>
      </c>
      <c r="R65" s="10"/>
      <c r="S65" s="10"/>
      <c r="T65" s="10"/>
      <c r="U65" s="10"/>
      <c r="V65" s="11"/>
      <c r="W65" s="19"/>
      <c r="X65" s="9" t="s">
        <v>16</v>
      </c>
      <c r="Y65" s="10"/>
      <c r="Z65" s="10"/>
      <c r="AA65" s="10"/>
      <c r="AB65" s="310"/>
      <c r="AC65" s="11"/>
      <c r="AD65" s="19"/>
      <c r="AE65" s="9" t="s">
        <v>16</v>
      </c>
      <c r="AF65" s="10"/>
      <c r="AG65" s="10"/>
      <c r="AH65" s="10"/>
      <c r="AI65" s="10"/>
      <c r="AJ65" s="11"/>
      <c r="AL65" s="19"/>
      <c r="AM65" s="9" t="s">
        <v>16</v>
      </c>
      <c r="AN65" s="10">
        <f t="shared" ref="AN65:AP65" si="79">D65+K65+R65+Y65+AF65</f>
        <v>0</v>
      </c>
      <c r="AO65" s="10">
        <f t="shared" si="79"/>
        <v>0</v>
      </c>
      <c r="AP65" s="10">
        <f t="shared" si="79"/>
        <v>0</v>
      </c>
      <c r="AQ65" s="11">
        <f t="shared" si="77"/>
        <v>0</v>
      </c>
    </row>
    <row r="66">
      <c r="A66" s="19"/>
      <c r="B66" s="19"/>
      <c r="C66" s="9" t="s">
        <v>284</v>
      </c>
      <c r="D66" s="10"/>
      <c r="E66" s="10"/>
      <c r="F66" s="10"/>
      <c r="G66" s="10"/>
      <c r="H66" s="11"/>
      <c r="I66" s="19"/>
      <c r="J66" s="9" t="s">
        <v>285</v>
      </c>
      <c r="K66" s="10"/>
      <c r="L66" s="10"/>
      <c r="M66" s="10"/>
      <c r="N66" s="10"/>
      <c r="O66" s="11"/>
      <c r="P66" s="19"/>
      <c r="Q66" s="9" t="s">
        <v>17</v>
      </c>
      <c r="R66" s="10"/>
      <c r="S66" s="10"/>
      <c r="T66" s="10"/>
      <c r="U66" s="10"/>
      <c r="V66" s="11"/>
      <c r="W66" s="19"/>
      <c r="X66" s="9" t="s">
        <v>17</v>
      </c>
      <c r="Y66" s="10"/>
      <c r="Z66" s="10"/>
      <c r="AA66" s="10"/>
      <c r="AB66" s="10"/>
      <c r="AC66" s="11"/>
      <c r="AD66" s="19"/>
      <c r="AE66" s="9" t="s">
        <v>17</v>
      </c>
      <c r="AF66" s="10"/>
      <c r="AG66" s="10"/>
      <c r="AH66" s="10"/>
      <c r="AI66" s="10"/>
      <c r="AJ66" s="11"/>
      <c r="AL66" s="19"/>
      <c r="AM66" s="9" t="s">
        <v>17</v>
      </c>
      <c r="AN66" s="10">
        <f t="shared" ref="AN66:AP66" si="80">D66+K66+R66+Y66+AF66</f>
        <v>0</v>
      </c>
      <c r="AO66" s="10">
        <f t="shared" si="80"/>
        <v>0</v>
      </c>
      <c r="AP66" s="10">
        <f t="shared" si="80"/>
        <v>0</v>
      </c>
      <c r="AQ66" s="11">
        <f t="shared" si="77"/>
        <v>0</v>
      </c>
    </row>
    <row r="67">
      <c r="A67" s="19"/>
      <c r="B67" s="19"/>
      <c r="C67" s="9" t="s">
        <v>286</v>
      </c>
      <c r="D67" s="10"/>
      <c r="E67" s="10"/>
      <c r="F67" s="10"/>
      <c r="G67" s="10"/>
      <c r="H67" s="11"/>
      <c r="I67" s="19"/>
      <c r="J67" s="9" t="s">
        <v>18</v>
      </c>
      <c r="K67" s="10"/>
      <c r="L67" s="10"/>
      <c r="M67" s="10"/>
      <c r="N67" s="10"/>
      <c r="O67" s="11"/>
      <c r="P67" s="19"/>
      <c r="Q67" s="9" t="s">
        <v>18</v>
      </c>
      <c r="R67" s="10"/>
      <c r="S67" s="10"/>
      <c r="T67" s="10"/>
      <c r="U67" s="10"/>
      <c r="V67" s="11"/>
      <c r="W67" s="19"/>
      <c r="X67" s="9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1">D67+K67+R67+Y67+AF67</f>
        <v>0</v>
      </c>
      <c r="AO67" s="10">
        <f t="shared" si="81"/>
        <v>0</v>
      </c>
      <c r="AP67" s="10">
        <f t="shared" si="81"/>
        <v>0</v>
      </c>
      <c r="AQ67" s="11">
        <f t="shared" si="77"/>
        <v>0</v>
      </c>
    </row>
    <row r="68">
      <c r="A68" s="19"/>
      <c r="B68" s="19"/>
      <c r="C68" s="9" t="s">
        <v>20</v>
      </c>
      <c r="D68" s="10"/>
      <c r="E68" s="10"/>
      <c r="F68" s="10"/>
      <c r="G68" s="10"/>
      <c r="H68" s="11"/>
      <c r="I68" s="19"/>
      <c r="J68" s="9" t="s">
        <v>20</v>
      </c>
      <c r="K68" s="10"/>
      <c r="L68" s="10"/>
      <c r="M68" s="10"/>
      <c r="N68" s="10"/>
      <c r="O68" s="11"/>
      <c r="P68" s="19"/>
      <c r="Q68" s="9" t="s">
        <v>19</v>
      </c>
      <c r="R68" s="10"/>
      <c r="S68" s="10"/>
      <c r="T68" s="10"/>
      <c r="U68" s="10"/>
      <c r="V68" s="11"/>
      <c r="W68" s="19"/>
      <c r="X68" s="9" t="s">
        <v>19</v>
      </c>
      <c r="Y68" s="10"/>
      <c r="Z68" s="10"/>
      <c r="AA68" s="10"/>
      <c r="AB68" s="10"/>
      <c r="AC68" s="11"/>
      <c r="AD68" s="19"/>
      <c r="AE68" s="9" t="s">
        <v>19</v>
      </c>
      <c r="AF68" s="10"/>
      <c r="AG68" s="10"/>
      <c r="AH68" s="10"/>
      <c r="AI68" s="10"/>
      <c r="AJ68" s="11"/>
      <c r="AL68" s="19"/>
      <c r="AM68" s="9" t="s">
        <v>19</v>
      </c>
      <c r="AN68" s="10">
        <f t="shared" ref="AN68:AP68" si="82">D68+K68+R68+Y68+AF68</f>
        <v>0</v>
      </c>
      <c r="AO68" s="10">
        <f t="shared" si="82"/>
        <v>0</v>
      </c>
      <c r="AP68" s="10">
        <f t="shared" si="82"/>
        <v>0</v>
      </c>
      <c r="AQ68" s="11">
        <f t="shared" si="77"/>
        <v>0</v>
      </c>
    </row>
    <row r="69">
      <c r="A69" s="19"/>
      <c r="B69" s="19"/>
      <c r="C69" s="26" t="s">
        <v>21</v>
      </c>
      <c r="D69" s="10"/>
      <c r="E69" s="10"/>
      <c r="F69" s="10"/>
      <c r="G69" s="10"/>
      <c r="H69" s="11"/>
      <c r="I69" s="19"/>
      <c r="J69" s="26" t="s">
        <v>21</v>
      </c>
      <c r="K69" s="10"/>
      <c r="L69" s="10"/>
      <c r="M69" s="10"/>
      <c r="N69" s="310"/>
      <c r="O69" s="11"/>
      <c r="P69" s="19"/>
      <c r="Q69" s="26" t="s">
        <v>21</v>
      </c>
      <c r="R69" s="10"/>
      <c r="S69" s="10"/>
      <c r="T69" s="10"/>
      <c r="U69" s="10"/>
      <c r="V69" s="11"/>
      <c r="W69" s="19"/>
      <c r="X69" s="26" t="s">
        <v>21</v>
      </c>
      <c r="Y69" s="10"/>
      <c r="Z69" s="10"/>
      <c r="AA69" s="10"/>
      <c r="AB69" s="310"/>
      <c r="AC69" s="11"/>
      <c r="AD69" s="19"/>
      <c r="AE69" s="26" t="s">
        <v>21</v>
      </c>
      <c r="AF69" s="10"/>
      <c r="AG69" s="10"/>
      <c r="AH69" s="10"/>
      <c r="AI69" s="10"/>
      <c r="AJ69" s="11"/>
      <c r="AL69" s="19"/>
      <c r="AM69" s="26" t="s">
        <v>21</v>
      </c>
      <c r="AN69" s="10">
        <f t="shared" ref="AN69:AP69" si="83">D69+K69+R69+Y69+AF69</f>
        <v>0</v>
      </c>
      <c r="AO69" s="10">
        <f t="shared" si="83"/>
        <v>0</v>
      </c>
      <c r="AP69" s="10">
        <f t="shared" si="83"/>
        <v>0</v>
      </c>
      <c r="AQ69" s="11">
        <f t="shared" si="77"/>
        <v>0</v>
      </c>
    </row>
    <row r="70">
      <c r="A70" s="19"/>
      <c r="B70" s="19"/>
      <c r="C70" s="28" t="s">
        <v>23</v>
      </c>
      <c r="D70" s="61">
        <f t="shared" ref="D70:H70" si="84">D62+D63+D64+D65+D66+D67+D68+D69</f>
        <v>0</v>
      </c>
      <c r="E70" s="30">
        <f t="shared" si="84"/>
        <v>0</v>
      </c>
      <c r="F70" s="36">
        <f t="shared" si="84"/>
        <v>0</v>
      </c>
      <c r="G70" s="40">
        <f t="shared" si="84"/>
        <v>0</v>
      </c>
      <c r="H70" s="33">
        <f t="shared" si="84"/>
        <v>0</v>
      </c>
      <c r="I70" s="19"/>
      <c r="J70" s="28" t="s">
        <v>23</v>
      </c>
      <c r="K70" s="29">
        <f t="shared" ref="K70:O70" si="85">K62+K63+K64+K65+K66+K67+K68+K69</f>
        <v>0</v>
      </c>
      <c r="L70" s="30">
        <f t="shared" si="85"/>
        <v>0</v>
      </c>
      <c r="M70" s="36">
        <f t="shared" si="85"/>
        <v>0</v>
      </c>
      <c r="N70" s="40">
        <f t="shared" si="85"/>
        <v>0</v>
      </c>
      <c r="O70" s="38">
        <f t="shared" si="85"/>
        <v>0</v>
      </c>
      <c r="P70" s="19"/>
      <c r="Q70" s="28" t="s">
        <v>23</v>
      </c>
      <c r="R70" s="29">
        <f t="shared" ref="R70:V70" si="86">R62+R63+R64+R65+R66+R67+R68+R69</f>
        <v>0</v>
      </c>
      <c r="S70" s="30">
        <f t="shared" si="86"/>
        <v>0</v>
      </c>
      <c r="T70" s="31">
        <f t="shared" si="86"/>
        <v>0</v>
      </c>
      <c r="U70" s="37">
        <f t="shared" si="86"/>
        <v>0</v>
      </c>
      <c r="V70" s="33">
        <f t="shared" si="86"/>
        <v>0</v>
      </c>
      <c r="W70" s="19"/>
      <c r="X70" s="28" t="s">
        <v>23</v>
      </c>
      <c r="Y70" s="298">
        <f t="shared" ref="Y70:AC70" si="87">Y62+Y63+Y64+Y65+Y66+Y67+Y68+Y69</f>
        <v>0</v>
      </c>
      <c r="Z70" s="30">
        <f t="shared" si="87"/>
        <v>0</v>
      </c>
      <c r="AA70" s="31">
        <f t="shared" si="87"/>
        <v>0</v>
      </c>
      <c r="AB70" s="37">
        <f t="shared" si="87"/>
        <v>0</v>
      </c>
      <c r="AC70" s="33">
        <f t="shared" si="87"/>
        <v>0</v>
      </c>
      <c r="AD70" s="19"/>
      <c r="AE70" s="28" t="s">
        <v>23</v>
      </c>
      <c r="AF70" s="29">
        <f t="shared" ref="AF70:AJ70" si="88">AF62+AF63+AF64+AF65+AF66+AF67+AF68+AF69</f>
        <v>0</v>
      </c>
      <c r="AG70" s="30">
        <f t="shared" si="88"/>
        <v>0</v>
      </c>
      <c r="AH70" s="31">
        <f t="shared" si="88"/>
        <v>0</v>
      </c>
      <c r="AI70" s="32">
        <f t="shared" si="88"/>
        <v>0</v>
      </c>
      <c r="AJ70" s="33">
        <f t="shared" si="88"/>
        <v>0</v>
      </c>
      <c r="AL70" s="19"/>
      <c r="AM70" s="28" t="s">
        <v>23</v>
      </c>
      <c r="AN70" s="41">
        <f t="shared" ref="AN70:AQ70" si="89">AN62+AN63+AN64+AN65+AN66+AN67+AN68+AN69</f>
        <v>0</v>
      </c>
      <c r="AO70" s="42">
        <f t="shared" si="89"/>
        <v>0</v>
      </c>
      <c r="AP70" s="43">
        <f t="shared" si="89"/>
        <v>0</v>
      </c>
      <c r="AQ70" s="44">
        <f t="shared" si="89"/>
        <v>0</v>
      </c>
    </row>
    <row r="71" hidden="1">
      <c r="A71" s="19"/>
      <c r="B71" s="19"/>
      <c r="C71" s="45" t="s">
        <v>24</v>
      </c>
      <c r="D71" s="50">
        <f>D70-E70</f>
        <v>0</v>
      </c>
      <c r="E71" s="47"/>
      <c r="F71" s="48"/>
      <c r="G71" s="51"/>
      <c r="H71" s="51"/>
      <c r="I71" s="19"/>
      <c r="J71" s="45" t="s">
        <v>24</v>
      </c>
      <c r="K71" s="50">
        <f>K70-L70</f>
        <v>0</v>
      </c>
      <c r="L71" s="47"/>
      <c r="M71" s="48"/>
      <c r="N71" s="51"/>
      <c r="O71" s="51"/>
      <c r="P71" s="19"/>
      <c r="Q71" s="45" t="s">
        <v>24</v>
      </c>
      <c r="R71" s="50">
        <f>R70-S70</f>
        <v>0</v>
      </c>
      <c r="S71" s="47"/>
      <c r="T71" s="48"/>
      <c r="U71" s="51"/>
      <c r="V71" s="51"/>
      <c r="W71" s="19"/>
      <c r="X71" s="45" t="s">
        <v>24</v>
      </c>
      <c r="Y71" s="50">
        <f>Y70-Z70</f>
        <v>0</v>
      </c>
      <c r="Z71" s="47"/>
      <c r="AA71" s="48"/>
      <c r="AB71" s="51"/>
      <c r="AC71" s="51"/>
      <c r="AD71" s="19"/>
      <c r="AE71" s="45" t="s">
        <v>24</v>
      </c>
      <c r="AF71" s="50">
        <f>AF70-AG70</f>
        <v>0</v>
      </c>
      <c r="AG71" s="47"/>
      <c r="AH71" s="48"/>
      <c r="AI71" s="51"/>
      <c r="AJ71" s="51"/>
      <c r="AL71" s="53"/>
      <c r="AM71" s="45" t="s">
        <v>25</v>
      </c>
      <c r="AN71" s="50">
        <f>AN70-AO70</f>
        <v>0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0</v>
      </c>
      <c r="E72" s="47"/>
      <c r="F72" s="48"/>
      <c r="G72" s="59"/>
      <c r="H72" s="51"/>
      <c r="I72" s="53"/>
      <c r="J72" s="56" t="s">
        <v>26</v>
      </c>
      <c r="K72" s="57">
        <f>M70-L70</f>
        <v>0</v>
      </c>
      <c r="L72" s="47"/>
      <c r="M72" s="48"/>
      <c r="N72" s="51"/>
      <c r="O72" s="51"/>
      <c r="P72" s="53"/>
      <c r="Q72" s="56" t="s">
        <v>26</v>
      </c>
      <c r="R72" s="57">
        <f>T70-S70</f>
        <v>0</v>
      </c>
      <c r="S72" s="47"/>
      <c r="T72" s="48"/>
      <c r="U72" s="51"/>
      <c r="V72" s="51"/>
      <c r="W72" s="53"/>
      <c r="X72" s="56" t="s">
        <v>26</v>
      </c>
      <c r="Y72" s="57">
        <f>AA70-Z70</f>
        <v>0</v>
      </c>
      <c r="Z72" s="47"/>
      <c r="AA72" s="48"/>
      <c r="AB72" s="59"/>
      <c r="AC72" s="51"/>
      <c r="AD72" s="53"/>
      <c r="AE72" s="56" t="s">
        <v>26</v>
      </c>
      <c r="AF72" s="57">
        <f>AH70-AG70</f>
        <v>0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45907.0</v>
      </c>
      <c r="C74" s="9" t="s">
        <v>10</v>
      </c>
      <c r="D74" s="10"/>
      <c r="E74" s="10"/>
      <c r="F74" s="10"/>
      <c r="G74" s="10"/>
      <c r="H74" s="11"/>
      <c r="I74" s="12">
        <v>45822.0</v>
      </c>
      <c r="J74" s="9"/>
      <c r="K74" s="10"/>
      <c r="L74" s="10"/>
      <c r="M74" s="10"/>
      <c r="N74" s="10"/>
      <c r="O74" s="11"/>
      <c r="P74" s="8">
        <v>45921.0</v>
      </c>
      <c r="Q74" s="9"/>
      <c r="R74" s="10"/>
      <c r="S74" s="10"/>
      <c r="T74" s="10"/>
      <c r="U74" s="10"/>
      <c r="V74" s="11"/>
      <c r="W74" s="8">
        <v>45928.0</v>
      </c>
      <c r="X74" s="9"/>
      <c r="Y74" s="10"/>
      <c r="Z74" s="10"/>
      <c r="AA74" s="10"/>
      <c r="AB74" s="10"/>
      <c r="AC74" s="11"/>
      <c r="AD74" s="12"/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/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314" t="s">
        <v>276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/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/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/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/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/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22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0">D81+K81+R81+Y81+AF81</f>
        <v>0</v>
      </c>
      <c r="AO81" s="10">
        <f t="shared" si="90"/>
        <v>0</v>
      </c>
      <c r="AP81" s="10">
        <f t="shared" si="90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1">D74+D75+D76+D77+D78+D79+D80+D81</f>
        <v>0</v>
      </c>
      <c r="E82" s="30">
        <f t="shared" si="91"/>
        <v>0</v>
      </c>
      <c r="F82" s="31">
        <f t="shared" si="91"/>
        <v>0</v>
      </c>
      <c r="G82" s="32">
        <f t="shared" si="91"/>
        <v>0</v>
      </c>
      <c r="H82" s="33">
        <f t="shared" si="91"/>
        <v>0</v>
      </c>
      <c r="I82" s="19"/>
      <c r="J82" s="28" t="s">
        <v>23</v>
      </c>
      <c r="K82" s="29">
        <f t="shared" ref="K82:O82" si="92">K74+K75+K76+K77+K78+K79+K80+K81</f>
        <v>0</v>
      </c>
      <c r="L82" s="30">
        <f t="shared" si="92"/>
        <v>0</v>
      </c>
      <c r="M82" s="31">
        <f t="shared" si="92"/>
        <v>0</v>
      </c>
      <c r="N82" s="32">
        <f t="shared" si="92"/>
        <v>0</v>
      </c>
      <c r="O82" s="33">
        <f t="shared" si="92"/>
        <v>0</v>
      </c>
      <c r="P82" s="19"/>
      <c r="Q82" s="28" t="s">
        <v>23</v>
      </c>
      <c r="R82" s="29">
        <f t="shared" ref="R82:V82" si="93">R74+R75+R76+R77+R78+R79+R80+R81</f>
        <v>0</v>
      </c>
      <c r="S82" s="30">
        <f t="shared" si="93"/>
        <v>0</v>
      </c>
      <c r="T82" s="31">
        <f t="shared" si="93"/>
        <v>0</v>
      </c>
      <c r="U82" s="32">
        <f t="shared" si="93"/>
        <v>0</v>
      </c>
      <c r="V82" s="33">
        <f t="shared" si="93"/>
        <v>0</v>
      </c>
      <c r="W82" s="19"/>
      <c r="X82" s="28" t="s">
        <v>23</v>
      </c>
      <c r="Y82" s="29">
        <f t="shared" ref="Y82:AC82" si="94">Y74+Y75+Y76+Y77+Y78+Y79+Y80+Y81</f>
        <v>0</v>
      </c>
      <c r="Z82" s="30">
        <f t="shared" si="94"/>
        <v>0</v>
      </c>
      <c r="AA82" s="31">
        <f t="shared" si="94"/>
        <v>0</v>
      </c>
      <c r="AB82" s="32">
        <f t="shared" si="94"/>
        <v>0</v>
      </c>
      <c r="AC82" s="33">
        <f t="shared" si="94"/>
        <v>0</v>
      </c>
      <c r="AD82" s="19"/>
      <c r="AE82" s="28" t="s">
        <v>23</v>
      </c>
      <c r="AF82" s="29">
        <f t="shared" ref="AF82:AJ82" si="95">AF74+AF75+AF76+AF77+AF78+AF79+AF80+AF81</f>
        <v>0</v>
      </c>
      <c r="AG82" s="30">
        <f t="shared" si="95"/>
        <v>0</v>
      </c>
      <c r="AH82" s="31">
        <f t="shared" si="95"/>
        <v>0</v>
      </c>
      <c r="AI82" s="32">
        <f t="shared" si="95"/>
        <v>0</v>
      </c>
      <c r="AJ82" s="33">
        <f t="shared" si="95"/>
        <v>0</v>
      </c>
      <c r="AL82" s="19"/>
      <c r="AM82" s="28" t="s">
        <v>23</v>
      </c>
      <c r="AN82" s="41">
        <f t="shared" ref="AN82:AQ82" si="96">AN74+AN75+AN76+AN77+AN78+AN79+AN80+AN81</f>
        <v>0</v>
      </c>
      <c r="AO82" s="42">
        <f t="shared" si="96"/>
        <v>0</v>
      </c>
      <c r="AP82" s="43">
        <f t="shared" si="96"/>
        <v>0</v>
      </c>
      <c r="AQ82" s="44">
        <f t="shared" si="96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44</v>
      </c>
      <c r="D87" s="47"/>
      <c r="E87" s="47"/>
      <c r="F87" s="47"/>
      <c r="G87" s="47"/>
      <c r="H87" s="48"/>
      <c r="I87" s="76"/>
      <c r="J87" s="77" t="s">
        <v>44</v>
      </c>
      <c r="K87" s="47"/>
      <c r="L87" s="47"/>
      <c r="M87" s="47"/>
      <c r="N87" s="47"/>
      <c r="O87" s="48"/>
      <c r="P87" s="76"/>
      <c r="Q87" s="77" t="s">
        <v>44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45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0</v>
      </c>
      <c r="E88" s="47"/>
      <c r="F88" s="47"/>
      <c r="G88" s="47"/>
      <c r="H88" s="48"/>
      <c r="J88" s="9" t="s">
        <v>7</v>
      </c>
      <c r="K88" s="79">
        <f>K10+K22+K34+K46+K58+K70+K82</f>
        <v>0</v>
      </c>
      <c r="L88" s="47"/>
      <c r="M88" s="47"/>
      <c r="N88" s="47"/>
      <c r="O88" s="48"/>
      <c r="Q88" s="9" t="s">
        <v>7</v>
      </c>
      <c r="R88" s="79">
        <f>R10+R22+R34+R46+R58+R70+R82</f>
        <v>0</v>
      </c>
      <c r="S88" s="47"/>
      <c r="T88" s="47"/>
      <c r="U88" s="47"/>
      <c r="V88" s="48"/>
      <c r="X88" s="9" t="s">
        <v>7</v>
      </c>
      <c r="Y88" s="315">
        <f>Y10+Y22+Y34+Y46+Y58+Y70+Y82</f>
        <v>0</v>
      </c>
      <c r="Z88" s="47"/>
      <c r="AA88" s="47"/>
      <c r="AB88" s="47"/>
      <c r="AC88" s="48"/>
      <c r="AE88" s="9" t="s">
        <v>7</v>
      </c>
      <c r="AF88" s="79">
        <f>AF10+AF22+AF34+AF46+AF58+AF70+AF82</f>
        <v>0</v>
      </c>
      <c r="AG88" s="47"/>
      <c r="AH88" s="47"/>
      <c r="AI88" s="47"/>
      <c r="AJ88" s="48"/>
      <c r="AN88" s="55">
        <f t="array" ref="AN88">AN10+AN22+AN34+AN46+AN58+AN70</f>
        <v>0</v>
      </c>
      <c r="AP88" s="55">
        <f t="array" ref="AP88">AP10+AP22+AP34+AP46+AP58+AP70</f>
        <v>0</v>
      </c>
    </row>
    <row r="89">
      <c r="A89" s="78"/>
      <c r="C89" s="9" t="s">
        <v>3</v>
      </c>
      <c r="D89" s="80">
        <f>E10+E22+E34+E46+E58+E70+E82</f>
        <v>0</v>
      </c>
      <c r="E89" s="47"/>
      <c r="F89" s="47"/>
      <c r="G89" s="47"/>
      <c r="H89" s="48"/>
      <c r="J89" s="9" t="s">
        <v>3</v>
      </c>
      <c r="K89" s="80">
        <f>L10+L22+L34+L46+L58+L70+L82</f>
        <v>0</v>
      </c>
      <c r="L89" s="47"/>
      <c r="M89" s="47"/>
      <c r="N89" s="47"/>
      <c r="O89" s="48"/>
      <c r="Q89" s="9" t="s">
        <v>3</v>
      </c>
      <c r="R89" s="80">
        <f>S10+S22+S34+S46+S58+S70+S82</f>
        <v>0</v>
      </c>
      <c r="S89" s="47"/>
      <c r="T89" s="47"/>
      <c r="U89" s="47"/>
      <c r="V89" s="48"/>
      <c r="X89" s="9" t="s">
        <v>3</v>
      </c>
      <c r="Y89" s="80">
        <f>Z10+Z22+Z34+Z46+Z58+Z70+Z82</f>
        <v>0</v>
      </c>
      <c r="Z89" s="47"/>
      <c r="AA89" s="47"/>
      <c r="AB89" s="47"/>
      <c r="AC89" s="48"/>
      <c r="AE89" s="9" t="s">
        <v>3</v>
      </c>
      <c r="AF89" s="80">
        <f>AG10+AG22+AG34+AG46+AG58+AG70+AG82</f>
        <v>0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0</v>
      </c>
      <c r="E90" s="47"/>
      <c r="F90" s="47"/>
      <c r="G90" s="47"/>
      <c r="H90" s="48"/>
      <c r="J90" s="9" t="s">
        <v>46</v>
      </c>
      <c r="K90" s="81">
        <f>M10+M22+M34+M46+M58+M70+M82</f>
        <v>0</v>
      </c>
      <c r="L90" s="47"/>
      <c r="M90" s="47"/>
      <c r="N90" s="47"/>
      <c r="O90" s="48"/>
      <c r="Q90" s="9" t="s">
        <v>46</v>
      </c>
      <c r="R90" s="81">
        <f>T10+T22+T34+T46+T58+T70+T82</f>
        <v>0</v>
      </c>
      <c r="S90" s="47"/>
      <c r="T90" s="47"/>
      <c r="U90" s="47"/>
      <c r="V90" s="48"/>
      <c r="X90" s="9" t="s">
        <v>46</v>
      </c>
      <c r="Y90" s="81">
        <f>AA10+AA22+AA34+AA46+AA58+AA70+AA82</f>
        <v>0</v>
      </c>
      <c r="Z90" s="47"/>
      <c r="AA90" s="47"/>
      <c r="AB90" s="47"/>
      <c r="AC90" s="48"/>
      <c r="AE90" s="9" t="s">
        <v>46</v>
      </c>
      <c r="AF90" s="81">
        <f>AH10+AH22+AH34+AH46+AH58+AH70+AH82</f>
        <v>0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0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0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0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0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0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0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0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0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0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0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0</v>
      </c>
      <c r="E93" s="47"/>
      <c r="F93" s="47"/>
      <c r="G93" s="47"/>
      <c r="H93" s="48"/>
      <c r="J93" s="9" t="s">
        <v>49</v>
      </c>
      <c r="K93" s="84">
        <f t="array" ref="K93">O10+O22+O34+O46+O58+O70+O82</f>
        <v>0</v>
      </c>
      <c r="L93" s="47"/>
      <c r="M93" s="47"/>
      <c r="N93" s="47"/>
      <c r="O93" s="48"/>
      <c r="Q93" s="9" t="s">
        <v>49</v>
      </c>
      <c r="R93" s="84">
        <f t="array" ref="R93">V10+V22+V34+V46+V58+V70+V82</f>
        <v>0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0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0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7">D2+D14+D26+D38+D50+D62</f>
        <v>0</v>
      </c>
      <c r="E98" s="10">
        <f t="shared" si="97"/>
        <v>0</v>
      </c>
      <c r="F98" s="10">
        <f t="shared" si="97"/>
        <v>0</v>
      </c>
      <c r="G98" s="86">
        <f t="shared" ref="G98:G105" si="103">F98-E98</f>
        <v>0</v>
      </c>
      <c r="H98" s="87">
        <f t="shared" ref="H98:H104" si="104">H2+H14+H26+H38+H50+H62</f>
        <v>0</v>
      </c>
      <c r="J98" s="9" t="s">
        <v>10</v>
      </c>
      <c r="K98" s="85">
        <f t="shared" ref="K98:M98" si="98">K2+K14+K26+K38+K50+K62</f>
        <v>0</v>
      </c>
      <c r="L98" s="10">
        <f t="shared" si="98"/>
        <v>0</v>
      </c>
      <c r="M98" s="10">
        <f t="shared" si="98"/>
        <v>0</v>
      </c>
      <c r="N98" s="86">
        <f t="shared" ref="N98:N105" si="106">M98-L98</f>
        <v>0</v>
      </c>
      <c r="O98" s="87">
        <f t="shared" ref="O98:O104" si="107">O2+O14+O26+O38+O50+O62</f>
        <v>0</v>
      </c>
      <c r="Q98" s="9" t="s">
        <v>10</v>
      </c>
      <c r="R98" s="85">
        <f t="shared" ref="R98:T98" si="99">R2+R14+R26+R38+R50+R62</f>
        <v>0</v>
      </c>
      <c r="S98" s="10">
        <f t="shared" si="99"/>
        <v>0</v>
      </c>
      <c r="T98" s="10">
        <f t="shared" si="99"/>
        <v>0</v>
      </c>
      <c r="U98" s="86">
        <f t="shared" ref="U98:U105" si="109">T98-S98</f>
        <v>0</v>
      </c>
      <c r="V98" s="87">
        <f t="shared" ref="V98:V104" si="110">V2+V14+V26+V38+V50+V62</f>
        <v>0</v>
      </c>
      <c r="X98" s="9" t="s">
        <v>10</v>
      </c>
      <c r="Y98" s="85">
        <f t="shared" ref="Y98:AA98" si="100">Y2+Y14+Y26+Y38+Y50+Y62</f>
        <v>0</v>
      </c>
      <c r="Z98" s="10">
        <f t="shared" si="100"/>
        <v>0</v>
      </c>
      <c r="AA98" s="10">
        <f t="shared" si="100"/>
        <v>0</v>
      </c>
      <c r="AB98" s="86">
        <f t="shared" ref="AB98:AB105" si="112">AA98-Z98</f>
        <v>0</v>
      </c>
      <c r="AC98" s="87">
        <f t="shared" ref="AC98:AC104" si="113">AC2+AC14+AC26+AC38+AC50+AC62</f>
        <v>0</v>
      </c>
      <c r="AE98" s="9" t="s">
        <v>10</v>
      </c>
      <c r="AF98" s="85">
        <f t="shared" ref="AF98:AH98" si="101">AF2+AF14+AF26+AF38+AF50+AF62</f>
        <v>0</v>
      </c>
      <c r="AG98" s="10">
        <f t="shared" si="101"/>
        <v>0</v>
      </c>
      <c r="AH98" s="10">
        <f t="shared" si="101"/>
        <v>0</v>
      </c>
      <c r="AI98" s="86">
        <f t="shared" ref="AI98:AI105" si="115">AH98-AG98</f>
        <v>0</v>
      </c>
      <c r="AJ98" s="87">
        <f t="shared" ref="AJ98:AJ104" si="116">AJ2+AJ14+AJ26+AJ38+AJ50+AJ62</f>
        <v>0</v>
      </c>
    </row>
    <row r="99">
      <c r="C99" s="9" t="s">
        <v>12</v>
      </c>
      <c r="D99" s="85">
        <f t="shared" ref="D99:F99" si="102">D3+D15+D27+D39+D51+D63</f>
        <v>0</v>
      </c>
      <c r="E99" s="10">
        <f t="shared" si="102"/>
        <v>0</v>
      </c>
      <c r="F99" s="10">
        <f t="shared" si="102"/>
        <v>0</v>
      </c>
      <c r="G99" s="86">
        <f t="shared" si="103"/>
        <v>0</v>
      </c>
      <c r="H99" s="87">
        <f t="shared" si="104"/>
        <v>0</v>
      </c>
      <c r="J99" s="9" t="s">
        <v>12</v>
      </c>
      <c r="K99" s="85">
        <f t="shared" ref="K99:M99" si="105">K3+K15+K27+K39+K51+K63</f>
        <v>0</v>
      </c>
      <c r="L99" s="10">
        <f t="shared" si="105"/>
        <v>0</v>
      </c>
      <c r="M99" s="10">
        <f t="shared" si="105"/>
        <v>0</v>
      </c>
      <c r="N99" s="86">
        <f t="shared" si="106"/>
        <v>0</v>
      </c>
      <c r="O99" s="87">
        <f t="shared" si="107"/>
        <v>0</v>
      </c>
      <c r="Q99" s="9" t="s">
        <v>12</v>
      </c>
      <c r="R99" s="85">
        <f t="shared" ref="R99:T99" si="108">R3+R15+R27+R39+R51+R63</f>
        <v>0</v>
      </c>
      <c r="S99" s="10">
        <f t="shared" si="108"/>
        <v>0</v>
      </c>
      <c r="T99" s="10">
        <f t="shared" si="108"/>
        <v>0</v>
      </c>
      <c r="U99" s="86">
        <f t="shared" si="109"/>
        <v>0</v>
      </c>
      <c r="V99" s="87">
        <f t="shared" si="110"/>
        <v>0</v>
      </c>
      <c r="X99" s="9" t="s">
        <v>12</v>
      </c>
      <c r="Y99" s="85">
        <f t="shared" ref="Y99:AA99" si="111">Y3+Y15+Y27+Y39+Y51+Y63</f>
        <v>0</v>
      </c>
      <c r="Z99" s="10">
        <f t="shared" si="111"/>
        <v>0</v>
      </c>
      <c r="AA99" s="10">
        <f t="shared" si="111"/>
        <v>0</v>
      </c>
      <c r="AB99" s="86">
        <f t="shared" si="112"/>
        <v>0</v>
      </c>
      <c r="AC99" s="87">
        <f t="shared" si="113"/>
        <v>0</v>
      </c>
      <c r="AE99" s="9" t="s">
        <v>12</v>
      </c>
      <c r="AF99" s="85">
        <f t="shared" ref="AF99:AH99" si="114">AF3+AF15+AF27+AF39+AF51+AF63</f>
        <v>0</v>
      </c>
      <c r="AG99" s="10">
        <f t="shared" si="114"/>
        <v>0</v>
      </c>
      <c r="AH99" s="10">
        <f t="shared" si="114"/>
        <v>0</v>
      </c>
      <c r="AI99" s="86">
        <f t="shared" si="115"/>
        <v>0</v>
      </c>
      <c r="AJ99" s="87">
        <f t="shared" si="116"/>
        <v>0</v>
      </c>
    </row>
    <row r="100">
      <c r="C100" s="9" t="s">
        <v>14</v>
      </c>
      <c r="D100" s="85">
        <f t="shared" ref="D100:F100" si="117">D4+D16+D28+D40+D52+D64</f>
        <v>0</v>
      </c>
      <c r="E100" s="10">
        <f t="shared" si="117"/>
        <v>0</v>
      </c>
      <c r="F100" s="10">
        <f t="shared" si="117"/>
        <v>0</v>
      </c>
      <c r="G100" s="86">
        <f t="shared" si="103"/>
        <v>0</v>
      </c>
      <c r="H100" s="87">
        <f t="shared" si="104"/>
        <v>0</v>
      </c>
      <c r="J100" s="9" t="s">
        <v>14</v>
      </c>
      <c r="K100" s="85">
        <f t="shared" ref="K100:M100" si="118">K4+K16+K28+K40+K52+K64</f>
        <v>0</v>
      </c>
      <c r="L100" s="10">
        <f t="shared" si="118"/>
        <v>0</v>
      </c>
      <c r="M100" s="10">
        <f t="shared" si="118"/>
        <v>0</v>
      </c>
      <c r="N100" s="86">
        <f t="shared" si="106"/>
        <v>0</v>
      </c>
      <c r="O100" s="87">
        <f t="shared" si="107"/>
        <v>0</v>
      </c>
      <c r="Q100" s="9" t="s">
        <v>14</v>
      </c>
      <c r="R100" s="85">
        <f t="shared" ref="R100:T100" si="119">R4+R16+R28+R40+R52+R64</f>
        <v>0</v>
      </c>
      <c r="S100" s="10">
        <f t="shared" si="119"/>
        <v>0</v>
      </c>
      <c r="T100" s="10">
        <f t="shared" si="119"/>
        <v>0</v>
      </c>
      <c r="U100" s="86">
        <f t="shared" si="109"/>
        <v>0</v>
      </c>
      <c r="V100" s="87">
        <f t="shared" si="110"/>
        <v>0</v>
      </c>
      <c r="X100" s="9" t="s">
        <v>14</v>
      </c>
      <c r="Y100" s="85">
        <f t="shared" ref="Y100:AA100" si="120">Y4+Y16+Y28+Y40+Y52+Y64</f>
        <v>0</v>
      </c>
      <c r="Z100" s="10">
        <f t="shared" si="120"/>
        <v>0</v>
      </c>
      <c r="AA100" s="10">
        <f t="shared" si="120"/>
        <v>0</v>
      </c>
      <c r="AB100" s="86">
        <f t="shared" si="112"/>
        <v>0</v>
      </c>
      <c r="AC100" s="87">
        <f t="shared" si="113"/>
        <v>0</v>
      </c>
      <c r="AE100" s="9" t="s">
        <v>14</v>
      </c>
      <c r="AF100" s="85">
        <f t="shared" ref="AF100:AH100" si="121">AF4+AF16+AF28+AF40+AF52+AF64</f>
        <v>0</v>
      </c>
      <c r="AG100" s="10">
        <f t="shared" si="121"/>
        <v>0</v>
      </c>
      <c r="AH100" s="10">
        <f t="shared" si="121"/>
        <v>0</v>
      </c>
      <c r="AI100" s="86">
        <f t="shared" si="115"/>
        <v>0</v>
      </c>
      <c r="AJ100" s="87">
        <f t="shared" si="116"/>
        <v>0</v>
      </c>
    </row>
    <row r="101">
      <c r="C101" s="9" t="s">
        <v>16</v>
      </c>
      <c r="D101" s="85">
        <f t="shared" ref="D101:F101" si="122">D5+D17+D29+D41+D53+D65</f>
        <v>0</v>
      </c>
      <c r="E101" s="10">
        <f t="shared" si="122"/>
        <v>0</v>
      </c>
      <c r="F101" s="10">
        <f t="shared" si="122"/>
        <v>0</v>
      </c>
      <c r="G101" s="86">
        <f t="shared" si="103"/>
        <v>0</v>
      </c>
      <c r="H101" s="87">
        <f t="shared" si="104"/>
        <v>0</v>
      </c>
      <c r="J101" s="9" t="s">
        <v>16</v>
      </c>
      <c r="K101" s="85">
        <f t="shared" ref="K101:M101" si="123">K5+K17+K29+K41+K53+K65</f>
        <v>0</v>
      </c>
      <c r="L101" s="10">
        <f t="shared" si="123"/>
        <v>0</v>
      </c>
      <c r="M101" s="10">
        <f t="shared" si="123"/>
        <v>0</v>
      </c>
      <c r="N101" s="86">
        <f t="shared" si="106"/>
        <v>0</v>
      </c>
      <c r="O101" s="87">
        <f t="shared" si="107"/>
        <v>0</v>
      </c>
      <c r="Q101" s="9" t="s">
        <v>16</v>
      </c>
      <c r="R101" s="85">
        <f t="shared" ref="R101:T101" si="124">R5+R17+R29+R41+R53+R65</f>
        <v>0</v>
      </c>
      <c r="S101" s="10">
        <f t="shared" si="124"/>
        <v>0</v>
      </c>
      <c r="T101" s="10">
        <f t="shared" si="124"/>
        <v>0</v>
      </c>
      <c r="U101" s="86">
        <f t="shared" si="109"/>
        <v>0</v>
      </c>
      <c r="V101" s="87">
        <f t="shared" si="110"/>
        <v>0</v>
      </c>
      <c r="X101" s="9" t="s">
        <v>16</v>
      </c>
      <c r="Y101" s="85">
        <f t="shared" ref="Y101:AA101" si="125">Y5+Y17+Y29+Y41+Y53+Y65</f>
        <v>0</v>
      </c>
      <c r="Z101" s="10">
        <f t="shared" si="125"/>
        <v>0</v>
      </c>
      <c r="AA101" s="10">
        <f t="shared" si="125"/>
        <v>0</v>
      </c>
      <c r="AB101" s="86">
        <f t="shared" si="112"/>
        <v>0</v>
      </c>
      <c r="AC101" s="87">
        <f t="shared" si="113"/>
        <v>0</v>
      </c>
      <c r="AE101" s="9" t="s">
        <v>16</v>
      </c>
      <c r="AF101" s="85">
        <f t="shared" ref="AF101:AH101" si="126">AF5+AF17+AF29+AF41+AF53+AF65</f>
        <v>0</v>
      </c>
      <c r="AG101" s="10">
        <f t="shared" si="126"/>
        <v>0</v>
      </c>
      <c r="AH101" s="10">
        <f t="shared" si="126"/>
        <v>0</v>
      </c>
      <c r="AI101" s="86">
        <f t="shared" si="115"/>
        <v>0</v>
      </c>
      <c r="AJ101" s="87">
        <f t="shared" si="116"/>
        <v>0</v>
      </c>
    </row>
    <row r="102">
      <c r="C102" s="9" t="s">
        <v>17</v>
      </c>
      <c r="D102" s="85">
        <f t="shared" ref="D102:F102" si="127">D6+D18+D30+D42+D54+D66</f>
        <v>0</v>
      </c>
      <c r="E102" s="10">
        <f t="shared" si="127"/>
        <v>0</v>
      </c>
      <c r="F102" s="10">
        <f t="shared" si="127"/>
        <v>0</v>
      </c>
      <c r="G102" s="86">
        <f t="shared" si="103"/>
        <v>0</v>
      </c>
      <c r="H102" s="87">
        <f t="shared" si="104"/>
        <v>0</v>
      </c>
      <c r="J102" s="9" t="s">
        <v>17</v>
      </c>
      <c r="K102" s="85">
        <f t="shared" ref="K102:M102" si="128">K6+K18+K30+K42+K54+K66</f>
        <v>0</v>
      </c>
      <c r="L102" s="10">
        <f t="shared" si="128"/>
        <v>0</v>
      </c>
      <c r="M102" s="10">
        <f t="shared" si="128"/>
        <v>0</v>
      </c>
      <c r="N102" s="86">
        <f t="shared" si="106"/>
        <v>0</v>
      </c>
      <c r="O102" s="87">
        <f t="shared" si="107"/>
        <v>0</v>
      </c>
      <c r="Q102" s="9" t="s">
        <v>17</v>
      </c>
      <c r="R102" s="85">
        <f t="shared" ref="R102:T102" si="129">R6+R18+R30+R42+R54+R66</f>
        <v>0</v>
      </c>
      <c r="S102" s="10">
        <f t="shared" si="129"/>
        <v>0</v>
      </c>
      <c r="T102" s="10">
        <f t="shared" si="129"/>
        <v>0</v>
      </c>
      <c r="U102" s="86">
        <f t="shared" si="109"/>
        <v>0</v>
      </c>
      <c r="V102" s="87">
        <f t="shared" si="110"/>
        <v>0</v>
      </c>
      <c r="X102" s="9" t="s">
        <v>17</v>
      </c>
      <c r="Y102" s="85">
        <f t="shared" ref="Y102:AA102" si="130">Y6+Y18+Y30+Y42+Y54+Y66</f>
        <v>0</v>
      </c>
      <c r="Z102" s="10">
        <f t="shared" si="130"/>
        <v>0</v>
      </c>
      <c r="AA102" s="10">
        <f t="shared" si="130"/>
        <v>0</v>
      </c>
      <c r="AB102" s="86">
        <f t="shared" si="112"/>
        <v>0</v>
      </c>
      <c r="AC102" s="87">
        <f t="shared" si="113"/>
        <v>0</v>
      </c>
      <c r="AE102" s="9" t="s">
        <v>17</v>
      </c>
      <c r="AF102" s="85">
        <f t="shared" ref="AF102:AH102" si="131">AF6+AF18+AF30+AF42+AF54+AF66</f>
        <v>0</v>
      </c>
      <c r="AG102" s="10">
        <f t="shared" si="131"/>
        <v>0</v>
      </c>
      <c r="AH102" s="10">
        <f t="shared" si="131"/>
        <v>0</v>
      </c>
      <c r="AI102" s="86">
        <f t="shared" si="115"/>
        <v>0</v>
      </c>
      <c r="AJ102" s="87">
        <f t="shared" si="116"/>
        <v>0</v>
      </c>
    </row>
    <row r="103">
      <c r="C103" s="9" t="s">
        <v>18</v>
      </c>
      <c r="D103" s="85">
        <f t="shared" ref="D103:F103" si="132">D7+D19+D31+D43+D55+D67</f>
        <v>0</v>
      </c>
      <c r="E103" s="85">
        <f t="shared" si="132"/>
        <v>0</v>
      </c>
      <c r="F103" s="85">
        <f t="shared" si="132"/>
        <v>0</v>
      </c>
      <c r="G103" s="86">
        <f t="shared" si="103"/>
        <v>0</v>
      </c>
      <c r="H103" s="87">
        <f t="shared" si="104"/>
        <v>0</v>
      </c>
      <c r="J103" s="9" t="s">
        <v>18</v>
      </c>
      <c r="K103" s="85">
        <f t="shared" ref="K103:M103" si="133">K7+K19+K31+K43+K55+K67</f>
        <v>0</v>
      </c>
      <c r="L103" s="85">
        <f t="shared" si="133"/>
        <v>0</v>
      </c>
      <c r="M103" s="85">
        <f t="shared" si="133"/>
        <v>0</v>
      </c>
      <c r="N103" s="86">
        <f t="shared" si="106"/>
        <v>0</v>
      </c>
      <c r="O103" s="87">
        <f t="shared" si="107"/>
        <v>0</v>
      </c>
      <c r="Q103" s="9" t="s">
        <v>18</v>
      </c>
      <c r="R103" s="85">
        <f t="shared" ref="R103:T103" si="134">R7+R19+R31+R43+R55+R67</f>
        <v>0</v>
      </c>
      <c r="S103" s="85">
        <f t="shared" si="134"/>
        <v>0</v>
      </c>
      <c r="T103" s="85">
        <f t="shared" si="134"/>
        <v>0</v>
      </c>
      <c r="U103" s="86">
        <f t="shared" si="109"/>
        <v>0</v>
      </c>
      <c r="V103" s="87">
        <f t="shared" si="110"/>
        <v>0</v>
      </c>
      <c r="X103" s="9" t="s">
        <v>18</v>
      </c>
      <c r="Y103" s="85">
        <f t="shared" ref="Y103:AA103" si="135">Y7+Y19+Y31+Y43+Y55+Y67</f>
        <v>0</v>
      </c>
      <c r="Z103" s="85">
        <f t="shared" si="135"/>
        <v>0</v>
      </c>
      <c r="AA103" s="85">
        <f t="shared" si="135"/>
        <v>0</v>
      </c>
      <c r="AB103" s="86">
        <f t="shared" si="112"/>
        <v>0</v>
      </c>
      <c r="AC103" s="87">
        <f t="shared" si="113"/>
        <v>0</v>
      </c>
      <c r="AE103" s="9" t="s">
        <v>18</v>
      </c>
      <c r="AF103" s="85">
        <f t="shared" ref="AF103:AH103" si="136">AF7+AF19+AF31+AF43+AF55+AF67</f>
        <v>0</v>
      </c>
      <c r="AG103" s="85">
        <f t="shared" si="136"/>
        <v>0</v>
      </c>
      <c r="AH103" s="85">
        <f t="shared" si="136"/>
        <v>0</v>
      </c>
      <c r="AI103" s="86">
        <f t="shared" si="115"/>
        <v>0</v>
      </c>
      <c r="AJ103" s="87">
        <f t="shared" si="116"/>
        <v>0</v>
      </c>
    </row>
    <row r="104">
      <c r="C104" s="9" t="s">
        <v>19</v>
      </c>
      <c r="D104" s="85">
        <f t="shared" ref="D104:F104" si="137">D8+D20+D32+D44+D56+D68</f>
        <v>0</v>
      </c>
      <c r="E104" s="10">
        <f t="shared" si="137"/>
        <v>0</v>
      </c>
      <c r="F104" s="10">
        <f t="shared" si="137"/>
        <v>0</v>
      </c>
      <c r="G104" s="86">
        <f t="shared" si="103"/>
        <v>0</v>
      </c>
      <c r="H104" s="87">
        <f t="shared" si="104"/>
        <v>0</v>
      </c>
      <c r="J104" s="9" t="s">
        <v>19</v>
      </c>
      <c r="K104" s="85">
        <f t="shared" ref="K104:M104" si="138">K8+K20+K32+K44+K56+K68</f>
        <v>0</v>
      </c>
      <c r="L104" s="10">
        <f t="shared" si="138"/>
        <v>0</v>
      </c>
      <c r="M104" s="10">
        <f t="shared" si="138"/>
        <v>0</v>
      </c>
      <c r="N104" s="86">
        <f t="shared" si="106"/>
        <v>0</v>
      </c>
      <c r="O104" s="87">
        <f t="shared" si="107"/>
        <v>0</v>
      </c>
      <c r="Q104" s="9" t="s">
        <v>19</v>
      </c>
      <c r="R104" s="85">
        <f t="shared" ref="R104:T104" si="139">R8+R20+R32+R44+R56+R68</f>
        <v>0</v>
      </c>
      <c r="S104" s="10">
        <f t="shared" si="139"/>
        <v>0</v>
      </c>
      <c r="T104" s="10">
        <f t="shared" si="139"/>
        <v>0</v>
      </c>
      <c r="U104" s="86">
        <f t="shared" si="109"/>
        <v>0</v>
      </c>
      <c r="V104" s="87">
        <f t="shared" si="110"/>
        <v>0</v>
      </c>
      <c r="X104" s="9" t="s">
        <v>19</v>
      </c>
      <c r="Y104" s="85">
        <f t="shared" ref="Y104:AA104" si="140">Y8+Y20+Y32+Y44+Y56+Y68</f>
        <v>0</v>
      </c>
      <c r="Z104" s="10">
        <f t="shared" si="140"/>
        <v>0</v>
      </c>
      <c r="AA104" s="10">
        <f t="shared" si="140"/>
        <v>0</v>
      </c>
      <c r="AB104" s="86">
        <f t="shared" si="112"/>
        <v>0</v>
      </c>
      <c r="AC104" s="87">
        <f t="shared" si="113"/>
        <v>0</v>
      </c>
      <c r="AE104" s="9" t="s">
        <v>19</v>
      </c>
      <c r="AF104" s="85">
        <f t="shared" ref="AF104:AH104" si="141">AF8+AF20+AF32+AF44+AF56+AF68</f>
        <v>0</v>
      </c>
      <c r="AG104" s="10">
        <f t="shared" si="141"/>
        <v>0</v>
      </c>
      <c r="AH104" s="10">
        <f t="shared" si="141"/>
        <v>0</v>
      </c>
      <c r="AI104" s="86">
        <f t="shared" si="115"/>
        <v>0</v>
      </c>
      <c r="AJ104" s="87">
        <f t="shared" si="116"/>
        <v>0</v>
      </c>
    </row>
    <row r="105">
      <c r="C105" s="26" t="s">
        <v>21</v>
      </c>
      <c r="D105" s="85">
        <f t="shared" ref="D105:F105" si="142">D9+D21+D33+D45+D57+D69+D81</f>
        <v>0</v>
      </c>
      <c r="E105" s="10">
        <f t="shared" si="142"/>
        <v>0</v>
      </c>
      <c r="F105" s="10">
        <f t="shared" si="142"/>
        <v>0</v>
      </c>
      <c r="G105" s="86">
        <f t="shared" si="103"/>
        <v>0</v>
      </c>
      <c r="H105" s="87">
        <f>H9+H21+H33+H45+H57+H69+H81</f>
        <v>0</v>
      </c>
      <c r="J105" s="26" t="s">
        <v>21</v>
      </c>
      <c r="K105" s="85">
        <f t="shared" ref="K105:M105" si="143">K9+K21+K33+K45+K57+K69+K81</f>
        <v>0</v>
      </c>
      <c r="L105" s="10">
        <f t="shared" si="143"/>
        <v>0</v>
      </c>
      <c r="M105" s="10">
        <f t="shared" si="143"/>
        <v>0</v>
      </c>
      <c r="N105" s="86">
        <f t="shared" si="106"/>
        <v>0</v>
      </c>
      <c r="O105" s="87">
        <f>O9+O21+O33+O45+O57+O69+O81</f>
        <v>0</v>
      </c>
      <c r="Q105" s="26" t="s">
        <v>21</v>
      </c>
      <c r="R105" s="85">
        <f t="shared" ref="R105:T105" si="144">R9+R21+R33+R45+R57+R69+R81</f>
        <v>0</v>
      </c>
      <c r="S105" s="10">
        <f t="shared" si="144"/>
        <v>0</v>
      </c>
      <c r="T105" s="10">
        <f t="shared" si="144"/>
        <v>0</v>
      </c>
      <c r="U105" s="86">
        <f t="shared" si="109"/>
        <v>0</v>
      </c>
      <c r="V105" s="87">
        <f>V9+V21+V33+V45+V57+V69+V81</f>
        <v>0</v>
      </c>
      <c r="X105" s="26" t="s">
        <v>21</v>
      </c>
      <c r="Y105" s="85">
        <f t="shared" ref="Y105:AA105" si="145">Y9+Y21+Y33+Y45+Y57+Y69+Y81</f>
        <v>0</v>
      </c>
      <c r="Z105" s="10">
        <f t="shared" si="145"/>
        <v>0</v>
      </c>
      <c r="AA105" s="10">
        <f t="shared" si="145"/>
        <v>0</v>
      </c>
      <c r="AB105" s="86">
        <f t="shared" si="112"/>
        <v>0</v>
      </c>
      <c r="AC105" s="87">
        <f>AC9+AC21+AC33+AC45+AC57+AC69+AC81</f>
        <v>0</v>
      </c>
      <c r="AE105" s="26" t="s">
        <v>21</v>
      </c>
      <c r="AF105" s="85">
        <f t="shared" ref="AF105:AH105" si="146">AF9+AF21+AF33+AF45+AF57+AF69+AF81</f>
        <v>0</v>
      </c>
      <c r="AG105" s="10">
        <f t="shared" si="146"/>
        <v>0</v>
      </c>
      <c r="AH105" s="10">
        <f t="shared" si="146"/>
        <v>0</v>
      </c>
      <c r="AI105" s="86">
        <f t="shared" si="115"/>
        <v>0</v>
      </c>
      <c r="AJ105" s="87">
        <f>AJ9+AJ21+AJ33+AJ45+AJ57+AJ69+AJ81</f>
        <v>0</v>
      </c>
    </row>
    <row r="106">
      <c r="C106" s="88" t="s">
        <v>57</v>
      </c>
      <c r="D106" s="41">
        <f t="array" ref="D106">D98+D99+D100+D101+D102+D103+D104+D105</f>
        <v>0</v>
      </c>
      <c r="E106" s="42">
        <f t="array" ref="E106">E98+E99+E100+E101+E102+E103+E104+E105</f>
        <v>0</v>
      </c>
      <c r="F106" s="43">
        <f t="array" ref="F106">F98+F99+F100+F101+F102+F103+F104+F105</f>
        <v>0</v>
      </c>
      <c r="G106" s="89">
        <f t="array" ref="G106">G98+G99+G100+G101+G102+G103+G104+G105</f>
        <v>0</v>
      </c>
      <c r="H106" s="44">
        <f t="array" ref="H106">H98+H99+H100+H101+H102+H103+H104+H105</f>
        <v>0</v>
      </c>
      <c r="J106" s="88" t="s">
        <v>57</v>
      </c>
      <c r="K106" s="41">
        <f t="array" ref="K106">K98+K99+K100+K101+K102+K103+K104+K105</f>
        <v>0</v>
      </c>
      <c r="L106" s="42">
        <f t="array" ref="L106">L98+L99+L100+L101+L102+L103+L104+L105</f>
        <v>0</v>
      </c>
      <c r="M106" s="43">
        <f t="array" ref="M106">M98+M99+M100+M101+M102+M103+M104+M105</f>
        <v>0</v>
      </c>
      <c r="N106" s="89">
        <f t="array" ref="N106">N98+N99+N100+N101+N102+N103+N104+N105</f>
        <v>0</v>
      </c>
      <c r="O106" s="44">
        <f t="array" ref="O106">O98+O99+O100+O101+O102+O103+O104+O105</f>
        <v>0</v>
      </c>
      <c r="Q106" s="88" t="s">
        <v>57</v>
      </c>
      <c r="R106" s="41">
        <f t="array" ref="R106">R98+R99+R100+R101+R102+R103+R104+R105</f>
        <v>0</v>
      </c>
      <c r="S106" s="42">
        <f t="array" ref="S106">S98+S99+S100+S101+S102+S103+S104+S105</f>
        <v>0</v>
      </c>
      <c r="T106" s="43">
        <f t="array" ref="T106">T98+T99+T100+T101+T102+T103+T104+T105</f>
        <v>0</v>
      </c>
      <c r="U106" s="89">
        <f t="array" ref="U106">U98+U99+U100+U101+U102+U103+U104+U105</f>
        <v>0</v>
      </c>
      <c r="V106" s="44">
        <f t="array" ref="V106">V98+V99+V100+V101+V102+V103+V104+V105</f>
        <v>0</v>
      </c>
      <c r="X106" s="88" t="s">
        <v>57</v>
      </c>
      <c r="Y106" s="41">
        <f t="array" ref="Y106">Y98+Y99+Y100+Y101+Y102+Y103+Y104+Y105</f>
        <v>0</v>
      </c>
      <c r="Z106" s="42">
        <f t="array" ref="Z106">Z98+Z99+Z100+Z101+Z102+Z103+Z104+Z105</f>
        <v>0</v>
      </c>
      <c r="AA106" s="43">
        <f t="array" ref="AA106">AA98+AA99+AA100+AA101+AA102+AA103+AA104+AA105</f>
        <v>0</v>
      </c>
      <c r="AB106" s="89">
        <f t="array" ref="AB106">AB98+AB99+AB100+AB101+AB102+AB103+AB104+AB105</f>
        <v>0</v>
      </c>
      <c r="AC106" s="44">
        <f t="array" ref="AC106">AC98+AC99+AC100+AC101+AC102+AC103+AC104+AC105</f>
        <v>0</v>
      </c>
      <c r="AE106" s="88" t="s">
        <v>57</v>
      </c>
      <c r="AF106" s="41">
        <f t="array" ref="AF106">AF98+AF99+AF100+AF101+AF102+AF103+AF104+AF105</f>
        <v>0</v>
      </c>
      <c r="AG106" s="42">
        <f t="array" ref="AG106">AG98+AG99+AG100+AG101+AG102+AG103+AG104+AG105</f>
        <v>0</v>
      </c>
      <c r="AH106" s="43">
        <f t="array" ref="AH106">AH98+AH99+AH100+AH101+AH102+AH103+AH104+AH105</f>
        <v>0</v>
      </c>
      <c r="AI106" s="89">
        <f t="array" ref="AI106">AI98+AI99+AI100+AI101+AI102+AI103+AI104+AI105</f>
        <v>0</v>
      </c>
      <c r="AJ106" s="44">
        <f t="array" ref="AJ106">AJ98+AJ99+AJ100+AJ101+AJ102+AJ103+AJ104+AJ105</f>
        <v>0</v>
      </c>
    </row>
    <row r="107">
      <c r="A107" s="55"/>
      <c r="B107" s="55"/>
      <c r="C107" s="90" t="s">
        <v>58</v>
      </c>
      <c r="D107" s="91">
        <f t="shared" ref="D107:H107" si="147">D106/6</f>
        <v>0</v>
      </c>
      <c r="E107" s="92">
        <f t="shared" si="147"/>
        <v>0</v>
      </c>
      <c r="F107" s="93">
        <f t="shared" si="147"/>
        <v>0</v>
      </c>
      <c r="G107" s="89">
        <f t="shared" si="147"/>
        <v>0</v>
      </c>
      <c r="H107" s="94">
        <f t="shared" si="147"/>
        <v>0</v>
      </c>
      <c r="I107" s="55"/>
      <c r="J107" s="90" t="s">
        <v>58</v>
      </c>
      <c r="K107" s="91">
        <f t="shared" ref="K107:O107" si="148">K106/6</f>
        <v>0</v>
      </c>
      <c r="L107" s="92">
        <f t="shared" si="148"/>
        <v>0</v>
      </c>
      <c r="M107" s="93">
        <f t="shared" si="148"/>
        <v>0</v>
      </c>
      <c r="N107" s="89">
        <f t="shared" si="148"/>
        <v>0</v>
      </c>
      <c r="O107" s="94">
        <f t="shared" si="148"/>
        <v>0</v>
      </c>
      <c r="P107" s="55"/>
      <c r="Q107" s="90" t="s">
        <v>58</v>
      </c>
      <c r="R107" s="91">
        <f t="shared" ref="R107:V107" si="149">R106/6</f>
        <v>0</v>
      </c>
      <c r="S107" s="92">
        <f t="shared" si="149"/>
        <v>0</v>
      </c>
      <c r="T107" s="93">
        <f t="shared" si="149"/>
        <v>0</v>
      </c>
      <c r="U107" s="89">
        <f t="shared" si="149"/>
        <v>0</v>
      </c>
      <c r="V107" s="94">
        <f t="shared" si="149"/>
        <v>0</v>
      </c>
      <c r="W107" s="55"/>
      <c r="X107" s="90" t="s">
        <v>58</v>
      </c>
      <c r="Y107" s="91">
        <f t="shared" ref="Y107:AC107" si="150">Y106/6</f>
        <v>0</v>
      </c>
      <c r="Z107" s="92">
        <f t="shared" si="150"/>
        <v>0</v>
      </c>
      <c r="AA107" s="93">
        <f t="shared" si="150"/>
        <v>0</v>
      </c>
      <c r="AB107" s="89">
        <f t="shared" si="150"/>
        <v>0</v>
      </c>
      <c r="AC107" s="94">
        <f t="shared" si="150"/>
        <v>0</v>
      </c>
      <c r="AD107" s="55"/>
      <c r="AE107" s="90" t="s">
        <v>58</v>
      </c>
      <c r="AF107" s="91">
        <f t="shared" ref="AF107:AJ107" si="151">AF106/6</f>
        <v>0</v>
      </c>
      <c r="AG107" s="92">
        <f t="shared" si="151"/>
        <v>0</v>
      </c>
      <c r="AH107" s="93">
        <f t="shared" si="151"/>
        <v>0</v>
      </c>
      <c r="AI107" s="89">
        <f t="shared" si="151"/>
        <v>0</v>
      </c>
      <c r="AJ107" s="94">
        <f t="shared" si="151"/>
        <v>0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L124" s="96">
        <v>45930.0</v>
      </c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Q126" s="78" t="s">
        <v>271</v>
      </c>
      <c r="V126" s="55"/>
      <c r="AC126" s="55"/>
      <c r="AJ126" s="55"/>
    </row>
    <row r="127">
      <c r="C127" s="9" t="s">
        <v>10</v>
      </c>
      <c r="D127" s="100">
        <f t="shared" ref="D127:H127" si="152">D98+K98+R98+Y98+AF98</f>
        <v>0</v>
      </c>
      <c r="E127" s="101">
        <f t="shared" si="152"/>
        <v>0</v>
      </c>
      <c r="F127" s="102">
        <f t="shared" si="152"/>
        <v>0</v>
      </c>
      <c r="G127" s="86">
        <f t="shared" si="152"/>
        <v>0</v>
      </c>
      <c r="H127" s="103">
        <f t="shared" si="152"/>
        <v>0</v>
      </c>
      <c r="I127" s="104" t="s">
        <v>71</v>
      </c>
      <c r="J127" s="105">
        <f t="shared" ref="J127:J134" si="154">D98+K98+R98+Y98+AF98</f>
        <v>0</v>
      </c>
      <c r="K127" s="105"/>
      <c r="L127" s="106"/>
      <c r="M127" s="107">
        <f t="shared" ref="M127:M134" si="155">J127/26</f>
        <v>0</v>
      </c>
      <c r="N127" s="107">
        <f t="shared" ref="N127:N134" si="156">(M127*0)+J127</f>
        <v>0</v>
      </c>
      <c r="O127" s="55"/>
      <c r="Q127" s="245">
        <f t="shared" ref="Q127:Q128" si="157">N127-K127</f>
        <v>0</v>
      </c>
      <c r="V127" s="55"/>
      <c r="AC127" s="55"/>
      <c r="AJ127" s="55"/>
    </row>
    <row r="128">
      <c r="C128" s="9" t="s">
        <v>12</v>
      </c>
      <c r="D128" s="100">
        <f t="shared" ref="D128:H128" si="153">D99+K99+R99+Y99+AF99</f>
        <v>0</v>
      </c>
      <c r="E128" s="101">
        <f t="shared" si="153"/>
        <v>0</v>
      </c>
      <c r="F128" s="102">
        <f t="shared" si="153"/>
        <v>0</v>
      </c>
      <c r="G128" s="86">
        <f t="shared" si="153"/>
        <v>0</v>
      </c>
      <c r="H128" s="103">
        <f t="shared" si="153"/>
        <v>0</v>
      </c>
      <c r="I128" s="104" t="s">
        <v>72</v>
      </c>
      <c r="J128" s="105">
        <f t="shared" si="154"/>
        <v>0</v>
      </c>
      <c r="K128" s="105"/>
      <c r="L128" s="9"/>
      <c r="M128" s="107">
        <f t="shared" si="155"/>
        <v>0</v>
      </c>
      <c r="N128" s="107">
        <f t="shared" si="156"/>
        <v>0</v>
      </c>
      <c r="O128" s="55"/>
      <c r="Q128" s="245">
        <f t="shared" si="157"/>
        <v>0</v>
      </c>
      <c r="V128" s="55"/>
      <c r="AC128" s="55"/>
      <c r="AJ128" s="55"/>
    </row>
    <row r="129">
      <c r="C129" s="9" t="s">
        <v>79</v>
      </c>
      <c r="D129" s="100">
        <f t="shared" ref="D129:H129" si="158">D100+K100+R100+Y100+AF100</f>
        <v>0</v>
      </c>
      <c r="E129" s="101">
        <f t="shared" si="158"/>
        <v>0</v>
      </c>
      <c r="F129" s="102">
        <f t="shared" si="158"/>
        <v>0</v>
      </c>
      <c r="G129" s="86">
        <f t="shared" si="158"/>
        <v>0</v>
      </c>
      <c r="H129" s="103">
        <f t="shared" si="158"/>
        <v>0</v>
      </c>
      <c r="I129" s="104" t="s">
        <v>281</v>
      </c>
      <c r="J129" s="105">
        <f t="shared" si="154"/>
        <v>0</v>
      </c>
      <c r="K129" s="105"/>
      <c r="L129" s="9"/>
      <c r="M129" s="107">
        <f t="shared" si="155"/>
        <v>0</v>
      </c>
      <c r="N129" s="107">
        <f t="shared" si="156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59">D101+K101+R101+Y101+AF101</f>
        <v>0</v>
      </c>
      <c r="E130" s="101">
        <f t="shared" si="159"/>
        <v>0</v>
      </c>
      <c r="F130" s="102">
        <f t="shared" si="159"/>
        <v>0</v>
      </c>
      <c r="G130" s="86">
        <f t="shared" si="159"/>
        <v>0</v>
      </c>
      <c r="H130" s="103">
        <f t="shared" si="159"/>
        <v>0</v>
      </c>
      <c r="I130" s="104" t="s">
        <v>74</v>
      </c>
      <c r="J130" s="105">
        <f t="shared" si="154"/>
        <v>0</v>
      </c>
      <c r="K130" s="105"/>
      <c r="L130" s="106"/>
      <c r="M130" s="107">
        <f t="shared" si="155"/>
        <v>0</v>
      </c>
      <c r="N130" s="107">
        <f t="shared" si="156"/>
        <v>0</v>
      </c>
      <c r="O130" s="55"/>
      <c r="Q130" s="245">
        <f>N130-K130</f>
        <v>0</v>
      </c>
      <c r="V130" s="55"/>
      <c r="AC130" s="55"/>
      <c r="AJ130" s="55"/>
    </row>
    <row r="131">
      <c r="C131" s="9" t="s">
        <v>17</v>
      </c>
      <c r="D131" s="100">
        <f t="shared" ref="D131:H131" si="160">D102+K102+R102+Y102+AF102</f>
        <v>0</v>
      </c>
      <c r="E131" s="101">
        <f t="shared" si="160"/>
        <v>0</v>
      </c>
      <c r="F131" s="102">
        <f t="shared" si="160"/>
        <v>0</v>
      </c>
      <c r="G131" s="86">
        <f t="shared" si="160"/>
        <v>0</v>
      </c>
      <c r="H131" s="103">
        <f t="shared" si="160"/>
        <v>0</v>
      </c>
      <c r="I131" s="104" t="s">
        <v>75</v>
      </c>
      <c r="J131" s="105">
        <f t="shared" si="154"/>
        <v>0</v>
      </c>
      <c r="K131" s="105"/>
      <c r="L131" s="9"/>
      <c r="M131" s="107">
        <f t="shared" si="155"/>
        <v>0</v>
      </c>
      <c r="N131" s="107">
        <f t="shared" si="156"/>
        <v>0</v>
      </c>
      <c r="O131" s="55"/>
      <c r="Q131" s="245">
        <f>N131-K131-K129</f>
        <v>0</v>
      </c>
      <c r="V131" s="55"/>
      <c r="AC131" s="55"/>
      <c r="AJ131" s="55"/>
    </row>
    <row r="132">
      <c r="C132" s="9" t="s">
        <v>18</v>
      </c>
      <c r="D132" s="13">
        <f t="shared" ref="D132:H132" si="161">D103+K103+R103+Y103+AF103</f>
        <v>0</v>
      </c>
      <c r="E132" s="21">
        <f t="shared" si="161"/>
        <v>0</v>
      </c>
      <c r="F132" s="17">
        <f t="shared" si="161"/>
        <v>0</v>
      </c>
      <c r="G132" s="16">
        <f t="shared" si="161"/>
        <v>0</v>
      </c>
      <c r="H132" s="109">
        <f t="shared" si="161"/>
        <v>0</v>
      </c>
      <c r="I132" s="104" t="s">
        <v>76</v>
      </c>
      <c r="J132" s="105">
        <f t="shared" si="154"/>
        <v>0</v>
      </c>
      <c r="K132" s="105"/>
      <c r="L132" s="9"/>
      <c r="M132" s="107">
        <f t="shared" si="155"/>
        <v>0</v>
      </c>
      <c r="N132" s="107">
        <f t="shared" si="156"/>
        <v>0</v>
      </c>
      <c r="O132" s="55"/>
      <c r="Q132" s="245">
        <f t="shared" ref="Q132:Q134" si="163">N132-K132</f>
        <v>0</v>
      </c>
      <c r="V132" s="55"/>
      <c r="AC132" s="55"/>
      <c r="AJ132" s="55"/>
    </row>
    <row r="133">
      <c r="C133" s="9" t="s">
        <v>19</v>
      </c>
      <c r="D133" s="100">
        <f t="shared" ref="D133:H133" si="162">D104+K104+R104+Y104+AF104</f>
        <v>0</v>
      </c>
      <c r="E133" s="101">
        <f t="shared" si="162"/>
        <v>0</v>
      </c>
      <c r="F133" s="102">
        <f t="shared" si="162"/>
        <v>0</v>
      </c>
      <c r="G133" s="86">
        <f t="shared" si="162"/>
        <v>0</v>
      </c>
      <c r="H133" s="103">
        <f t="shared" si="162"/>
        <v>0</v>
      </c>
      <c r="I133" s="104" t="s">
        <v>77</v>
      </c>
      <c r="J133" s="105">
        <f t="shared" si="154"/>
        <v>0</v>
      </c>
      <c r="K133" s="105"/>
      <c r="L133" s="106"/>
      <c r="M133" s="107">
        <f t="shared" si="155"/>
        <v>0</v>
      </c>
      <c r="N133" s="107">
        <f t="shared" si="156"/>
        <v>0</v>
      </c>
      <c r="O133" s="55"/>
      <c r="Q133" s="245">
        <f t="shared" si="163"/>
        <v>0</v>
      </c>
      <c r="V133" s="55"/>
      <c r="AC133" s="55"/>
      <c r="AJ133" s="55"/>
    </row>
    <row r="134">
      <c r="C134" s="26" t="s">
        <v>22</v>
      </c>
      <c r="D134" s="100">
        <f t="shared" ref="D134:H134" si="164">D105+K105+R105+Y105+AF105</f>
        <v>0</v>
      </c>
      <c r="E134" s="101">
        <f t="shared" si="164"/>
        <v>0</v>
      </c>
      <c r="F134" s="102">
        <f t="shared" si="164"/>
        <v>0</v>
      </c>
      <c r="G134" s="86">
        <f t="shared" si="164"/>
        <v>0</v>
      </c>
      <c r="H134" s="103">
        <f t="shared" si="164"/>
        <v>0</v>
      </c>
      <c r="I134" s="104" t="s">
        <v>78</v>
      </c>
      <c r="J134" s="105">
        <f t="shared" si="154"/>
        <v>0</v>
      </c>
      <c r="K134" s="105"/>
      <c r="L134" s="106"/>
      <c r="M134" s="107">
        <f t="shared" si="155"/>
        <v>0</v>
      </c>
      <c r="N134" s="107">
        <f t="shared" si="156"/>
        <v>0</v>
      </c>
      <c r="O134" s="55"/>
      <c r="Q134" s="245">
        <f t="shared" si="163"/>
        <v>0</v>
      </c>
      <c r="V134" s="55"/>
      <c r="AC134" s="55"/>
      <c r="AJ134" s="55"/>
    </row>
    <row r="135">
      <c r="C135" s="78"/>
      <c r="I135" s="104" t="s">
        <v>79</v>
      </c>
      <c r="J135" s="105"/>
      <c r="K135" s="105"/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/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/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/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0</v>
      </c>
      <c r="K139" s="112">
        <f>SUM(K127+K128+K129+K130+K131+K132+K133+K134+K135+K136+K137+K138)</f>
        <v>0</v>
      </c>
      <c r="L139" s="113"/>
      <c r="M139" s="112">
        <f t="shared" ref="M139:N139" si="165">SUM(M127+M128+M129+M130+M131+M132+M133+M134)</f>
        <v>0</v>
      </c>
      <c r="N139" s="112">
        <f t="shared" si="165"/>
        <v>0</v>
      </c>
      <c r="O139" s="55"/>
      <c r="Q139" s="245">
        <f>Q127+Q128+Q130+Q131+Q132+Q133+Q134</f>
        <v>0</v>
      </c>
      <c r="R139" s="78" t="s">
        <v>272</v>
      </c>
      <c r="V139" s="55"/>
      <c r="AC139" s="55"/>
      <c r="AJ139" s="55"/>
    </row>
    <row r="140">
      <c r="O140" s="55"/>
      <c r="Q140" s="245">
        <f>K135+K136+K137+K138</f>
        <v>0</v>
      </c>
      <c r="R140" s="78" t="s">
        <v>274</v>
      </c>
      <c r="V140" s="55"/>
      <c r="AC140" s="55"/>
      <c r="AJ140" s="55"/>
    </row>
    <row r="141">
      <c r="O141" s="55"/>
      <c r="Q141" s="245">
        <f>Q139-Q140</f>
        <v>0</v>
      </c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0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0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0</v>
      </c>
      <c r="E144" s="47"/>
      <c r="F144" s="47"/>
      <c r="G144" s="47"/>
      <c r="H144" s="48"/>
      <c r="L144" s="97" t="s">
        <v>87</v>
      </c>
      <c r="M144" s="114">
        <f>J139+(M139*0)</f>
        <v>0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0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0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0</v>
      </c>
      <c r="E147" s="47"/>
      <c r="F147" s="47"/>
      <c r="G147" s="47"/>
      <c r="H147" s="48"/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0</v>
      </c>
      <c r="E148" s="47"/>
      <c r="F148" s="47"/>
      <c r="G148" s="47"/>
      <c r="H148" s="48"/>
      <c r="M148" s="245">
        <f>M144-219000</f>
        <v>-219000</v>
      </c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0</v>
      </c>
      <c r="E151" s="47"/>
      <c r="F151" s="47"/>
      <c r="G151" s="47"/>
      <c r="H151" s="48"/>
      <c r="O151" s="55"/>
      <c r="V151" s="55"/>
      <c r="AC151" s="55"/>
      <c r="AJ151" s="55"/>
    </row>
    <row r="152"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0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0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0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D143:G143/26</f>
        <v>0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29"/>
      <c r="Q203" s="9" t="s">
        <v>10</v>
      </c>
      <c r="R203" s="120"/>
      <c r="S203" s="49"/>
      <c r="T203" s="49"/>
      <c r="U203" s="49"/>
      <c r="V203" s="51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9">
        <v>202.0</v>
      </c>
      <c r="R204" s="122"/>
      <c r="S204" s="49"/>
      <c r="T204" s="49"/>
      <c r="U204" s="49"/>
      <c r="V204" s="51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9">
        <v>213.0</v>
      </c>
      <c r="R205" s="122"/>
      <c r="S205" s="49"/>
      <c r="T205" s="49"/>
      <c r="U205" s="49"/>
      <c r="V205" s="51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9">
        <v>307.0</v>
      </c>
      <c r="R206" s="122"/>
      <c r="S206" s="49"/>
      <c r="T206" s="49"/>
      <c r="U206" s="49"/>
      <c r="V206" s="51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9">
        <v>313.0</v>
      </c>
      <c r="R207" s="122"/>
      <c r="S207" s="49"/>
      <c r="T207" s="49"/>
      <c r="U207" s="49"/>
      <c r="V207" s="51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9" t="s">
        <v>19</v>
      </c>
      <c r="R208" s="122"/>
      <c r="S208" s="49"/>
      <c r="T208" s="49"/>
      <c r="U208" s="49"/>
      <c r="V208" s="51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9" t="s">
        <v>22</v>
      </c>
      <c r="R209" s="123"/>
      <c r="S209" s="48"/>
      <c r="T209" s="120"/>
      <c r="U209" s="49"/>
      <c r="V209" s="51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0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0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4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R209:S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2" t="s">
        <v>1</v>
      </c>
      <c r="Y1" s="4" t="s">
        <v>7</v>
      </c>
      <c r="Z1" s="2" t="s">
        <v>3</v>
      </c>
      <c r="AA1" s="2" t="s">
        <v>4</v>
      </c>
      <c r="AB1" s="2" t="s">
        <v>5</v>
      </c>
      <c r="AC1" s="5" t="s">
        <v>6</v>
      </c>
      <c r="AD1" s="2" t="s">
        <v>0</v>
      </c>
      <c r="AE1" s="2" t="s">
        <v>1</v>
      </c>
      <c r="AF1" s="4" t="s">
        <v>7</v>
      </c>
      <c r="AG1" s="2" t="s">
        <v>3</v>
      </c>
      <c r="AH1" s="2" t="s">
        <v>4</v>
      </c>
      <c r="AI1" s="2" t="s">
        <v>5</v>
      </c>
      <c r="AJ1" s="5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/>
      <c r="C2" s="9" t="s">
        <v>10</v>
      </c>
      <c r="D2" s="10"/>
      <c r="E2" s="10"/>
      <c r="F2" s="10"/>
      <c r="G2" s="10"/>
      <c r="H2" s="11"/>
      <c r="I2" s="12">
        <v>45936.0</v>
      </c>
      <c r="J2" s="9" t="s">
        <v>10</v>
      </c>
      <c r="K2" s="10"/>
      <c r="L2" s="10"/>
      <c r="M2" s="10"/>
      <c r="N2" s="10"/>
      <c r="O2" s="11"/>
      <c r="P2" s="12">
        <v>45943.0</v>
      </c>
      <c r="Q2" s="9" t="s">
        <v>282</v>
      </c>
      <c r="R2" s="10"/>
      <c r="S2" s="10"/>
      <c r="T2" s="10"/>
      <c r="U2" s="10"/>
      <c r="V2" s="11"/>
      <c r="W2" s="8">
        <v>45950.0</v>
      </c>
      <c r="X2" s="9" t="s">
        <v>10</v>
      </c>
      <c r="Y2" s="10"/>
      <c r="Z2" s="10"/>
      <c r="AA2" s="10"/>
      <c r="AB2" s="10"/>
      <c r="AC2" s="11"/>
      <c r="AD2" s="8">
        <v>45957.0</v>
      </c>
      <c r="AE2" s="9" t="s">
        <v>10</v>
      </c>
      <c r="AF2" s="10"/>
      <c r="AG2" s="10"/>
      <c r="AH2" s="10"/>
      <c r="AI2" s="10"/>
      <c r="AJ2" s="11"/>
      <c r="AL2" s="18" t="s">
        <v>11</v>
      </c>
      <c r="AM2" s="9" t="s">
        <v>10</v>
      </c>
      <c r="AN2" s="10">
        <f t="shared" ref="AN2:AP2" si="1">D2+K2+R2+Y2+AF2</f>
        <v>0</v>
      </c>
      <c r="AO2" s="10">
        <f t="shared" si="1"/>
        <v>0</v>
      </c>
      <c r="AP2" s="10">
        <f t="shared" si="1"/>
        <v>0</v>
      </c>
      <c r="AQ2" s="11">
        <f t="shared" ref="AQ2:AQ9" si="3">H2+O2+V2+AC2+AJ2</f>
        <v>0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9" t="s">
        <v>12</v>
      </c>
      <c r="K3" s="10"/>
      <c r="L3" s="10"/>
      <c r="M3" s="10"/>
      <c r="N3" s="10"/>
      <c r="O3" s="11"/>
      <c r="P3" s="19"/>
      <c r="Q3" s="9" t="s">
        <v>12</v>
      </c>
      <c r="R3" s="10"/>
      <c r="S3" s="10"/>
      <c r="T3" s="10"/>
      <c r="U3" s="10"/>
      <c r="V3" s="11"/>
      <c r="W3" s="19"/>
      <c r="X3" s="9" t="s">
        <v>12</v>
      </c>
      <c r="Y3" s="10"/>
      <c r="Z3" s="10"/>
      <c r="AA3" s="10"/>
      <c r="AB3" s="10"/>
      <c r="AC3" s="11"/>
      <c r="AD3" s="19"/>
      <c r="AE3" s="9" t="s">
        <v>12</v>
      </c>
      <c r="AF3" s="10"/>
      <c r="AG3" s="10"/>
      <c r="AH3" s="10"/>
      <c r="AI3" s="10"/>
      <c r="AJ3" s="11"/>
      <c r="AL3" s="19"/>
      <c r="AM3" s="9" t="s">
        <v>12</v>
      </c>
      <c r="AN3" s="10">
        <f t="shared" ref="AN3:AP3" si="2">D3+K3+R3+Y3+AF3</f>
        <v>0</v>
      </c>
      <c r="AO3" s="10">
        <f t="shared" si="2"/>
        <v>0</v>
      </c>
      <c r="AP3" s="10">
        <f t="shared" si="2"/>
        <v>0</v>
      </c>
      <c r="AQ3" s="11">
        <f t="shared" si="3"/>
        <v>0</v>
      </c>
    </row>
    <row r="4">
      <c r="B4" s="19"/>
      <c r="C4" s="314" t="s">
        <v>276</v>
      </c>
      <c r="D4" s="10"/>
      <c r="E4" s="10"/>
      <c r="F4" s="10"/>
      <c r="G4" s="10"/>
      <c r="H4" s="11"/>
      <c r="I4" s="19"/>
      <c r="J4" s="9" t="s">
        <v>276</v>
      </c>
      <c r="K4" s="291"/>
      <c r="L4" s="10"/>
      <c r="M4" s="10"/>
      <c r="N4" s="10"/>
      <c r="O4" s="11"/>
      <c r="P4" s="19"/>
      <c r="Q4" s="9" t="s">
        <v>276</v>
      </c>
      <c r="R4" s="10"/>
      <c r="S4" s="10"/>
      <c r="T4" s="10"/>
      <c r="U4" s="10"/>
      <c r="V4" s="11"/>
      <c r="W4" s="19"/>
      <c r="X4" s="9" t="s">
        <v>276</v>
      </c>
      <c r="Y4" s="10"/>
      <c r="Z4" s="10"/>
      <c r="AA4" s="10"/>
      <c r="AB4" s="10"/>
      <c r="AC4" s="11"/>
      <c r="AD4" s="19"/>
      <c r="AE4" s="9" t="s">
        <v>14</v>
      </c>
      <c r="AF4" s="10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10"/>
      <c r="H5" s="11"/>
      <c r="I5" s="19"/>
      <c r="J5" s="9" t="s">
        <v>16</v>
      </c>
      <c r="K5" s="10"/>
      <c r="L5" s="10"/>
      <c r="M5" s="10"/>
      <c r="N5" s="10"/>
      <c r="O5" s="11"/>
      <c r="P5" s="19"/>
      <c r="Q5" s="9" t="s">
        <v>16</v>
      </c>
      <c r="R5" s="10"/>
      <c r="S5" s="10"/>
      <c r="T5" s="10"/>
      <c r="U5" s="10"/>
      <c r="V5" s="163"/>
      <c r="W5" s="19"/>
      <c r="X5" s="9" t="s">
        <v>283</v>
      </c>
      <c r="Y5" s="10"/>
      <c r="Z5" s="10"/>
      <c r="AA5" s="10"/>
      <c r="AB5" s="10"/>
      <c r="AC5" s="163"/>
      <c r="AD5" s="19"/>
      <c r="AE5" s="9" t="s">
        <v>16</v>
      </c>
      <c r="AF5" s="10"/>
      <c r="AG5" s="10"/>
      <c r="AH5" s="10"/>
      <c r="AI5" s="10"/>
      <c r="AJ5" s="11"/>
      <c r="AL5" s="19"/>
      <c r="AM5" s="9" t="s">
        <v>16</v>
      </c>
      <c r="AN5" s="10">
        <f t="shared" ref="AN5:AP5" si="5">D5+K5+R5+Y5+AF5</f>
        <v>0</v>
      </c>
      <c r="AO5" s="10">
        <f t="shared" si="5"/>
        <v>0</v>
      </c>
      <c r="AP5" s="10">
        <f t="shared" si="5"/>
        <v>0</v>
      </c>
      <c r="AQ5" s="11">
        <f t="shared" si="3"/>
        <v>0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10"/>
      <c r="L6" s="10"/>
      <c r="M6" s="10"/>
      <c r="N6" s="10"/>
      <c r="O6" s="11"/>
      <c r="P6" s="19"/>
      <c r="Q6" s="9" t="s">
        <v>17</v>
      </c>
      <c r="R6" s="10"/>
      <c r="S6" s="10"/>
      <c r="T6" s="10"/>
      <c r="U6" s="10"/>
      <c r="V6" s="11"/>
      <c r="W6" s="19"/>
      <c r="X6" s="9" t="s">
        <v>17</v>
      </c>
      <c r="Y6" s="10"/>
      <c r="Z6" s="10"/>
      <c r="AA6" s="10"/>
      <c r="AB6" s="10"/>
      <c r="AC6" s="11"/>
      <c r="AD6" s="19"/>
      <c r="AE6" s="9" t="s">
        <v>17</v>
      </c>
      <c r="AF6" s="10"/>
      <c r="AG6" s="10"/>
      <c r="AH6" s="10"/>
      <c r="AI6" s="10"/>
      <c r="AJ6" s="11"/>
      <c r="AL6" s="19"/>
      <c r="AM6" s="9" t="s">
        <v>17</v>
      </c>
      <c r="AN6" s="10">
        <f t="shared" ref="AN6:AP6" si="6">D6+K6+R6+Y6+AF6</f>
        <v>0</v>
      </c>
      <c r="AO6" s="10">
        <f t="shared" si="6"/>
        <v>0</v>
      </c>
      <c r="AP6" s="10">
        <f t="shared" si="6"/>
        <v>0</v>
      </c>
      <c r="AQ6" s="11">
        <f t="shared" si="3"/>
        <v>0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9" t="s">
        <v>18</v>
      </c>
      <c r="K7" s="10"/>
      <c r="L7" s="10"/>
      <c r="M7" s="10"/>
      <c r="N7" s="10"/>
      <c r="O7" s="11"/>
      <c r="P7" s="19"/>
      <c r="Q7" s="9" t="s">
        <v>18</v>
      </c>
      <c r="R7" s="10"/>
      <c r="S7" s="10"/>
      <c r="T7" s="10"/>
      <c r="U7" s="10"/>
      <c r="V7" s="11"/>
      <c r="W7" s="19"/>
      <c r="X7" s="9" t="s">
        <v>18</v>
      </c>
      <c r="Y7" s="10"/>
      <c r="Z7" s="10"/>
      <c r="AA7" s="10"/>
      <c r="AB7" s="10"/>
      <c r="AC7" s="11"/>
      <c r="AD7" s="19"/>
      <c r="AE7" s="9" t="s">
        <v>18</v>
      </c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0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9" t="s">
        <v>20</v>
      </c>
      <c r="K8" s="10"/>
      <c r="L8" s="10"/>
      <c r="M8" s="10"/>
      <c r="N8" s="10"/>
      <c r="O8" s="11"/>
      <c r="P8" s="19"/>
      <c r="Q8" s="9" t="s">
        <v>19</v>
      </c>
      <c r="R8" s="10"/>
      <c r="S8" s="10"/>
      <c r="T8" s="10"/>
      <c r="U8" s="10"/>
      <c r="V8" s="11"/>
      <c r="W8" s="19"/>
      <c r="X8" s="9" t="s">
        <v>19</v>
      </c>
      <c r="Y8" s="10"/>
      <c r="Z8" s="10"/>
      <c r="AA8" s="10"/>
      <c r="AB8" s="10"/>
      <c r="AC8" s="11"/>
      <c r="AD8" s="19"/>
      <c r="AE8" s="9" t="s">
        <v>19</v>
      </c>
      <c r="AF8" s="10"/>
      <c r="AG8" s="10"/>
      <c r="AH8" s="10"/>
      <c r="AI8" s="10"/>
      <c r="AJ8" s="11"/>
      <c r="AL8" s="19"/>
      <c r="AM8" s="9" t="s">
        <v>19</v>
      </c>
      <c r="AN8" s="10">
        <f t="shared" ref="AN8:AP8" si="8">D8+K8+R8+Y8+AF8</f>
        <v>0</v>
      </c>
      <c r="AO8" s="10">
        <f t="shared" si="8"/>
        <v>0</v>
      </c>
      <c r="AP8" s="10">
        <f t="shared" si="8"/>
        <v>0</v>
      </c>
      <c r="AQ8" s="11">
        <f t="shared" si="3"/>
        <v>0</v>
      </c>
    </row>
    <row r="9">
      <c r="B9" s="19"/>
      <c r="C9" s="26" t="s">
        <v>21</v>
      </c>
      <c r="D9" s="10"/>
      <c r="E9" s="10"/>
      <c r="F9" s="10"/>
      <c r="G9" s="10"/>
      <c r="H9" s="11"/>
      <c r="I9" s="19"/>
      <c r="J9" s="26" t="s">
        <v>22</v>
      </c>
      <c r="K9" s="10"/>
      <c r="L9" s="10"/>
      <c r="M9" s="10"/>
      <c r="N9" s="10"/>
      <c r="O9" s="11"/>
      <c r="P9" s="19"/>
      <c r="Q9" s="26" t="s">
        <v>21</v>
      </c>
      <c r="R9" s="10"/>
      <c r="S9" s="10"/>
      <c r="T9" s="10"/>
      <c r="U9" s="10"/>
      <c r="V9" s="11"/>
      <c r="W9" s="19"/>
      <c r="X9" s="26" t="s">
        <v>21</v>
      </c>
      <c r="Y9" s="10"/>
      <c r="Z9" s="10"/>
      <c r="AA9" s="10"/>
      <c r="AB9" s="310"/>
      <c r="AC9" s="11"/>
      <c r="AD9" s="19"/>
      <c r="AE9" s="26" t="s">
        <v>21</v>
      </c>
      <c r="AF9" s="10"/>
      <c r="AG9" s="10"/>
      <c r="AH9" s="10"/>
      <c r="AI9" s="310"/>
      <c r="AJ9" s="11"/>
      <c r="AL9" s="19"/>
      <c r="AM9" s="26" t="s">
        <v>21</v>
      </c>
      <c r="AN9" s="10">
        <f t="shared" ref="AN9:AP9" si="9">D9+K9+R9+Y9+AF9</f>
        <v>0</v>
      </c>
      <c r="AO9" s="10">
        <f t="shared" si="9"/>
        <v>0</v>
      </c>
      <c r="AP9" s="10">
        <f t="shared" si="9"/>
        <v>0</v>
      </c>
      <c r="AQ9" s="11">
        <f t="shared" si="3"/>
        <v>0</v>
      </c>
    </row>
    <row r="10">
      <c r="B10" s="19"/>
      <c r="C10" s="28" t="s">
        <v>23</v>
      </c>
      <c r="D10" s="61">
        <f t="shared" ref="D10:H10" si="10">D2+D3+D4+D5+D6+D7+D8+D9</f>
        <v>0</v>
      </c>
      <c r="E10" s="40">
        <f t="shared" si="10"/>
        <v>0</v>
      </c>
      <c r="F10" s="31">
        <f t="shared" si="10"/>
        <v>0</v>
      </c>
      <c r="G10" s="37">
        <f t="shared" si="10"/>
        <v>0</v>
      </c>
      <c r="H10" s="294">
        <f t="shared" si="10"/>
        <v>0</v>
      </c>
      <c r="I10" s="19"/>
      <c r="J10" s="28" t="s">
        <v>23</v>
      </c>
      <c r="K10" s="61">
        <f t="shared" ref="K10:O10" si="11">K2+K3+K4+K5+K6+K7+K8+K9</f>
        <v>0</v>
      </c>
      <c r="L10" s="37">
        <f t="shared" si="11"/>
        <v>0</v>
      </c>
      <c r="M10" s="36">
        <f t="shared" si="11"/>
        <v>0</v>
      </c>
      <c r="N10" s="40">
        <f t="shared" si="11"/>
        <v>0</v>
      </c>
      <c r="O10" s="33">
        <f t="shared" si="11"/>
        <v>0</v>
      </c>
      <c r="P10" s="19"/>
      <c r="Q10" s="28" t="s">
        <v>23</v>
      </c>
      <c r="R10" s="29">
        <f t="shared" ref="R10:V10" si="12">R2+R3+R4+R5+R6+R7+R8+R9</f>
        <v>0</v>
      </c>
      <c r="S10" s="35">
        <f t="shared" si="12"/>
        <v>0</v>
      </c>
      <c r="T10" s="36">
        <f t="shared" si="12"/>
        <v>0</v>
      </c>
      <c r="U10" s="40">
        <f t="shared" si="12"/>
        <v>0</v>
      </c>
      <c r="V10" s="33">
        <f t="shared" si="12"/>
        <v>0</v>
      </c>
      <c r="W10" s="19"/>
      <c r="X10" s="28" t="s">
        <v>23</v>
      </c>
      <c r="Y10" s="61">
        <f t="shared" ref="Y10:AC10" si="13">Y2+Y3+Y4+Y5+Y6+Y7+Y8+Y9</f>
        <v>0</v>
      </c>
      <c r="Z10" s="35">
        <f t="shared" si="13"/>
        <v>0</v>
      </c>
      <c r="AA10" s="36">
        <f t="shared" si="13"/>
        <v>0</v>
      </c>
      <c r="AB10" s="37">
        <f t="shared" si="13"/>
        <v>0</v>
      </c>
      <c r="AC10" s="33">
        <f t="shared" si="13"/>
        <v>0</v>
      </c>
      <c r="AD10" s="19"/>
      <c r="AE10" s="28" t="s">
        <v>23</v>
      </c>
      <c r="AF10" s="61">
        <f t="shared" ref="AF10:AJ10" si="14">AF2+AF3+AF4+AF5+AF6+AF7+AF8+AF9</f>
        <v>0</v>
      </c>
      <c r="AG10" s="40">
        <f t="shared" si="14"/>
        <v>0</v>
      </c>
      <c r="AH10" s="36">
        <f t="shared" si="14"/>
        <v>0</v>
      </c>
      <c r="AI10" s="37">
        <f t="shared" si="14"/>
        <v>0</v>
      </c>
      <c r="AJ10" s="33">
        <f t="shared" si="14"/>
        <v>0</v>
      </c>
      <c r="AL10" s="19"/>
      <c r="AM10" s="28" t="s">
        <v>23</v>
      </c>
      <c r="AN10" s="41">
        <f t="shared" ref="AN10:AQ10" si="15">AN2+AN3+AN4+AN5+AN6+AN7+AN8+AN9</f>
        <v>0</v>
      </c>
      <c r="AO10" s="42">
        <f t="shared" si="15"/>
        <v>0</v>
      </c>
      <c r="AP10" s="43">
        <f t="shared" si="15"/>
        <v>0</v>
      </c>
      <c r="AQ10" s="44">
        <f t="shared" si="15"/>
        <v>0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0</v>
      </c>
      <c r="L11" s="47"/>
      <c r="M11" s="48"/>
      <c r="N11" s="51"/>
      <c r="O11" s="52"/>
      <c r="P11" s="19"/>
      <c r="Q11" s="45" t="s">
        <v>24</v>
      </c>
      <c r="R11" s="50">
        <f>R10-S10</f>
        <v>0</v>
      </c>
      <c r="S11" s="47"/>
      <c r="T11" s="48"/>
      <c r="U11" s="51"/>
      <c r="V11" s="52"/>
      <c r="W11" s="19"/>
      <c r="X11" s="45" t="s">
        <v>24</v>
      </c>
      <c r="Y11" s="50">
        <f>Y10-Z10</f>
        <v>0</v>
      </c>
      <c r="Z11" s="47"/>
      <c r="AA11" s="48"/>
      <c r="AB11" s="51"/>
      <c r="AC11" s="52"/>
      <c r="AD11" s="19"/>
      <c r="AE11" s="45" t="s">
        <v>24</v>
      </c>
      <c r="AF11" s="50">
        <f>AF10-AG10</f>
        <v>0</v>
      </c>
      <c r="AG11" s="47"/>
      <c r="AH11" s="48"/>
      <c r="AI11" s="51"/>
      <c r="AJ11" s="52"/>
      <c r="AL11" s="53"/>
      <c r="AM11" s="45" t="s">
        <v>25</v>
      </c>
      <c r="AN11" s="50">
        <f>AN10-AO10</f>
        <v>0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0</v>
      </c>
      <c r="L12" s="47"/>
      <c r="M12" s="48"/>
      <c r="N12" s="51"/>
      <c r="O12" s="52"/>
      <c r="P12" s="53"/>
      <c r="Q12" s="56" t="s">
        <v>26</v>
      </c>
      <c r="R12" s="57">
        <f>T10-S10</f>
        <v>0</v>
      </c>
      <c r="S12" s="47"/>
      <c r="T12" s="48"/>
      <c r="U12" s="51"/>
      <c r="V12" s="52"/>
      <c r="W12" s="53"/>
      <c r="X12" s="56" t="s">
        <v>26</v>
      </c>
      <c r="Y12" s="57">
        <f>AA10-Z10</f>
        <v>0</v>
      </c>
      <c r="Z12" s="47"/>
      <c r="AA12" s="48"/>
      <c r="AB12" s="51"/>
      <c r="AC12" s="52"/>
      <c r="AD12" s="53"/>
      <c r="AE12" s="56" t="s">
        <v>26</v>
      </c>
      <c r="AF12" s="57">
        <f>AH10-AG10</f>
        <v>0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2" t="s">
        <v>1</v>
      </c>
      <c r="Y13" s="4" t="s">
        <v>7</v>
      </c>
      <c r="Z13" s="2" t="s">
        <v>3</v>
      </c>
      <c r="AA13" s="2" t="s">
        <v>4</v>
      </c>
      <c r="AB13" s="2" t="s">
        <v>5</v>
      </c>
      <c r="AC13" s="5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/>
      <c r="C14" s="9" t="s">
        <v>10</v>
      </c>
      <c r="D14" s="10"/>
      <c r="E14" s="10"/>
      <c r="F14" s="10"/>
      <c r="G14" s="10"/>
      <c r="H14" s="11"/>
      <c r="I14" s="12">
        <v>45937.0</v>
      </c>
      <c r="J14" s="9" t="s">
        <v>10</v>
      </c>
      <c r="K14" s="10"/>
      <c r="L14" s="10"/>
      <c r="M14" s="10"/>
      <c r="N14" s="10"/>
      <c r="O14" s="11"/>
      <c r="P14" s="8">
        <v>45944.0</v>
      </c>
      <c r="Q14" s="9" t="s">
        <v>10</v>
      </c>
      <c r="R14" s="10"/>
      <c r="S14" s="10"/>
      <c r="T14" s="10"/>
      <c r="U14" s="10"/>
      <c r="V14" s="11"/>
      <c r="W14" s="8">
        <v>45951.0</v>
      </c>
      <c r="X14" s="9" t="s">
        <v>10</v>
      </c>
      <c r="Y14" s="10"/>
      <c r="Z14" s="10"/>
      <c r="AA14" s="10"/>
      <c r="AB14" s="10"/>
      <c r="AC14" s="11"/>
      <c r="AD14" s="8">
        <v>45958.0</v>
      </c>
      <c r="AE14" s="9" t="s">
        <v>10</v>
      </c>
      <c r="AF14" s="10"/>
      <c r="AG14" s="10"/>
      <c r="AH14" s="10"/>
      <c r="AI14" s="10"/>
      <c r="AJ14" s="11"/>
      <c r="AL14" s="18" t="s">
        <v>28</v>
      </c>
      <c r="AM14" s="9" t="s">
        <v>10</v>
      </c>
      <c r="AN14" s="10">
        <f t="shared" ref="AN14:AP14" si="16">D14+K14+R14+Y14+AF14</f>
        <v>0</v>
      </c>
      <c r="AO14" s="10">
        <f t="shared" si="16"/>
        <v>0</v>
      </c>
      <c r="AP14" s="10">
        <f t="shared" si="16"/>
        <v>0</v>
      </c>
      <c r="AQ14" s="11">
        <f t="shared" ref="AQ14:AQ21" si="18">H14+O14+V14+AC14+AJ14</f>
        <v>0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9" t="s">
        <v>12</v>
      </c>
      <c r="K15" s="10"/>
      <c r="L15" s="10"/>
      <c r="M15" s="10"/>
      <c r="N15" s="10"/>
      <c r="O15" s="11"/>
      <c r="P15" s="19"/>
      <c r="Q15" s="9" t="s">
        <v>12</v>
      </c>
      <c r="R15" s="10"/>
      <c r="S15" s="10"/>
      <c r="T15" s="10"/>
      <c r="U15" s="10"/>
      <c r="V15" s="11"/>
      <c r="W15" s="19"/>
      <c r="X15" s="9" t="s">
        <v>12</v>
      </c>
      <c r="Y15" s="10"/>
      <c r="Z15" s="10"/>
      <c r="AA15" s="10"/>
      <c r="AB15" s="10"/>
      <c r="AC15" s="11"/>
      <c r="AD15" s="19"/>
      <c r="AE15" s="9" t="s">
        <v>12</v>
      </c>
      <c r="AF15" s="10"/>
      <c r="AG15" s="10"/>
      <c r="AH15" s="10"/>
      <c r="AI15" s="10"/>
      <c r="AJ15" s="11"/>
      <c r="AL15" s="19"/>
      <c r="AM15" s="9" t="s">
        <v>12</v>
      </c>
      <c r="AN15" s="10">
        <f t="shared" ref="AN15:AP15" si="17">D15+K15+R15+Y15+AF15</f>
        <v>0</v>
      </c>
      <c r="AO15" s="10">
        <f t="shared" si="17"/>
        <v>0</v>
      </c>
      <c r="AP15" s="10">
        <f t="shared" si="17"/>
        <v>0</v>
      </c>
      <c r="AQ15" s="11">
        <f t="shared" si="18"/>
        <v>0</v>
      </c>
    </row>
    <row r="16">
      <c r="A16" s="19"/>
      <c r="B16" s="19"/>
      <c r="C16" s="314" t="s">
        <v>276</v>
      </c>
      <c r="D16" s="291"/>
      <c r="E16" s="10"/>
      <c r="F16" s="10"/>
      <c r="G16" s="10"/>
      <c r="H16" s="11"/>
      <c r="I16" s="19"/>
      <c r="J16" s="9" t="s">
        <v>276</v>
      </c>
      <c r="K16" s="291"/>
      <c r="L16" s="10"/>
      <c r="M16" s="10"/>
      <c r="N16" s="10"/>
      <c r="O16" s="11"/>
      <c r="P16" s="19"/>
      <c r="Q16" s="9" t="s">
        <v>276</v>
      </c>
      <c r="R16" s="10"/>
      <c r="S16" s="10"/>
      <c r="T16" s="10"/>
      <c r="U16" s="10"/>
      <c r="V16" s="11"/>
      <c r="W16" s="19"/>
      <c r="X16" s="9" t="s">
        <v>276</v>
      </c>
      <c r="Y16" s="10"/>
      <c r="Z16" s="10"/>
      <c r="AA16" s="10"/>
      <c r="AB16" s="10"/>
      <c r="AC16" s="11"/>
      <c r="AD16" s="19"/>
      <c r="AE16" s="9" t="s">
        <v>14</v>
      </c>
      <c r="AF16" s="10"/>
      <c r="AG16" s="10"/>
      <c r="AH16" s="10"/>
      <c r="AI16" s="10"/>
      <c r="AJ16" s="11"/>
      <c r="AL16" s="19"/>
      <c r="AM16" s="9" t="s">
        <v>14</v>
      </c>
      <c r="AN16" s="10">
        <f t="shared" ref="AN16:AP16" si="19">D16+K16+R16+Y16+AF16</f>
        <v>0</v>
      </c>
      <c r="AO16" s="10">
        <f t="shared" si="19"/>
        <v>0</v>
      </c>
      <c r="AP16" s="10">
        <f t="shared" si="19"/>
        <v>0</v>
      </c>
      <c r="AQ16" s="11">
        <f t="shared" si="18"/>
        <v>0</v>
      </c>
    </row>
    <row r="17">
      <c r="A17" s="19"/>
      <c r="B17" s="19"/>
      <c r="C17" s="9" t="s">
        <v>16</v>
      </c>
      <c r="D17" s="10"/>
      <c r="E17" s="10"/>
      <c r="F17" s="10"/>
      <c r="G17" s="10"/>
      <c r="H17" s="11"/>
      <c r="I17" s="19"/>
      <c r="J17" s="9" t="s">
        <v>16</v>
      </c>
      <c r="K17" s="10"/>
      <c r="L17" s="10"/>
      <c r="M17" s="10"/>
      <c r="N17" s="10"/>
      <c r="O17" s="11"/>
      <c r="P17" s="19"/>
      <c r="Q17" s="9" t="s">
        <v>15</v>
      </c>
      <c r="R17" s="10"/>
      <c r="S17" s="10"/>
      <c r="T17" s="10"/>
      <c r="U17" s="10"/>
      <c r="V17" s="11"/>
      <c r="W17" s="19"/>
      <c r="X17" s="9" t="s">
        <v>16</v>
      </c>
      <c r="Y17" s="10"/>
      <c r="Z17" s="10"/>
      <c r="AA17" s="10"/>
      <c r="AB17" s="10"/>
      <c r="AC17" s="11"/>
      <c r="AD17" s="19"/>
      <c r="AE17" s="9" t="s">
        <v>16</v>
      </c>
      <c r="AF17" s="10"/>
      <c r="AG17" s="10"/>
      <c r="AH17" s="10"/>
      <c r="AI17" s="10"/>
      <c r="AJ17" s="11"/>
      <c r="AL17" s="19"/>
      <c r="AM17" s="9" t="s">
        <v>16</v>
      </c>
      <c r="AN17" s="10">
        <f t="shared" ref="AN17:AP17" si="20">D17+K17+R17+Y17+AF17</f>
        <v>0</v>
      </c>
      <c r="AO17" s="10">
        <f t="shared" si="20"/>
        <v>0</v>
      </c>
      <c r="AP17" s="10">
        <f t="shared" si="20"/>
        <v>0</v>
      </c>
      <c r="AQ17" s="11">
        <f t="shared" si="18"/>
        <v>0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9" t="s">
        <v>17</v>
      </c>
      <c r="K18" s="10"/>
      <c r="L18" s="10"/>
      <c r="M18" s="10"/>
      <c r="N18" s="10"/>
      <c r="O18" s="11"/>
      <c r="P18" s="19"/>
      <c r="Q18" s="9" t="s">
        <v>17</v>
      </c>
      <c r="R18" s="10"/>
      <c r="S18" s="10"/>
      <c r="T18" s="10"/>
      <c r="U18" s="10"/>
      <c r="V18" s="11"/>
      <c r="W18" s="19"/>
      <c r="X18" s="9" t="s">
        <v>17</v>
      </c>
      <c r="Y18" s="10"/>
      <c r="Z18" s="10"/>
      <c r="AA18" s="10"/>
      <c r="AB18" s="10"/>
      <c r="AC18" s="11"/>
      <c r="AD18" s="19"/>
      <c r="AE18" s="9" t="s">
        <v>17</v>
      </c>
      <c r="AF18" s="10"/>
      <c r="AG18" s="10"/>
      <c r="AH18" s="10"/>
      <c r="AI18" s="10"/>
      <c r="AJ18" s="11"/>
      <c r="AL18" s="19"/>
      <c r="AM18" s="9" t="s">
        <v>17</v>
      </c>
      <c r="AN18" s="10">
        <f t="shared" ref="AN18:AP18" si="21">D18+K18+R18+Y18+AF18</f>
        <v>0</v>
      </c>
      <c r="AO18" s="10">
        <f t="shared" si="21"/>
        <v>0</v>
      </c>
      <c r="AP18" s="10">
        <f t="shared" si="21"/>
        <v>0</v>
      </c>
      <c r="AQ18" s="11">
        <f t="shared" si="18"/>
        <v>0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9" t="s">
        <v>18</v>
      </c>
      <c r="K19" s="10"/>
      <c r="L19" s="10"/>
      <c r="M19" s="10"/>
      <c r="N19" s="10"/>
      <c r="O19" s="11"/>
      <c r="P19" s="19"/>
      <c r="Q19" s="9" t="s">
        <v>18</v>
      </c>
      <c r="R19" s="10"/>
      <c r="S19" s="10"/>
      <c r="T19" s="10"/>
      <c r="U19" s="10"/>
      <c r="V19" s="11"/>
      <c r="W19" s="19"/>
      <c r="X19" s="9" t="s">
        <v>18</v>
      </c>
      <c r="Y19" s="10"/>
      <c r="Z19" s="10"/>
      <c r="AA19" s="10"/>
      <c r="AB19" s="10"/>
      <c r="AC19" s="11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2">D19+K19+R19+Y19+AF19</f>
        <v>0</v>
      </c>
      <c r="AO19" s="10">
        <f t="shared" si="22"/>
        <v>0</v>
      </c>
      <c r="AP19" s="10">
        <f t="shared" si="22"/>
        <v>0</v>
      </c>
      <c r="AQ19" s="11">
        <f t="shared" si="18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0"/>
      <c r="L20" s="10"/>
      <c r="M20" s="10"/>
      <c r="N20" s="10"/>
      <c r="O20" s="11"/>
      <c r="P20" s="19"/>
      <c r="Q20" s="9" t="s">
        <v>19</v>
      </c>
      <c r="R20" s="10"/>
      <c r="S20" s="10"/>
      <c r="T20" s="10"/>
      <c r="U20" s="10"/>
      <c r="V20" s="11"/>
      <c r="W20" s="19"/>
      <c r="X20" s="9" t="s">
        <v>19</v>
      </c>
      <c r="Y20" s="10"/>
      <c r="Z20" s="10"/>
      <c r="AA20" s="10"/>
      <c r="AB20" s="10"/>
      <c r="AC20" s="11"/>
      <c r="AD20" s="19"/>
      <c r="AE20" s="9" t="s">
        <v>19</v>
      </c>
      <c r="AF20" s="10"/>
      <c r="AG20" s="10"/>
      <c r="AH20" s="10"/>
      <c r="AI20" s="10"/>
      <c r="AJ20" s="11"/>
      <c r="AL20" s="19"/>
      <c r="AM20" s="9" t="s">
        <v>19</v>
      </c>
      <c r="AN20" s="10">
        <f t="shared" ref="AN20:AP20" si="23">D20+K20+R20+Y20+AF20</f>
        <v>0</v>
      </c>
      <c r="AO20" s="10">
        <f t="shared" si="23"/>
        <v>0</v>
      </c>
      <c r="AP20" s="10">
        <f t="shared" si="23"/>
        <v>0</v>
      </c>
      <c r="AQ20" s="11">
        <f t="shared" si="18"/>
        <v>0</v>
      </c>
    </row>
    <row r="21">
      <c r="A21" s="19"/>
      <c r="B21" s="19"/>
      <c r="C21" s="26" t="s">
        <v>21</v>
      </c>
      <c r="D21" s="10"/>
      <c r="E21" s="10"/>
      <c r="F21" s="10"/>
      <c r="G21" s="10"/>
      <c r="H21" s="11"/>
      <c r="I21" s="19"/>
      <c r="J21" s="26" t="s">
        <v>22</v>
      </c>
      <c r="K21" s="10"/>
      <c r="L21" s="10"/>
      <c r="M21" s="10"/>
      <c r="N21" s="310"/>
      <c r="O21" s="11"/>
      <c r="P21" s="19"/>
      <c r="Q21" s="26" t="s">
        <v>21</v>
      </c>
      <c r="R21" s="10"/>
      <c r="S21" s="10"/>
      <c r="T21" s="10"/>
      <c r="U21" s="10"/>
      <c r="V21" s="11"/>
      <c r="W21" s="19"/>
      <c r="X21" s="26" t="s">
        <v>21</v>
      </c>
      <c r="Y21" s="10"/>
      <c r="Z21" s="10"/>
      <c r="AA21" s="10"/>
      <c r="AB21" s="310"/>
      <c r="AC21" s="11"/>
      <c r="AD21" s="19"/>
      <c r="AE21" s="26" t="s">
        <v>21</v>
      </c>
      <c r="AF21" s="10"/>
      <c r="AG21" s="10"/>
      <c r="AH21" s="10"/>
      <c r="AI21" s="310"/>
      <c r="AJ21" s="11"/>
      <c r="AL21" s="19"/>
      <c r="AM21" s="26" t="s">
        <v>21</v>
      </c>
      <c r="AN21" s="10">
        <f t="shared" ref="AN21:AP21" si="24">D21+K21+R21+Y21+AF21</f>
        <v>0</v>
      </c>
      <c r="AO21" s="10">
        <f t="shared" si="24"/>
        <v>0</v>
      </c>
      <c r="AP21" s="10">
        <f t="shared" si="24"/>
        <v>0</v>
      </c>
      <c r="AQ21" s="11">
        <f t="shared" si="18"/>
        <v>0</v>
      </c>
    </row>
    <row r="22">
      <c r="A22" s="19"/>
      <c r="B22" s="19"/>
      <c r="C22" s="28" t="s">
        <v>23</v>
      </c>
      <c r="D22" s="29">
        <f t="shared" ref="D22:H22" si="25">D14+D15+D16+D17+D18+D19+D20+D21</f>
        <v>0</v>
      </c>
      <c r="E22" s="35">
        <f t="shared" si="25"/>
        <v>0</v>
      </c>
      <c r="F22" s="31">
        <f t="shared" si="25"/>
        <v>0</v>
      </c>
      <c r="G22" s="37">
        <f t="shared" si="25"/>
        <v>0</v>
      </c>
      <c r="H22" s="33">
        <f t="shared" si="25"/>
        <v>0</v>
      </c>
      <c r="I22" s="19"/>
      <c r="J22" s="28" t="s">
        <v>23</v>
      </c>
      <c r="K22" s="61">
        <f t="shared" ref="K22:O22" si="26">K14+K15+K16+K17+K18+K19+K20+K21</f>
        <v>0</v>
      </c>
      <c r="L22" s="30">
        <f t="shared" si="26"/>
        <v>0</v>
      </c>
      <c r="M22" s="36">
        <f t="shared" si="26"/>
        <v>0</v>
      </c>
      <c r="N22" s="40">
        <f t="shared" si="26"/>
        <v>0</v>
      </c>
      <c r="O22" s="33">
        <f t="shared" si="26"/>
        <v>0</v>
      </c>
      <c r="P22" s="19"/>
      <c r="Q22" s="28" t="s">
        <v>23</v>
      </c>
      <c r="R22" s="29">
        <f t="shared" ref="R22:V22" si="27">R14+R15+R16+R17+R18+R19+R20+R21</f>
        <v>0</v>
      </c>
      <c r="S22" s="30">
        <f t="shared" si="27"/>
        <v>0</v>
      </c>
      <c r="T22" s="31">
        <f t="shared" si="27"/>
        <v>0</v>
      </c>
      <c r="U22" s="40">
        <f t="shared" si="27"/>
        <v>0</v>
      </c>
      <c r="V22" s="294">
        <f t="shared" si="27"/>
        <v>0</v>
      </c>
      <c r="W22" s="19"/>
      <c r="X22" s="28" t="s">
        <v>23</v>
      </c>
      <c r="Y22" s="61">
        <f t="shared" ref="Y22:AC22" si="28">Y14+Y15+Y16+Y17+Y18+Y19+Y20+Y21</f>
        <v>0</v>
      </c>
      <c r="Z22" s="35">
        <f t="shared" si="28"/>
        <v>0</v>
      </c>
      <c r="AA22" s="36">
        <f t="shared" si="28"/>
        <v>0</v>
      </c>
      <c r="AB22" s="37">
        <f t="shared" si="28"/>
        <v>0</v>
      </c>
      <c r="AC22" s="33">
        <f t="shared" si="28"/>
        <v>0</v>
      </c>
      <c r="AD22" s="19"/>
      <c r="AE22" s="28" t="s">
        <v>23</v>
      </c>
      <c r="AF22" s="61">
        <f t="shared" ref="AF22:AJ22" si="29">AF14+AF15+AF16+AF17+AF18+AF19+AF20+AF21</f>
        <v>0</v>
      </c>
      <c r="AG22" s="35">
        <f t="shared" si="29"/>
        <v>0</v>
      </c>
      <c r="AH22" s="31">
        <f t="shared" si="29"/>
        <v>0</v>
      </c>
      <c r="AI22" s="37">
        <f t="shared" si="29"/>
        <v>0</v>
      </c>
      <c r="AJ22" s="33">
        <f t="shared" si="29"/>
        <v>0</v>
      </c>
      <c r="AL22" s="19"/>
      <c r="AM22" s="28" t="s">
        <v>23</v>
      </c>
      <c r="AN22" s="41">
        <f t="shared" ref="AN22:AQ22" si="30">AN14+AN15+AN16+AN17+AN18+AN19+AN20+AN21</f>
        <v>0</v>
      </c>
      <c r="AO22" s="42">
        <f t="shared" si="30"/>
        <v>0</v>
      </c>
      <c r="AP22" s="43">
        <f t="shared" si="30"/>
        <v>0</v>
      </c>
      <c r="AQ22" s="44">
        <f t="shared" si="30"/>
        <v>0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0</v>
      </c>
      <c r="L23" s="47"/>
      <c r="M23" s="48"/>
      <c r="N23" s="51"/>
      <c r="O23" s="51"/>
      <c r="P23" s="19"/>
      <c r="Q23" s="45" t="s">
        <v>24</v>
      </c>
      <c r="R23" s="50">
        <f>R22-S22</f>
        <v>0</v>
      </c>
      <c r="S23" s="47"/>
      <c r="T23" s="48"/>
      <c r="U23" s="51"/>
      <c r="V23" s="51"/>
      <c r="W23" s="19"/>
      <c r="X23" s="45" t="s">
        <v>24</v>
      </c>
      <c r="Y23" s="50">
        <f>Y22-Z22</f>
        <v>0</v>
      </c>
      <c r="Z23" s="47"/>
      <c r="AA23" s="48"/>
      <c r="AB23" s="51"/>
      <c r="AC23" s="51"/>
      <c r="AD23" s="19"/>
      <c r="AE23" s="45" t="s">
        <v>24</v>
      </c>
      <c r="AF23" s="50">
        <f>AF22-AG22</f>
        <v>0</v>
      </c>
      <c r="AG23" s="47"/>
      <c r="AH23" s="48"/>
      <c r="AI23" s="51"/>
      <c r="AJ23" s="51"/>
      <c r="AL23" s="53"/>
      <c r="AM23" s="45" t="s">
        <v>25</v>
      </c>
      <c r="AN23" s="50">
        <f>AN22-AO22</f>
        <v>0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0</v>
      </c>
      <c r="L24" s="47"/>
      <c r="M24" s="48"/>
      <c r="N24" s="51"/>
      <c r="O24" s="51"/>
      <c r="P24" s="53"/>
      <c r="Q24" s="56" t="s">
        <v>26</v>
      </c>
      <c r="R24" s="57">
        <f>T22-S22</f>
        <v>0</v>
      </c>
      <c r="S24" s="47"/>
      <c r="T24" s="48"/>
      <c r="U24" s="51"/>
      <c r="V24" s="51"/>
      <c r="W24" s="53"/>
      <c r="X24" s="56" t="s">
        <v>26</v>
      </c>
      <c r="Y24" s="57">
        <f>AA22-Z22</f>
        <v>0</v>
      </c>
      <c r="Z24" s="47"/>
      <c r="AA24" s="48"/>
      <c r="AB24" s="51"/>
      <c r="AC24" s="51"/>
      <c r="AD24" s="53"/>
      <c r="AE24" s="56" t="s">
        <v>26</v>
      </c>
      <c r="AF24" s="57">
        <f>AH22-AG22</f>
        <v>0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2" t="s">
        <v>1</v>
      </c>
      <c r="K25" s="4" t="s">
        <v>7</v>
      </c>
      <c r="L25" s="2" t="s">
        <v>3</v>
      </c>
      <c r="M25" s="2" t="s">
        <v>4</v>
      </c>
      <c r="N25" s="2" t="s">
        <v>5</v>
      </c>
      <c r="O25" s="5" t="s">
        <v>6</v>
      </c>
      <c r="P25" s="2" t="s">
        <v>0</v>
      </c>
      <c r="Q25" s="2" t="s">
        <v>1</v>
      </c>
      <c r="R25" s="4" t="s">
        <v>7</v>
      </c>
      <c r="S25" s="2" t="s">
        <v>3</v>
      </c>
      <c r="T25" s="2" t="s">
        <v>4</v>
      </c>
      <c r="U25" s="2" t="s">
        <v>5</v>
      </c>
      <c r="V25" s="5" t="s">
        <v>6</v>
      </c>
      <c r="W25" s="2" t="s">
        <v>0</v>
      </c>
      <c r="X25" s="2" t="s">
        <v>1</v>
      </c>
      <c r="Y25" s="4" t="s">
        <v>7</v>
      </c>
      <c r="Z25" s="2" t="s">
        <v>3</v>
      </c>
      <c r="AA25" s="2" t="s">
        <v>4</v>
      </c>
      <c r="AB25" s="2" t="s">
        <v>5</v>
      </c>
      <c r="AC25" s="5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168">
        <v>45931.0</v>
      </c>
      <c r="C26" s="9" t="s">
        <v>10</v>
      </c>
      <c r="D26" s="10"/>
      <c r="E26" s="10"/>
      <c r="F26" s="10"/>
      <c r="G26" s="10"/>
      <c r="H26" s="11"/>
      <c r="I26" s="12">
        <v>45938.0</v>
      </c>
      <c r="J26" s="9" t="s">
        <v>10</v>
      </c>
      <c r="K26" s="10"/>
      <c r="L26" s="10"/>
      <c r="M26" s="10"/>
      <c r="N26" s="10"/>
      <c r="O26" s="11"/>
      <c r="P26" s="8">
        <v>45945.0</v>
      </c>
      <c r="Q26" s="9" t="s">
        <v>10</v>
      </c>
      <c r="R26" s="10"/>
      <c r="S26" s="10"/>
      <c r="T26" s="10"/>
      <c r="U26" s="10"/>
      <c r="V26" s="11"/>
      <c r="W26" s="8">
        <v>45952.0</v>
      </c>
      <c r="X26" s="9" t="s">
        <v>10</v>
      </c>
      <c r="Y26" s="10"/>
      <c r="Z26" s="10"/>
      <c r="AA26" s="10"/>
      <c r="AB26" s="10"/>
      <c r="AC26" s="11"/>
      <c r="AD26" s="8">
        <v>45959.0</v>
      </c>
      <c r="AE26" s="9" t="s">
        <v>10</v>
      </c>
      <c r="AF26" s="10"/>
      <c r="AG26" s="10"/>
      <c r="AH26" s="10"/>
      <c r="AI26" s="10"/>
      <c r="AJ26" s="11"/>
      <c r="AL26" s="18" t="s">
        <v>31</v>
      </c>
      <c r="AM26" s="9" t="s">
        <v>10</v>
      </c>
      <c r="AN26" s="10">
        <f t="shared" ref="AN26:AP26" si="31">D26+K26+R26+Y26+AF26</f>
        <v>0</v>
      </c>
      <c r="AO26" s="10">
        <f t="shared" si="31"/>
        <v>0</v>
      </c>
      <c r="AP26" s="10">
        <f t="shared" si="31"/>
        <v>0</v>
      </c>
      <c r="AQ26" s="11">
        <f t="shared" ref="AQ26:AQ33" si="33">H26+O26+V26+AC26+AJ26</f>
        <v>0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0"/>
      <c r="L27" s="10"/>
      <c r="M27" s="10"/>
      <c r="N27" s="10"/>
      <c r="O27" s="11"/>
      <c r="P27" s="19"/>
      <c r="Q27" s="9" t="s">
        <v>12</v>
      </c>
      <c r="R27" s="10"/>
      <c r="S27" s="10"/>
      <c r="T27" s="10"/>
      <c r="U27" s="10"/>
      <c r="V27" s="11"/>
      <c r="W27" s="19"/>
      <c r="X27" s="9" t="s">
        <v>12</v>
      </c>
      <c r="Y27" s="10"/>
      <c r="Z27" s="10"/>
      <c r="AA27" s="10"/>
      <c r="AB27" s="10"/>
      <c r="AC27" s="11"/>
      <c r="AD27" s="19"/>
      <c r="AE27" s="9" t="s">
        <v>12</v>
      </c>
      <c r="AF27" s="10"/>
      <c r="AG27" s="10"/>
      <c r="AH27" s="10"/>
      <c r="AI27" s="10"/>
      <c r="AJ27" s="11"/>
      <c r="AL27" s="19"/>
      <c r="AM27" s="9" t="s">
        <v>12</v>
      </c>
      <c r="AN27" s="10">
        <f t="shared" ref="AN27:AP27" si="32">D27+K27+R27+Y27+AF27</f>
        <v>0</v>
      </c>
      <c r="AO27" s="10">
        <f t="shared" si="32"/>
        <v>0</v>
      </c>
      <c r="AP27" s="10">
        <f t="shared" si="32"/>
        <v>0</v>
      </c>
      <c r="AQ27" s="11">
        <f t="shared" si="33"/>
        <v>0</v>
      </c>
    </row>
    <row r="28">
      <c r="A28" s="19"/>
      <c r="B28" s="19"/>
      <c r="C28" s="9" t="s">
        <v>276</v>
      </c>
      <c r="D28" s="10"/>
      <c r="E28" s="10"/>
      <c r="F28" s="10"/>
      <c r="G28" s="10"/>
      <c r="H28" s="11"/>
      <c r="I28" s="19"/>
      <c r="J28" s="9" t="s">
        <v>276</v>
      </c>
      <c r="K28" s="291"/>
      <c r="L28" s="10"/>
      <c r="M28" s="10"/>
      <c r="N28" s="10"/>
      <c r="O28" s="11"/>
      <c r="P28" s="19"/>
      <c r="Q28" s="9" t="s">
        <v>276</v>
      </c>
      <c r="R28" s="10"/>
      <c r="S28" s="10"/>
      <c r="T28" s="10"/>
      <c r="U28" s="10"/>
      <c r="V28" s="11"/>
      <c r="W28" s="19"/>
      <c r="X28" s="9" t="s">
        <v>276</v>
      </c>
      <c r="Y28" s="10"/>
      <c r="Z28" s="10"/>
      <c r="AA28" s="10"/>
      <c r="AB28" s="10"/>
      <c r="AC28" s="11"/>
      <c r="AD28" s="19"/>
      <c r="AE28" s="9" t="s">
        <v>14</v>
      </c>
      <c r="AF28" s="10"/>
      <c r="AG28" s="10"/>
      <c r="AH28" s="10"/>
      <c r="AI28" s="10"/>
      <c r="AJ28" s="11"/>
      <c r="AL28" s="19"/>
      <c r="AM28" s="9" t="s">
        <v>14</v>
      </c>
      <c r="AN28" s="10">
        <f t="shared" ref="AN28:AP28" si="34">D28+K28+R28+Y28+AF28</f>
        <v>0</v>
      </c>
      <c r="AO28" s="10">
        <f t="shared" si="34"/>
        <v>0</v>
      </c>
      <c r="AP28" s="10">
        <f t="shared" si="34"/>
        <v>0</v>
      </c>
      <c r="AQ28" s="11">
        <f t="shared" si="33"/>
        <v>0</v>
      </c>
    </row>
    <row r="29">
      <c r="A29" s="19"/>
      <c r="B29" s="19"/>
      <c r="C29" s="9" t="s">
        <v>15</v>
      </c>
      <c r="D29" s="10"/>
      <c r="E29" s="10"/>
      <c r="F29" s="10"/>
      <c r="G29" s="310"/>
      <c r="H29" s="11"/>
      <c r="I29" s="19"/>
      <c r="J29" s="9" t="s">
        <v>15</v>
      </c>
      <c r="K29" s="10"/>
      <c r="L29" s="10"/>
      <c r="M29" s="10"/>
      <c r="N29" s="10"/>
      <c r="O29" s="11"/>
      <c r="P29" s="19"/>
      <c r="Q29" s="9" t="s">
        <v>15</v>
      </c>
      <c r="R29" s="10"/>
      <c r="S29" s="10"/>
      <c r="T29" s="10"/>
      <c r="U29" s="10"/>
      <c r="V29" s="11"/>
      <c r="W29" s="19"/>
      <c r="X29" s="9" t="s">
        <v>16</v>
      </c>
      <c r="Y29" s="10"/>
      <c r="Z29" s="10"/>
      <c r="AA29" s="10"/>
      <c r="AB29" s="10"/>
      <c r="AC29" s="11"/>
      <c r="AD29" s="19"/>
      <c r="AE29" s="9" t="s">
        <v>16</v>
      </c>
      <c r="AF29" s="10"/>
      <c r="AG29" s="10"/>
      <c r="AH29" s="10"/>
      <c r="AI29" s="10"/>
      <c r="AJ29" s="11"/>
      <c r="AL29" s="19"/>
      <c r="AM29" s="9" t="s">
        <v>16</v>
      </c>
      <c r="AN29" s="10">
        <f t="shared" ref="AN29:AP29" si="35">D29+K29+R29+Y29+AF29</f>
        <v>0</v>
      </c>
      <c r="AO29" s="10">
        <f t="shared" si="35"/>
        <v>0</v>
      </c>
      <c r="AP29" s="10">
        <f t="shared" si="35"/>
        <v>0</v>
      </c>
      <c r="AQ29" s="11">
        <f t="shared" si="33"/>
        <v>0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9" t="s">
        <v>17</v>
      </c>
      <c r="K30" s="10"/>
      <c r="L30" s="10"/>
      <c r="M30" s="10"/>
      <c r="N30" s="10"/>
      <c r="O30" s="11"/>
      <c r="P30" s="19"/>
      <c r="Q30" s="9" t="s">
        <v>17</v>
      </c>
      <c r="R30" s="10"/>
      <c r="S30" s="10"/>
      <c r="T30" s="10"/>
      <c r="U30" s="10"/>
      <c r="V30" s="11"/>
      <c r="W30" s="19"/>
      <c r="X30" s="9" t="s">
        <v>17</v>
      </c>
      <c r="Y30" s="10"/>
      <c r="Z30" s="10"/>
      <c r="AA30" s="10"/>
      <c r="AB30" s="10"/>
      <c r="AC30" s="11"/>
      <c r="AD30" s="19"/>
      <c r="AE30" s="9" t="s">
        <v>17</v>
      </c>
      <c r="AF30" s="10"/>
      <c r="AG30" s="10"/>
      <c r="AH30" s="10"/>
      <c r="AI30" s="10"/>
      <c r="AJ30" s="11"/>
      <c r="AL30" s="19"/>
      <c r="AM30" s="9" t="s">
        <v>17</v>
      </c>
      <c r="AN30" s="10">
        <f t="shared" ref="AN30:AP30" si="36">D30+K30+R30+Y30+AF30</f>
        <v>0</v>
      </c>
      <c r="AO30" s="10">
        <f t="shared" si="36"/>
        <v>0</v>
      </c>
      <c r="AP30" s="10">
        <f t="shared" si="36"/>
        <v>0</v>
      </c>
      <c r="AQ30" s="11">
        <f t="shared" si="33"/>
        <v>0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9" t="s">
        <v>29</v>
      </c>
      <c r="K31" s="10"/>
      <c r="L31" s="10"/>
      <c r="M31" s="10"/>
      <c r="N31" s="10"/>
      <c r="O31" s="11"/>
      <c r="P31" s="19"/>
      <c r="Q31" s="9" t="s">
        <v>18</v>
      </c>
      <c r="R31" s="10"/>
      <c r="S31" s="10"/>
      <c r="T31" s="10"/>
      <c r="U31" s="10"/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7">D31+K31+R31+Y31+AF31</f>
        <v>0</v>
      </c>
      <c r="AO31" s="10">
        <f t="shared" si="37"/>
        <v>0</v>
      </c>
      <c r="AP31" s="10">
        <f t="shared" si="37"/>
        <v>0</v>
      </c>
      <c r="AQ31" s="11">
        <f t="shared" si="33"/>
        <v>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9" t="s">
        <v>19</v>
      </c>
      <c r="K32" s="10"/>
      <c r="L32" s="10"/>
      <c r="M32" s="10"/>
      <c r="N32" s="10"/>
      <c r="O32" s="11"/>
      <c r="P32" s="19"/>
      <c r="Q32" s="9" t="s">
        <v>19</v>
      </c>
      <c r="R32" s="10"/>
      <c r="S32" s="10"/>
      <c r="T32" s="10"/>
      <c r="U32" s="10"/>
      <c r="V32" s="11"/>
      <c r="W32" s="19"/>
      <c r="X32" s="9" t="s">
        <v>19</v>
      </c>
      <c r="Y32" s="10"/>
      <c r="Z32" s="10"/>
      <c r="AA32" s="10"/>
      <c r="AB32" s="10"/>
      <c r="AC32" s="11"/>
      <c r="AD32" s="19"/>
      <c r="AE32" s="9" t="s">
        <v>19</v>
      </c>
      <c r="AF32" s="10"/>
      <c r="AG32" s="10"/>
      <c r="AH32" s="10"/>
      <c r="AI32" s="10"/>
      <c r="AJ32" s="11"/>
      <c r="AL32" s="19"/>
      <c r="AM32" s="9" t="s">
        <v>19</v>
      </c>
      <c r="AN32" s="10">
        <f t="shared" ref="AN32:AP32" si="38">D32+K32+R32+Y32+AF32</f>
        <v>0</v>
      </c>
      <c r="AO32" s="10">
        <f t="shared" si="38"/>
        <v>0</v>
      </c>
      <c r="AP32" s="10">
        <f t="shared" si="38"/>
        <v>0</v>
      </c>
      <c r="AQ32" s="11">
        <f t="shared" si="33"/>
        <v>0</v>
      </c>
    </row>
    <row r="33">
      <c r="A33" s="19"/>
      <c r="B33" s="19"/>
      <c r="C33" s="26" t="s">
        <v>21</v>
      </c>
      <c r="D33" s="10"/>
      <c r="E33" s="10"/>
      <c r="F33" s="10"/>
      <c r="G33" s="310"/>
      <c r="H33" s="11"/>
      <c r="I33" s="19"/>
      <c r="J33" s="26" t="s">
        <v>21</v>
      </c>
      <c r="K33" s="10"/>
      <c r="L33" s="10"/>
      <c r="M33" s="10"/>
      <c r="N33" s="310"/>
      <c r="O33" s="11"/>
      <c r="P33" s="19"/>
      <c r="Q33" s="26" t="s">
        <v>22</v>
      </c>
      <c r="R33" s="10"/>
      <c r="S33" s="10"/>
      <c r="T33" s="10"/>
      <c r="U33" s="310"/>
      <c r="V33" s="11"/>
      <c r="W33" s="19"/>
      <c r="X33" s="26" t="s">
        <v>21</v>
      </c>
      <c r="Y33" s="10"/>
      <c r="Z33" s="10"/>
      <c r="AA33" s="10"/>
      <c r="AB33" s="310"/>
      <c r="AC33" s="11"/>
      <c r="AD33" s="19"/>
      <c r="AE33" s="26" t="s">
        <v>21</v>
      </c>
      <c r="AF33" s="10"/>
      <c r="AG33" s="10"/>
      <c r="AH33" s="10"/>
      <c r="AI33" s="310"/>
      <c r="AJ33" s="11"/>
      <c r="AL33" s="19"/>
      <c r="AM33" s="26" t="s">
        <v>21</v>
      </c>
      <c r="AN33" s="10">
        <f t="shared" ref="AN33:AP33" si="39">D33+K33+R33+Y33+AF33</f>
        <v>0</v>
      </c>
      <c r="AO33" s="10">
        <f t="shared" si="39"/>
        <v>0</v>
      </c>
      <c r="AP33" s="10">
        <f t="shared" si="39"/>
        <v>0</v>
      </c>
      <c r="AQ33" s="11">
        <f t="shared" si="33"/>
        <v>0</v>
      </c>
    </row>
    <row r="34">
      <c r="A34" s="19"/>
      <c r="B34" s="19"/>
      <c r="C34" s="28" t="s">
        <v>23</v>
      </c>
      <c r="D34" s="29">
        <f t="shared" ref="D34:H34" si="40">D26+D27+D28+D29+D30+D31+D32+D33</f>
        <v>0</v>
      </c>
      <c r="E34" s="30">
        <f t="shared" si="40"/>
        <v>0</v>
      </c>
      <c r="F34" s="36">
        <f t="shared" si="40"/>
        <v>0</v>
      </c>
      <c r="G34" s="40">
        <f t="shared" si="40"/>
        <v>0</v>
      </c>
      <c r="H34" s="33">
        <f t="shared" si="40"/>
        <v>0</v>
      </c>
      <c r="I34" s="19"/>
      <c r="J34" s="28" t="s">
        <v>23</v>
      </c>
      <c r="K34" s="32">
        <f t="shared" ref="K34:O34" si="41">K26+K27+K28+K29+K30+K31+K32+K33</f>
        <v>0</v>
      </c>
      <c r="L34" s="35">
        <f t="shared" si="41"/>
        <v>0</v>
      </c>
      <c r="M34" s="31">
        <f t="shared" si="41"/>
        <v>0</v>
      </c>
      <c r="N34" s="40">
        <f t="shared" si="41"/>
        <v>0</v>
      </c>
      <c r="O34" s="38">
        <f t="shared" si="41"/>
        <v>0</v>
      </c>
      <c r="P34" s="19"/>
      <c r="Q34" s="28" t="s">
        <v>23</v>
      </c>
      <c r="R34" s="29">
        <f t="shared" ref="R34:V34" si="42">R26+R27+R28+R29+R30+R31+R32+R33</f>
        <v>0</v>
      </c>
      <c r="S34" s="35">
        <f t="shared" si="42"/>
        <v>0</v>
      </c>
      <c r="T34" s="31">
        <f t="shared" si="42"/>
        <v>0</v>
      </c>
      <c r="U34" s="37">
        <f t="shared" si="42"/>
        <v>0</v>
      </c>
      <c r="V34" s="294">
        <f t="shared" si="42"/>
        <v>0</v>
      </c>
      <c r="W34" s="19"/>
      <c r="X34" s="28" t="s">
        <v>23</v>
      </c>
      <c r="Y34" s="61">
        <f t="shared" ref="Y34:AC34" si="43">Y26+Y27+Y28+Y29+Y30+Y31+Y32+Y33</f>
        <v>0</v>
      </c>
      <c r="Z34" s="30">
        <f t="shared" si="43"/>
        <v>0</v>
      </c>
      <c r="AA34" s="31">
        <f t="shared" si="43"/>
        <v>0</v>
      </c>
      <c r="AB34" s="37">
        <f t="shared" si="43"/>
        <v>0</v>
      </c>
      <c r="AC34" s="33">
        <f t="shared" si="43"/>
        <v>0</v>
      </c>
      <c r="AD34" s="19"/>
      <c r="AE34" s="28" t="s">
        <v>23</v>
      </c>
      <c r="AF34" s="32">
        <f t="shared" ref="AF34:AJ34" si="44">AF26+AF27+AF28+AF29+AF30+AF31+AF32+AF33</f>
        <v>0</v>
      </c>
      <c r="AG34" s="30">
        <f t="shared" si="44"/>
        <v>0</v>
      </c>
      <c r="AH34" s="31">
        <f t="shared" si="44"/>
        <v>0</v>
      </c>
      <c r="AI34" s="37">
        <f t="shared" si="44"/>
        <v>0</v>
      </c>
      <c r="AJ34" s="33">
        <f t="shared" si="44"/>
        <v>0</v>
      </c>
      <c r="AL34" s="19"/>
      <c r="AM34" s="28" t="s">
        <v>23</v>
      </c>
      <c r="AN34" s="41">
        <f t="shared" ref="AN34:AQ34" si="45">AN26+AN27+AN28+AN29+AN30+AN31+AN32+AN33</f>
        <v>0</v>
      </c>
      <c r="AO34" s="42">
        <f t="shared" si="45"/>
        <v>0</v>
      </c>
      <c r="AP34" s="43">
        <f t="shared" si="45"/>
        <v>0</v>
      </c>
      <c r="AQ34" s="44">
        <f t="shared" si="45"/>
        <v>0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0</v>
      </c>
      <c r="L35" s="47"/>
      <c r="M35" s="48"/>
      <c r="N35" s="51"/>
      <c r="O35" s="51"/>
      <c r="P35" s="19"/>
      <c r="Q35" s="45" t="s">
        <v>24</v>
      </c>
      <c r="R35" s="50">
        <f>R34-S34</f>
        <v>0</v>
      </c>
      <c r="S35" s="47"/>
      <c r="T35" s="48"/>
      <c r="U35" s="51"/>
      <c r="V35" s="51"/>
      <c r="W35" s="19"/>
      <c r="X35" s="45" t="s">
        <v>24</v>
      </c>
      <c r="Y35" s="50">
        <f>Y34-Z34</f>
        <v>0</v>
      </c>
      <c r="Z35" s="47"/>
      <c r="AA35" s="48"/>
      <c r="AB35" s="51"/>
      <c r="AC35" s="51"/>
      <c r="AD35" s="19"/>
      <c r="AE35" s="45" t="s">
        <v>24</v>
      </c>
      <c r="AF35" s="50">
        <f>AF34-AG34</f>
        <v>0</v>
      </c>
      <c r="AG35" s="47"/>
      <c r="AH35" s="48"/>
      <c r="AI35" s="51"/>
      <c r="AJ35" s="51"/>
      <c r="AL35" s="53"/>
      <c r="AM35" s="45" t="s">
        <v>25</v>
      </c>
      <c r="AN35" s="50">
        <f>AN34-AO34</f>
        <v>0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0</v>
      </c>
      <c r="L36" s="47"/>
      <c r="M36" s="48"/>
      <c r="N36" s="51"/>
      <c r="O36" s="51"/>
      <c r="P36" s="53"/>
      <c r="Q36" s="56" t="s">
        <v>26</v>
      </c>
      <c r="R36" s="57">
        <f>T34-S34</f>
        <v>0</v>
      </c>
      <c r="S36" s="47"/>
      <c r="T36" s="48"/>
      <c r="U36" s="51"/>
      <c r="V36" s="51"/>
      <c r="W36" s="53"/>
      <c r="X36" s="56" t="s">
        <v>26</v>
      </c>
      <c r="Y36" s="57">
        <f>AA34-Z34</f>
        <v>0</v>
      </c>
      <c r="Z36" s="47"/>
      <c r="AA36" s="48"/>
      <c r="AB36" s="51"/>
      <c r="AC36" s="51"/>
      <c r="AD36" s="53"/>
      <c r="AE36" s="56" t="s">
        <v>26</v>
      </c>
      <c r="AF36" s="57">
        <f>AH34-AG34</f>
        <v>0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2" t="s">
        <v>1</v>
      </c>
      <c r="K37" s="4" t="s">
        <v>7</v>
      </c>
      <c r="L37" s="2" t="s">
        <v>3</v>
      </c>
      <c r="M37" s="2" t="s">
        <v>4</v>
      </c>
      <c r="N37" s="2" t="s">
        <v>5</v>
      </c>
      <c r="O37" s="5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2" t="s">
        <v>1</v>
      </c>
      <c r="Y37" s="4" t="s">
        <v>7</v>
      </c>
      <c r="Z37" s="2" t="s">
        <v>3</v>
      </c>
      <c r="AA37" s="2" t="s">
        <v>4</v>
      </c>
      <c r="AB37" s="2" t="s">
        <v>5</v>
      </c>
      <c r="AC37" s="5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12">
        <v>45932.0</v>
      </c>
      <c r="C38" s="9" t="s">
        <v>10</v>
      </c>
      <c r="D38" s="10"/>
      <c r="E38" s="10"/>
      <c r="F38" s="10"/>
      <c r="G38" s="10"/>
      <c r="H38" s="11"/>
      <c r="I38" s="12">
        <v>45939.0</v>
      </c>
      <c r="J38" s="9" t="s">
        <v>10</v>
      </c>
      <c r="K38" s="10"/>
      <c r="L38" s="10"/>
      <c r="M38" s="10"/>
      <c r="N38" s="10"/>
      <c r="O38" s="11"/>
      <c r="P38" s="8">
        <v>45946.0</v>
      </c>
      <c r="Q38" s="9" t="s">
        <v>10</v>
      </c>
      <c r="R38" s="10"/>
      <c r="S38" s="10"/>
      <c r="T38" s="10"/>
      <c r="U38" s="10"/>
      <c r="V38" s="11"/>
      <c r="W38" s="8">
        <v>45953.0</v>
      </c>
      <c r="X38" s="9" t="s">
        <v>10</v>
      </c>
      <c r="Y38" s="10"/>
      <c r="Z38" s="10"/>
      <c r="AA38" s="10"/>
      <c r="AB38" s="10"/>
      <c r="AC38" s="11"/>
      <c r="AD38" s="8">
        <v>45960.0</v>
      </c>
      <c r="AE38" s="9" t="s">
        <v>10</v>
      </c>
      <c r="AF38" s="10"/>
      <c r="AG38" s="10"/>
      <c r="AH38" s="10"/>
      <c r="AI38" s="10"/>
      <c r="AJ38" s="11"/>
      <c r="AL38" s="18" t="s">
        <v>36</v>
      </c>
      <c r="AM38" s="9" t="s">
        <v>10</v>
      </c>
      <c r="AN38" s="10">
        <f t="shared" ref="AN38:AP38" si="46">D38+K38+R38+Y38+AF38</f>
        <v>0</v>
      </c>
      <c r="AO38" s="10">
        <f t="shared" si="46"/>
        <v>0</v>
      </c>
      <c r="AP38" s="10">
        <f t="shared" si="46"/>
        <v>0</v>
      </c>
      <c r="AQ38" s="11">
        <f t="shared" ref="AQ38:AQ45" si="48">H38+O38+V38+AC38+AJ38</f>
        <v>0</v>
      </c>
    </row>
    <row r="39">
      <c r="A39" s="19"/>
      <c r="B39" s="19"/>
      <c r="C39" s="9" t="s">
        <v>12</v>
      </c>
      <c r="D39" s="10"/>
      <c r="E39" s="10"/>
      <c r="F39" s="10"/>
      <c r="G39" s="10"/>
      <c r="H39" s="11"/>
      <c r="I39" s="19"/>
      <c r="J39" s="9" t="s">
        <v>12</v>
      </c>
      <c r="K39" s="10"/>
      <c r="L39" s="10"/>
      <c r="M39" s="10"/>
      <c r="N39" s="10"/>
      <c r="O39" s="11"/>
      <c r="P39" s="19"/>
      <c r="Q39" s="9" t="s">
        <v>12</v>
      </c>
      <c r="R39" s="10"/>
      <c r="S39" s="10"/>
      <c r="T39" s="10"/>
      <c r="U39" s="10"/>
      <c r="V39" s="11"/>
      <c r="W39" s="19"/>
      <c r="X39" s="9" t="s">
        <v>12</v>
      </c>
      <c r="Y39" s="10"/>
      <c r="Z39" s="10"/>
      <c r="AA39" s="10"/>
      <c r="AB39" s="10"/>
      <c r="AC39" s="11"/>
      <c r="AD39" s="19"/>
      <c r="AE39" s="9" t="s">
        <v>12</v>
      </c>
      <c r="AF39" s="10"/>
      <c r="AG39" s="10"/>
      <c r="AH39" s="10"/>
      <c r="AI39" s="10"/>
      <c r="AJ39" s="11"/>
      <c r="AL39" s="19"/>
      <c r="AM39" s="9" t="s">
        <v>12</v>
      </c>
      <c r="AN39" s="10">
        <f t="shared" ref="AN39:AP39" si="47">D39+K39+R39+Y39+AF39</f>
        <v>0</v>
      </c>
      <c r="AO39" s="10">
        <f t="shared" si="47"/>
        <v>0</v>
      </c>
      <c r="AP39" s="10">
        <f t="shared" si="47"/>
        <v>0</v>
      </c>
      <c r="AQ39" s="11">
        <f t="shared" si="48"/>
        <v>0</v>
      </c>
    </row>
    <row r="40">
      <c r="A40" s="19"/>
      <c r="B40" s="19"/>
      <c r="C40" s="9" t="s">
        <v>276</v>
      </c>
      <c r="D40" s="291"/>
      <c r="E40" s="10"/>
      <c r="F40" s="10"/>
      <c r="G40" s="10"/>
      <c r="H40" s="11"/>
      <c r="I40" s="19"/>
      <c r="J40" s="9" t="s">
        <v>276</v>
      </c>
      <c r="K40" s="10"/>
      <c r="L40" s="10"/>
      <c r="M40" s="10"/>
      <c r="N40" s="10"/>
      <c r="O40" s="11"/>
      <c r="P40" s="19"/>
      <c r="Q40" s="9" t="s">
        <v>276</v>
      </c>
      <c r="R40" s="10"/>
      <c r="S40" s="10"/>
      <c r="T40" s="10"/>
      <c r="U40" s="10"/>
      <c r="V40" s="11"/>
      <c r="W40" s="19"/>
      <c r="X40" s="9" t="s">
        <v>276</v>
      </c>
      <c r="Y40" s="10"/>
      <c r="Z40" s="10"/>
      <c r="AA40" s="10"/>
      <c r="AB40" s="10"/>
      <c r="AC40" s="11"/>
      <c r="AD40" s="19"/>
      <c r="AE40" s="9" t="s">
        <v>14</v>
      </c>
      <c r="AF40" s="10"/>
      <c r="AG40" s="10"/>
      <c r="AH40" s="10"/>
      <c r="AI40" s="10"/>
      <c r="AJ40" s="11"/>
      <c r="AL40" s="19"/>
      <c r="AM40" s="9" t="s">
        <v>14</v>
      </c>
      <c r="AN40" s="10">
        <f t="shared" ref="AN40:AP40" si="49">D40+K40+R40+Y40+AF40</f>
        <v>0</v>
      </c>
      <c r="AO40" s="10">
        <f t="shared" si="49"/>
        <v>0</v>
      </c>
      <c r="AP40" s="10">
        <f t="shared" si="49"/>
        <v>0</v>
      </c>
      <c r="AQ40" s="11">
        <f t="shared" si="48"/>
        <v>0</v>
      </c>
    </row>
    <row r="41">
      <c r="A41" s="19"/>
      <c r="B41" s="19"/>
      <c r="C41" s="9" t="s">
        <v>16</v>
      </c>
      <c r="D41" s="10"/>
      <c r="E41" s="10"/>
      <c r="F41" s="10"/>
      <c r="G41" s="310"/>
      <c r="H41" s="11"/>
      <c r="I41" s="19"/>
      <c r="J41" s="9" t="s">
        <v>16</v>
      </c>
      <c r="K41" s="10"/>
      <c r="L41" s="10"/>
      <c r="M41" s="10"/>
      <c r="N41" s="10"/>
      <c r="O41" s="11"/>
      <c r="P41" s="19"/>
      <c r="Q41" s="9" t="s">
        <v>16</v>
      </c>
      <c r="R41" s="10"/>
      <c r="S41" s="10"/>
      <c r="T41" s="10"/>
      <c r="U41" s="10"/>
      <c r="V41" s="11"/>
      <c r="W41" s="19"/>
      <c r="X41" s="9" t="s">
        <v>16</v>
      </c>
      <c r="Y41" s="10"/>
      <c r="Z41" s="10"/>
      <c r="AA41" s="10"/>
      <c r="AB41" s="10"/>
      <c r="AC41" s="11"/>
      <c r="AD41" s="19"/>
      <c r="AE41" s="9" t="s">
        <v>16</v>
      </c>
      <c r="AF41" s="10"/>
      <c r="AG41" s="10"/>
      <c r="AH41" s="10"/>
      <c r="AI41" s="10"/>
      <c r="AJ41" s="11"/>
      <c r="AL41" s="19"/>
      <c r="AM41" s="9" t="s">
        <v>16</v>
      </c>
      <c r="AN41" s="10">
        <f t="shared" ref="AN41:AP41" si="50">D41+K41+R41+Y41+AF41</f>
        <v>0</v>
      </c>
      <c r="AO41" s="10">
        <f t="shared" si="50"/>
        <v>0</v>
      </c>
      <c r="AP41" s="10">
        <f t="shared" si="50"/>
        <v>0</v>
      </c>
      <c r="AQ41" s="11">
        <f t="shared" si="48"/>
        <v>0</v>
      </c>
    </row>
    <row r="42">
      <c r="A42" s="19"/>
      <c r="B42" s="19"/>
      <c r="C42" s="9" t="s">
        <v>17</v>
      </c>
      <c r="D42" s="10"/>
      <c r="E42" s="10"/>
      <c r="F42" s="10"/>
      <c r="G42" s="10"/>
      <c r="H42" s="11"/>
      <c r="I42" s="19"/>
      <c r="J42" s="9" t="s">
        <v>17</v>
      </c>
      <c r="K42" s="10"/>
      <c r="L42" s="10"/>
      <c r="M42" s="10"/>
      <c r="N42" s="10"/>
      <c r="O42" s="11"/>
      <c r="P42" s="19"/>
      <c r="Q42" s="9" t="s">
        <v>17</v>
      </c>
      <c r="R42" s="10"/>
      <c r="S42" s="10"/>
      <c r="T42" s="10"/>
      <c r="U42" s="10"/>
      <c r="V42" s="11"/>
      <c r="W42" s="19"/>
      <c r="X42" s="9" t="s">
        <v>17</v>
      </c>
      <c r="Y42" s="10"/>
      <c r="Z42" s="10"/>
      <c r="AA42" s="10"/>
      <c r="AB42" s="10"/>
      <c r="AC42" s="11"/>
      <c r="AD42" s="19"/>
      <c r="AE42" s="9" t="s">
        <v>17</v>
      </c>
      <c r="AF42" s="10"/>
      <c r="AG42" s="10"/>
      <c r="AH42" s="10"/>
      <c r="AI42" s="10"/>
      <c r="AJ42" s="11"/>
      <c r="AL42" s="19"/>
      <c r="AM42" s="9" t="s">
        <v>17</v>
      </c>
      <c r="AN42" s="10">
        <f t="shared" ref="AN42:AP42" si="51">D42+K42+R42+Y42+AF42</f>
        <v>0</v>
      </c>
      <c r="AO42" s="10">
        <f t="shared" si="51"/>
        <v>0</v>
      </c>
      <c r="AP42" s="10">
        <f t="shared" si="51"/>
        <v>0</v>
      </c>
      <c r="AQ42" s="11">
        <f t="shared" si="48"/>
        <v>0</v>
      </c>
    </row>
    <row r="43">
      <c r="A43" s="19"/>
      <c r="B43" s="19"/>
      <c r="C43" s="9" t="s">
        <v>18</v>
      </c>
      <c r="D43" s="10"/>
      <c r="E43" s="10"/>
      <c r="F43" s="10"/>
      <c r="G43" s="10"/>
      <c r="H43" s="11"/>
      <c r="I43" s="19"/>
      <c r="J43" s="9" t="s">
        <v>18</v>
      </c>
      <c r="K43" s="10"/>
      <c r="L43" s="10"/>
      <c r="M43" s="10"/>
      <c r="N43" s="10"/>
      <c r="O43" s="11"/>
      <c r="P43" s="19"/>
      <c r="Q43" s="9" t="s">
        <v>18</v>
      </c>
      <c r="R43" s="10"/>
      <c r="S43" s="10"/>
      <c r="T43" s="10"/>
      <c r="U43" s="10"/>
      <c r="V43" s="11"/>
      <c r="W43" s="19"/>
      <c r="X43" s="9" t="s">
        <v>18</v>
      </c>
      <c r="Y43" s="10"/>
      <c r="Z43" s="10"/>
      <c r="AA43" s="10"/>
      <c r="AB43" s="10"/>
      <c r="AC43" s="11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2">D43+K43+R43+Y43+AF43</f>
        <v>0</v>
      </c>
      <c r="AO43" s="10">
        <f t="shared" si="52"/>
        <v>0</v>
      </c>
      <c r="AP43" s="10">
        <f t="shared" si="52"/>
        <v>0</v>
      </c>
      <c r="AQ43" s="11">
        <f t="shared" si="48"/>
        <v>0</v>
      </c>
    </row>
    <row r="44">
      <c r="A44" s="19"/>
      <c r="B44" s="19"/>
      <c r="C44" s="9" t="s">
        <v>20</v>
      </c>
      <c r="D44" s="10"/>
      <c r="E44" s="10"/>
      <c r="F44" s="10"/>
      <c r="G44" s="10"/>
      <c r="H44" s="11"/>
      <c r="I44" s="19"/>
      <c r="J44" s="9" t="s">
        <v>19</v>
      </c>
      <c r="K44" s="10"/>
      <c r="L44" s="10"/>
      <c r="M44" s="10"/>
      <c r="N44" s="10"/>
      <c r="O44" s="11"/>
      <c r="P44" s="19"/>
      <c r="Q44" s="9" t="s">
        <v>19</v>
      </c>
      <c r="R44" s="10"/>
      <c r="S44" s="10"/>
      <c r="T44" s="10"/>
      <c r="U44" s="10"/>
      <c r="V44" s="11"/>
      <c r="W44" s="19"/>
      <c r="X44" s="9" t="s">
        <v>19</v>
      </c>
      <c r="Y44" s="10"/>
      <c r="Z44" s="10"/>
      <c r="AA44" s="10"/>
      <c r="AB44" s="10"/>
      <c r="AC44" s="11"/>
      <c r="AD44" s="19"/>
      <c r="AE44" s="9" t="s">
        <v>19</v>
      </c>
      <c r="AF44" s="10"/>
      <c r="AG44" s="10"/>
      <c r="AH44" s="10"/>
      <c r="AI44" s="10"/>
      <c r="AJ44" s="11"/>
      <c r="AL44" s="19"/>
      <c r="AM44" s="9" t="s">
        <v>19</v>
      </c>
      <c r="AN44" s="10">
        <f t="shared" ref="AN44:AP44" si="53">D44+K44+R44+Y44+AF44</f>
        <v>0</v>
      </c>
      <c r="AO44" s="10">
        <f t="shared" si="53"/>
        <v>0</v>
      </c>
      <c r="AP44" s="10">
        <f t="shared" si="53"/>
        <v>0</v>
      </c>
      <c r="AQ44" s="11">
        <f t="shared" si="48"/>
        <v>0</v>
      </c>
    </row>
    <row r="45">
      <c r="A45" s="19"/>
      <c r="B45" s="19"/>
      <c r="C45" s="26" t="s">
        <v>21</v>
      </c>
      <c r="D45" s="10"/>
      <c r="E45" s="10"/>
      <c r="F45" s="10"/>
      <c r="G45" s="310"/>
      <c r="H45" s="11"/>
      <c r="I45" s="19"/>
      <c r="J45" s="26" t="s">
        <v>21</v>
      </c>
      <c r="K45" s="10"/>
      <c r="L45" s="10"/>
      <c r="M45" s="10"/>
      <c r="N45" s="310"/>
      <c r="O45" s="11"/>
      <c r="P45" s="19"/>
      <c r="Q45" s="26" t="s">
        <v>21</v>
      </c>
      <c r="R45" s="10"/>
      <c r="S45" s="10"/>
      <c r="T45" s="10"/>
      <c r="U45" s="10"/>
      <c r="V45" s="11"/>
      <c r="W45" s="19"/>
      <c r="X45" s="26" t="s">
        <v>22</v>
      </c>
      <c r="Y45" s="10"/>
      <c r="Z45" s="10"/>
      <c r="AA45" s="10"/>
      <c r="AB45" s="310"/>
      <c r="AC45" s="11"/>
      <c r="AD45" s="19"/>
      <c r="AE45" s="26" t="s">
        <v>21</v>
      </c>
      <c r="AF45" s="10"/>
      <c r="AG45" s="10"/>
      <c r="AH45" s="10"/>
      <c r="AI45" s="10"/>
      <c r="AJ45" s="11"/>
      <c r="AL45" s="19"/>
      <c r="AM45" s="26" t="s">
        <v>21</v>
      </c>
      <c r="AN45" s="10">
        <f t="shared" ref="AN45:AP45" si="54">D45+K45+R45+Y45+AF45</f>
        <v>0</v>
      </c>
      <c r="AO45" s="10">
        <f t="shared" si="54"/>
        <v>0</v>
      </c>
      <c r="AP45" s="10">
        <f t="shared" si="54"/>
        <v>0</v>
      </c>
      <c r="AQ45" s="11">
        <f t="shared" si="48"/>
        <v>0</v>
      </c>
    </row>
    <row r="46">
      <c r="A46" s="19"/>
      <c r="B46" s="19"/>
      <c r="C46" s="28" t="s">
        <v>23</v>
      </c>
      <c r="D46" s="32">
        <f t="shared" ref="D46:H46" si="55">D38+D39+D40+D41+D42+D43+D44+D45</f>
        <v>0</v>
      </c>
      <c r="E46" s="30">
        <f t="shared" si="55"/>
        <v>0</v>
      </c>
      <c r="F46" s="31">
        <f t="shared" si="55"/>
        <v>0</v>
      </c>
      <c r="G46" s="40">
        <f t="shared" si="55"/>
        <v>0</v>
      </c>
      <c r="H46" s="33">
        <f t="shared" si="55"/>
        <v>0</v>
      </c>
      <c r="I46" s="19"/>
      <c r="J46" s="28" t="s">
        <v>23</v>
      </c>
      <c r="K46" s="29">
        <f t="shared" ref="K46:O46" si="56">K38+K39+K40+K41+K42+K43+K44+K45</f>
        <v>0</v>
      </c>
      <c r="L46" s="35">
        <f t="shared" si="56"/>
        <v>0</v>
      </c>
      <c r="M46" s="31">
        <f t="shared" si="56"/>
        <v>0</v>
      </c>
      <c r="N46" s="40">
        <f t="shared" si="56"/>
        <v>0</v>
      </c>
      <c r="O46" s="38">
        <f t="shared" si="56"/>
        <v>0</v>
      </c>
      <c r="P46" s="19"/>
      <c r="Q46" s="28" t="s">
        <v>23</v>
      </c>
      <c r="R46" s="29">
        <f t="shared" ref="R46:V46" si="57">R38+R39+R40+R41+R42+R43+R44+R45</f>
        <v>0</v>
      </c>
      <c r="S46" s="35">
        <f t="shared" si="57"/>
        <v>0</v>
      </c>
      <c r="T46" s="31">
        <f t="shared" si="57"/>
        <v>0</v>
      </c>
      <c r="U46" s="37">
        <f t="shared" si="57"/>
        <v>0</v>
      </c>
      <c r="V46" s="33">
        <f t="shared" si="57"/>
        <v>0</v>
      </c>
      <c r="W46" s="19"/>
      <c r="X46" s="66" t="s">
        <v>23</v>
      </c>
      <c r="Y46" s="61">
        <f t="shared" ref="Y46:AC46" si="58">Y38+Y39+Y40+Y41+Y42+Y43+Y44+Y45</f>
        <v>0</v>
      </c>
      <c r="Z46" s="30">
        <f t="shared" si="58"/>
        <v>0</v>
      </c>
      <c r="AA46" s="36">
        <f t="shared" si="58"/>
        <v>0</v>
      </c>
      <c r="AB46" s="37">
        <f t="shared" si="58"/>
        <v>0</v>
      </c>
      <c r="AC46" s="33">
        <f t="shared" si="58"/>
        <v>0</v>
      </c>
      <c r="AD46" s="19"/>
      <c r="AE46" s="28" t="s">
        <v>23</v>
      </c>
      <c r="AF46" s="29">
        <f t="shared" ref="AF46:AJ46" si="59">AF38+AF39+AF40+AF41+AF42+AF43+AF44+AF45</f>
        <v>0</v>
      </c>
      <c r="AG46" s="35">
        <f t="shared" si="59"/>
        <v>0</v>
      </c>
      <c r="AH46" s="31">
        <f t="shared" si="59"/>
        <v>0</v>
      </c>
      <c r="AI46" s="37">
        <f t="shared" si="59"/>
        <v>0</v>
      </c>
      <c r="AJ46" s="33">
        <f t="shared" si="59"/>
        <v>0</v>
      </c>
      <c r="AL46" s="19"/>
      <c r="AM46" s="28" t="s">
        <v>23</v>
      </c>
      <c r="AN46" s="41">
        <f t="shared" ref="AN46:AQ46" si="60">AN38+AN39+AN40+AN41+AN42+AN43+AN44+AN45</f>
        <v>0</v>
      </c>
      <c r="AO46" s="42">
        <f t="shared" si="60"/>
        <v>0</v>
      </c>
      <c r="AP46" s="43">
        <f t="shared" si="60"/>
        <v>0</v>
      </c>
      <c r="AQ46" s="44">
        <f t="shared" si="60"/>
        <v>0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0</v>
      </c>
      <c r="L47" s="47"/>
      <c r="M47" s="48"/>
      <c r="N47" s="51"/>
      <c r="O47" s="51"/>
      <c r="P47" s="19"/>
      <c r="Q47" s="45" t="s">
        <v>24</v>
      </c>
      <c r="R47" s="50">
        <f>R46-S46</f>
        <v>0</v>
      </c>
      <c r="S47" s="47"/>
      <c r="T47" s="48"/>
      <c r="U47" s="51"/>
      <c r="V47" s="51"/>
      <c r="W47" s="19"/>
      <c r="X47" s="45" t="s">
        <v>24</v>
      </c>
      <c r="Y47" s="50">
        <f>Y46-Z46</f>
        <v>0</v>
      </c>
      <c r="Z47" s="47"/>
      <c r="AA47" s="48"/>
      <c r="AB47" s="51"/>
      <c r="AC47" s="51"/>
      <c r="AD47" s="19"/>
      <c r="AE47" s="45" t="s">
        <v>24</v>
      </c>
      <c r="AF47" s="50">
        <f>AF46-AG46</f>
        <v>0</v>
      </c>
      <c r="AG47" s="47"/>
      <c r="AH47" s="48"/>
      <c r="AI47" s="51"/>
      <c r="AJ47" s="51"/>
      <c r="AL47" s="53"/>
      <c r="AM47" s="45" t="s">
        <v>25</v>
      </c>
      <c r="AN47" s="50">
        <f>AN46-AO46</f>
        <v>0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0</v>
      </c>
      <c r="L48" s="47"/>
      <c r="M48" s="48"/>
      <c r="N48" s="51"/>
      <c r="O48" s="51"/>
      <c r="P48" s="53"/>
      <c r="Q48" s="56" t="s">
        <v>26</v>
      </c>
      <c r="R48" s="57">
        <f>T46-S46</f>
        <v>0</v>
      </c>
      <c r="S48" s="47"/>
      <c r="T48" s="48"/>
      <c r="U48" s="51"/>
      <c r="V48" s="51"/>
      <c r="W48" s="53"/>
      <c r="X48" s="56" t="s">
        <v>26</v>
      </c>
      <c r="Y48" s="57">
        <f>AA46-Z46</f>
        <v>0</v>
      </c>
      <c r="Z48" s="47"/>
      <c r="AA48" s="48"/>
      <c r="AB48" s="51"/>
      <c r="AC48" s="51"/>
      <c r="AD48" s="53"/>
      <c r="AE48" s="56" t="s">
        <v>26</v>
      </c>
      <c r="AF48" s="57">
        <f>AH46-AG46</f>
        <v>0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2" t="s">
        <v>1</v>
      </c>
      <c r="D49" s="3" t="s">
        <v>2</v>
      </c>
      <c r="E49" s="2" t="s">
        <v>3</v>
      </c>
      <c r="F49" s="2" t="s">
        <v>4</v>
      </c>
      <c r="G49" s="2" t="s">
        <v>5</v>
      </c>
      <c r="H49" s="5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2" t="s">
        <v>1</v>
      </c>
      <c r="R49" s="4" t="s">
        <v>7</v>
      </c>
      <c r="S49" s="2" t="s">
        <v>3</v>
      </c>
      <c r="T49" s="2" t="s">
        <v>4</v>
      </c>
      <c r="U49" s="2" t="s">
        <v>5</v>
      </c>
      <c r="V49" s="5" t="s">
        <v>6</v>
      </c>
      <c r="W49" s="68" t="s">
        <v>0</v>
      </c>
      <c r="X49" s="2" t="s">
        <v>1</v>
      </c>
      <c r="Y49" s="4" t="s">
        <v>7</v>
      </c>
      <c r="Z49" s="2" t="s">
        <v>3</v>
      </c>
      <c r="AA49" s="2" t="s">
        <v>4</v>
      </c>
      <c r="AB49" s="2" t="s">
        <v>5</v>
      </c>
      <c r="AC49" s="5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>
        <v>45933.0</v>
      </c>
      <c r="C50" s="9" t="s">
        <v>10</v>
      </c>
      <c r="D50" s="10"/>
      <c r="E50" s="10"/>
      <c r="F50" s="10"/>
      <c r="G50" s="10"/>
      <c r="H50" s="11"/>
      <c r="I50" s="12">
        <v>45940.0</v>
      </c>
      <c r="J50" s="9" t="s">
        <v>10</v>
      </c>
      <c r="K50" s="10"/>
      <c r="L50" s="10"/>
      <c r="M50" s="10"/>
      <c r="N50" s="10"/>
      <c r="O50" s="11"/>
      <c r="P50" s="8">
        <v>45947.0</v>
      </c>
      <c r="Q50" s="9" t="s">
        <v>10</v>
      </c>
      <c r="R50" s="10"/>
      <c r="S50" s="10"/>
      <c r="T50" s="10"/>
      <c r="U50" s="10"/>
      <c r="V50" s="11"/>
      <c r="W50" s="8">
        <v>45954.0</v>
      </c>
      <c r="X50" s="9" t="s">
        <v>10</v>
      </c>
      <c r="Y50" s="10"/>
      <c r="Z50" s="10"/>
      <c r="AA50" s="10"/>
      <c r="AB50" s="10"/>
      <c r="AC50" s="11"/>
      <c r="AD50" s="8">
        <v>45961.0</v>
      </c>
      <c r="AE50" s="9" t="s">
        <v>10</v>
      </c>
      <c r="AF50" s="10"/>
      <c r="AG50" s="10"/>
      <c r="AH50" s="10"/>
      <c r="AI50" s="10"/>
      <c r="AJ50" s="11"/>
      <c r="AL50" s="18" t="s">
        <v>38</v>
      </c>
      <c r="AM50" s="9" t="s">
        <v>10</v>
      </c>
      <c r="AN50" s="10">
        <f t="shared" ref="AN50:AP50" si="61">D50+K50+R50+Y50+AF50</f>
        <v>0</v>
      </c>
      <c r="AO50" s="10">
        <f t="shared" si="61"/>
        <v>0</v>
      </c>
      <c r="AP50" s="10">
        <f t="shared" si="61"/>
        <v>0</v>
      </c>
      <c r="AQ50" s="11">
        <f t="shared" ref="AQ50:AQ57" si="63">H50+O50+V50+AC50+AJ50</f>
        <v>0</v>
      </c>
    </row>
    <row r="51">
      <c r="A51" s="19"/>
      <c r="B51" s="19"/>
      <c r="C51" s="9" t="s">
        <v>12</v>
      </c>
      <c r="D51" s="10"/>
      <c r="E51" s="10"/>
      <c r="F51" s="10"/>
      <c r="G51" s="10"/>
      <c r="H51" s="11"/>
      <c r="I51" s="19"/>
      <c r="J51" s="9" t="s">
        <v>12</v>
      </c>
      <c r="K51" s="10"/>
      <c r="L51" s="10"/>
      <c r="M51" s="10"/>
      <c r="N51" s="10"/>
      <c r="O51" s="11"/>
      <c r="P51" s="19"/>
      <c r="Q51" s="9" t="s">
        <v>32</v>
      </c>
      <c r="R51" s="10"/>
      <c r="S51" s="10"/>
      <c r="T51" s="10"/>
      <c r="U51" s="10"/>
      <c r="V51" s="11"/>
      <c r="W51" s="19"/>
      <c r="X51" s="9" t="s">
        <v>12</v>
      </c>
      <c r="Y51" s="10"/>
      <c r="Z51" s="10"/>
      <c r="AA51" s="10"/>
      <c r="AB51" s="10"/>
      <c r="AC51" s="11"/>
      <c r="AD51" s="19"/>
      <c r="AE51" s="9" t="s">
        <v>12</v>
      </c>
      <c r="AF51" s="10"/>
      <c r="AG51" s="10"/>
      <c r="AH51" s="10"/>
      <c r="AI51" s="10"/>
      <c r="AJ51" s="11"/>
      <c r="AL51" s="19"/>
      <c r="AM51" s="9" t="s">
        <v>12</v>
      </c>
      <c r="AN51" s="10">
        <f t="shared" ref="AN51:AP51" si="62">D51+K51+R51+Y51+AF51</f>
        <v>0</v>
      </c>
      <c r="AO51" s="10">
        <f t="shared" si="62"/>
        <v>0</v>
      </c>
      <c r="AP51" s="10">
        <f t="shared" si="62"/>
        <v>0</v>
      </c>
      <c r="AQ51" s="11">
        <f t="shared" si="63"/>
        <v>0</v>
      </c>
    </row>
    <row r="52">
      <c r="A52" s="19"/>
      <c r="B52" s="19"/>
      <c r="C52" s="9" t="s">
        <v>276</v>
      </c>
      <c r="D52" s="10"/>
      <c r="E52" s="10"/>
      <c r="F52" s="10"/>
      <c r="G52" s="10"/>
      <c r="H52" s="11"/>
      <c r="I52" s="19"/>
      <c r="J52" s="9" t="s">
        <v>276</v>
      </c>
      <c r="K52" s="291"/>
      <c r="L52" s="10"/>
      <c r="M52" s="10"/>
      <c r="N52" s="10"/>
      <c r="O52" s="11"/>
      <c r="P52" s="19"/>
      <c r="Q52" s="9" t="s">
        <v>276</v>
      </c>
      <c r="R52" s="10"/>
      <c r="S52" s="10"/>
      <c r="T52" s="10"/>
      <c r="U52" s="10"/>
      <c r="V52" s="11"/>
      <c r="W52" s="19"/>
      <c r="X52" s="9" t="s">
        <v>276</v>
      </c>
      <c r="Y52" s="10"/>
      <c r="Z52" s="10"/>
      <c r="AA52" s="10"/>
      <c r="AB52" s="10"/>
      <c r="AC52" s="11"/>
      <c r="AD52" s="19"/>
      <c r="AE52" s="9" t="s">
        <v>14</v>
      </c>
      <c r="AF52" s="10"/>
      <c r="AG52" s="10"/>
      <c r="AH52" s="10"/>
      <c r="AI52" s="10"/>
      <c r="AJ52" s="11"/>
      <c r="AL52" s="19"/>
      <c r="AM52" s="9" t="s">
        <v>14</v>
      </c>
      <c r="AN52" s="10">
        <f t="shared" ref="AN52:AP52" si="64">D52+K52+R52+Y52+AF52</f>
        <v>0</v>
      </c>
      <c r="AO52" s="10">
        <f t="shared" si="64"/>
        <v>0</v>
      </c>
      <c r="AP52" s="10">
        <f t="shared" si="64"/>
        <v>0</v>
      </c>
      <c r="AQ52" s="11">
        <f t="shared" si="63"/>
        <v>0</v>
      </c>
    </row>
    <row r="53">
      <c r="A53" s="19"/>
      <c r="B53" s="19"/>
      <c r="C53" s="9" t="s">
        <v>16</v>
      </c>
      <c r="D53" s="10"/>
      <c r="E53" s="10"/>
      <c r="F53" s="10"/>
      <c r="G53" s="10"/>
      <c r="H53" s="11"/>
      <c r="I53" s="19"/>
      <c r="J53" s="9" t="s">
        <v>15</v>
      </c>
      <c r="K53" s="10"/>
      <c r="L53" s="10"/>
      <c r="M53" s="10"/>
      <c r="N53" s="10"/>
      <c r="O53" s="11"/>
      <c r="P53" s="19"/>
      <c r="Q53" s="9" t="s">
        <v>16</v>
      </c>
      <c r="R53" s="10"/>
      <c r="S53" s="10"/>
      <c r="T53" s="10"/>
      <c r="U53" s="10"/>
      <c r="V53" s="11"/>
      <c r="W53" s="19"/>
      <c r="X53" s="9" t="s">
        <v>16</v>
      </c>
      <c r="Y53" s="10"/>
      <c r="Z53" s="10"/>
      <c r="AA53" s="10"/>
      <c r="AB53" s="10"/>
      <c r="AC53" s="11"/>
      <c r="AD53" s="19"/>
      <c r="AE53" s="9" t="s">
        <v>16</v>
      </c>
      <c r="AF53" s="10"/>
      <c r="AG53" s="10"/>
      <c r="AH53" s="10"/>
      <c r="AI53" s="10"/>
      <c r="AJ53" s="11"/>
      <c r="AL53" s="19"/>
      <c r="AM53" s="9" t="s">
        <v>16</v>
      </c>
      <c r="AN53" s="10">
        <f t="shared" ref="AN53:AP53" si="65">D53+K53+R53+Y53+AF53</f>
        <v>0</v>
      </c>
      <c r="AO53" s="10">
        <f t="shared" si="65"/>
        <v>0</v>
      </c>
      <c r="AP53" s="10">
        <f t="shared" si="65"/>
        <v>0</v>
      </c>
      <c r="AQ53" s="11">
        <f t="shared" si="63"/>
        <v>0</v>
      </c>
    </row>
    <row r="54">
      <c r="A54" s="19"/>
      <c r="B54" s="19"/>
      <c r="C54" s="9" t="s">
        <v>17</v>
      </c>
      <c r="D54" s="10"/>
      <c r="E54" s="10"/>
      <c r="F54" s="10"/>
      <c r="G54" s="10"/>
      <c r="H54" s="11"/>
      <c r="I54" s="19"/>
      <c r="J54" s="9" t="s">
        <v>17</v>
      </c>
      <c r="K54" s="10"/>
      <c r="L54" s="10"/>
      <c r="M54" s="10"/>
      <c r="N54" s="10"/>
      <c r="O54" s="11"/>
      <c r="P54" s="19"/>
      <c r="Q54" s="9" t="s">
        <v>17</v>
      </c>
      <c r="R54" s="10"/>
      <c r="S54" s="10"/>
      <c r="T54" s="10"/>
      <c r="U54" s="10"/>
      <c r="V54" s="11"/>
      <c r="W54" s="19"/>
      <c r="X54" s="9" t="s">
        <v>17</v>
      </c>
      <c r="Y54" s="10"/>
      <c r="Z54" s="10"/>
      <c r="AA54" s="10"/>
      <c r="AB54" s="10"/>
      <c r="AC54" s="11"/>
      <c r="AD54" s="19"/>
      <c r="AE54" s="9" t="s">
        <v>17</v>
      </c>
      <c r="AF54" s="10"/>
      <c r="AG54" s="10"/>
      <c r="AH54" s="10"/>
      <c r="AI54" s="10"/>
      <c r="AJ54" s="11"/>
      <c r="AL54" s="19"/>
      <c r="AM54" s="9" t="s">
        <v>17</v>
      </c>
      <c r="AN54" s="10">
        <f t="shared" ref="AN54:AP54" si="66">D54+K54+R54+Y54+AF54</f>
        <v>0</v>
      </c>
      <c r="AO54" s="10">
        <f t="shared" si="66"/>
        <v>0</v>
      </c>
      <c r="AP54" s="10">
        <f t="shared" si="66"/>
        <v>0</v>
      </c>
      <c r="AQ54" s="11">
        <f t="shared" si="63"/>
        <v>0</v>
      </c>
    </row>
    <row r="55">
      <c r="A55" s="19"/>
      <c r="B55" s="19"/>
      <c r="C55" s="9" t="s">
        <v>287</v>
      </c>
      <c r="D55" s="10"/>
      <c r="E55" s="10"/>
      <c r="F55" s="10"/>
      <c r="G55" s="10"/>
      <c r="H55" s="11"/>
      <c r="I55" s="19"/>
      <c r="J55" s="9" t="s">
        <v>18</v>
      </c>
      <c r="K55" s="10"/>
      <c r="L55" s="10"/>
      <c r="M55" s="10"/>
      <c r="N55" s="10"/>
      <c r="O55" s="11"/>
      <c r="P55" s="19"/>
      <c r="Q55" s="9" t="s">
        <v>29</v>
      </c>
      <c r="R55" s="10"/>
      <c r="S55" s="10"/>
      <c r="T55" s="10"/>
      <c r="U55" s="10"/>
      <c r="V55" s="11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7">D55+K55+R55+Y55+AF55</f>
        <v>0</v>
      </c>
      <c r="AO55" s="10">
        <f t="shared" si="67"/>
        <v>0</v>
      </c>
      <c r="AP55" s="10">
        <f t="shared" si="67"/>
        <v>0</v>
      </c>
      <c r="AQ55" s="11">
        <f t="shared" si="63"/>
        <v>0</v>
      </c>
    </row>
    <row r="56">
      <c r="A56" s="19"/>
      <c r="B56" s="19"/>
      <c r="C56" s="9" t="s">
        <v>20</v>
      </c>
      <c r="D56" s="10"/>
      <c r="E56" s="10"/>
      <c r="F56" s="10"/>
      <c r="G56" s="10"/>
      <c r="H56" s="11"/>
      <c r="I56" s="19"/>
      <c r="J56" s="9" t="s">
        <v>19</v>
      </c>
      <c r="K56" s="10"/>
      <c r="L56" s="10"/>
      <c r="M56" s="10"/>
      <c r="N56" s="10"/>
      <c r="O56" s="11"/>
      <c r="P56" s="19"/>
      <c r="Q56" s="9" t="s">
        <v>19</v>
      </c>
      <c r="R56" s="10"/>
      <c r="S56" s="10"/>
      <c r="T56" s="10"/>
      <c r="U56" s="10"/>
      <c r="V56" s="11"/>
      <c r="W56" s="19"/>
      <c r="X56" s="9" t="s">
        <v>19</v>
      </c>
      <c r="Y56" s="10"/>
      <c r="Z56" s="10"/>
      <c r="AA56" s="10"/>
      <c r="AB56" s="10"/>
      <c r="AC56" s="11"/>
      <c r="AD56" s="19"/>
      <c r="AE56" s="9" t="s">
        <v>19</v>
      </c>
      <c r="AF56" s="10"/>
      <c r="AG56" s="10"/>
      <c r="AH56" s="10"/>
      <c r="AI56" s="10"/>
      <c r="AJ56" s="11"/>
      <c r="AL56" s="19"/>
      <c r="AM56" s="9" t="s">
        <v>19</v>
      </c>
      <c r="AN56" s="10">
        <f t="shared" ref="AN56:AP56" si="68">D56+K56+R56+Y56+AF56</f>
        <v>0</v>
      </c>
      <c r="AO56" s="10">
        <f t="shared" si="68"/>
        <v>0</v>
      </c>
      <c r="AP56" s="10">
        <f t="shared" si="68"/>
        <v>0</v>
      </c>
      <c r="AQ56" s="11">
        <f t="shared" si="63"/>
        <v>0</v>
      </c>
    </row>
    <row r="57">
      <c r="A57" s="19"/>
      <c r="B57" s="19"/>
      <c r="C57" s="26" t="s">
        <v>21</v>
      </c>
      <c r="D57" s="10"/>
      <c r="E57" s="10"/>
      <c r="F57" s="10"/>
      <c r="G57" s="10"/>
      <c r="H57" s="11"/>
      <c r="I57" s="19"/>
      <c r="J57" s="26" t="s">
        <v>21</v>
      </c>
      <c r="K57" s="10"/>
      <c r="L57" s="10"/>
      <c r="M57" s="10"/>
      <c r="N57" s="310"/>
      <c r="O57" s="11"/>
      <c r="P57" s="19"/>
      <c r="Q57" s="26" t="s">
        <v>21</v>
      </c>
      <c r="R57" s="10"/>
      <c r="S57" s="10"/>
      <c r="T57" s="10"/>
      <c r="U57" s="10"/>
      <c r="V57" s="11"/>
      <c r="W57" s="19"/>
      <c r="X57" s="26" t="s">
        <v>21</v>
      </c>
      <c r="Y57" s="10"/>
      <c r="Z57" s="10"/>
      <c r="AA57" s="10"/>
      <c r="AB57" s="310"/>
      <c r="AC57" s="11"/>
      <c r="AD57" s="19"/>
      <c r="AE57" s="26" t="s">
        <v>21</v>
      </c>
      <c r="AF57" s="10"/>
      <c r="AG57" s="10"/>
      <c r="AH57" s="10"/>
      <c r="AI57" s="310"/>
      <c r="AJ57" s="11"/>
      <c r="AL57" s="19"/>
      <c r="AM57" s="26" t="s">
        <v>21</v>
      </c>
      <c r="AN57" s="10">
        <f t="shared" ref="AN57:AP57" si="69">D57+K57+R57+Y57+AF57</f>
        <v>0</v>
      </c>
      <c r="AO57" s="10">
        <f t="shared" si="69"/>
        <v>0</v>
      </c>
      <c r="AP57" s="10">
        <f t="shared" si="69"/>
        <v>0</v>
      </c>
      <c r="AQ57" s="11">
        <f t="shared" si="63"/>
        <v>0</v>
      </c>
    </row>
    <row r="58">
      <c r="A58" s="19"/>
      <c r="B58" s="19"/>
      <c r="C58" s="28" t="s">
        <v>23</v>
      </c>
      <c r="D58" s="29">
        <f t="shared" ref="D58:H58" si="70">D50+D51+D52+D53+D54+D55+D56+D57</f>
        <v>0</v>
      </c>
      <c r="E58" s="30">
        <f t="shared" si="70"/>
        <v>0</v>
      </c>
      <c r="F58" s="31">
        <f t="shared" si="70"/>
        <v>0</v>
      </c>
      <c r="G58" s="40">
        <f t="shared" si="70"/>
        <v>0</v>
      </c>
      <c r="H58" s="33">
        <f t="shared" si="70"/>
        <v>0</v>
      </c>
      <c r="I58" s="19"/>
      <c r="J58" s="28" t="s">
        <v>23</v>
      </c>
      <c r="K58" s="61">
        <f t="shared" ref="K58:O58" si="71">K50+K51+K52+K53+K54+K55+K56+K57</f>
        <v>0</v>
      </c>
      <c r="L58" s="30">
        <f t="shared" si="71"/>
        <v>0</v>
      </c>
      <c r="M58" s="36">
        <f t="shared" si="71"/>
        <v>0</v>
      </c>
      <c r="N58" s="40">
        <f t="shared" si="71"/>
        <v>0</v>
      </c>
      <c r="O58" s="33">
        <f t="shared" si="71"/>
        <v>0</v>
      </c>
      <c r="P58" s="19"/>
      <c r="Q58" s="28" t="s">
        <v>23</v>
      </c>
      <c r="R58" s="29">
        <f t="shared" ref="R58:V58" si="72">R50+R51+R52+R53+R54+R55+R56+R57</f>
        <v>0</v>
      </c>
      <c r="S58" s="30">
        <f t="shared" si="72"/>
        <v>0</v>
      </c>
      <c r="T58" s="36">
        <f t="shared" si="72"/>
        <v>0</v>
      </c>
      <c r="U58" s="37">
        <f t="shared" si="72"/>
        <v>0</v>
      </c>
      <c r="V58" s="33">
        <f t="shared" si="72"/>
        <v>0</v>
      </c>
      <c r="W58" s="19"/>
      <c r="X58" s="28" t="s">
        <v>23</v>
      </c>
      <c r="Y58" s="61">
        <f t="shared" ref="Y58:AC58" si="73">Y50+Y51+Y52+Y53+Y54+Y55+Y56+Y57</f>
        <v>0</v>
      </c>
      <c r="Z58" s="30">
        <f t="shared" si="73"/>
        <v>0</v>
      </c>
      <c r="AA58" s="36">
        <f t="shared" si="73"/>
        <v>0</v>
      </c>
      <c r="AB58" s="37">
        <f t="shared" si="73"/>
        <v>0</v>
      </c>
      <c r="AC58" s="33">
        <f t="shared" si="73"/>
        <v>0</v>
      </c>
      <c r="AD58" s="19"/>
      <c r="AE58" s="28" t="s">
        <v>23</v>
      </c>
      <c r="AF58" s="61">
        <f t="shared" ref="AF58:AJ58" si="74">AF50+AF51+AF52+AF53+AF54+AF55+AF56+AF57</f>
        <v>0</v>
      </c>
      <c r="AG58" s="30">
        <f t="shared" si="74"/>
        <v>0</v>
      </c>
      <c r="AH58" s="31">
        <f t="shared" si="74"/>
        <v>0</v>
      </c>
      <c r="AI58" s="30">
        <f t="shared" si="74"/>
        <v>0</v>
      </c>
      <c r="AJ58" s="33">
        <f t="shared" si="74"/>
        <v>0</v>
      </c>
      <c r="AL58" s="19"/>
      <c r="AM58" s="28" t="s">
        <v>23</v>
      </c>
      <c r="AN58" s="41">
        <f t="shared" ref="AN58:AQ58" si="75">AN50+AN51+AN52+AN53+AN54+AN55+AN56+AN57</f>
        <v>0</v>
      </c>
      <c r="AO58" s="42">
        <f t="shared" si="75"/>
        <v>0</v>
      </c>
      <c r="AP58" s="43">
        <f t="shared" si="75"/>
        <v>0</v>
      </c>
      <c r="AQ58" s="44">
        <f t="shared" si="75"/>
        <v>0</v>
      </c>
    </row>
    <row r="59" hidden="1">
      <c r="A59" s="19"/>
      <c r="B59" s="19"/>
      <c r="C59" s="45" t="s">
        <v>24</v>
      </c>
      <c r="D59" s="50">
        <f>D58-E58</f>
        <v>0</v>
      </c>
      <c r="E59" s="47"/>
      <c r="F59" s="48"/>
      <c r="G59" s="51"/>
      <c r="H59" s="51"/>
      <c r="I59" s="19"/>
      <c r="J59" s="45" t="s">
        <v>24</v>
      </c>
      <c r="K59" s="50">
        <f>K58-L58</f>
        <v>0</v>
      </c>
      <c r="L59" s="47"/>
      <c r="M59" s="48"/>
      <c r="N59" s="51"/>
      <c r="O59" s="51"/>
      <c r="P59" s="19"/>
      <c r="Q59" s="45" t="s">
        <v>24</v>
      </c>
      <c r="R59" s="50">
        <f>R58-S58</f>
        <v>0</v>
      </c>
      <c r="S59" s="47"/>
      <c r="T59" s="48"/>
      <c r="U59" s="51"/>
      <c r="V59" s="51"/>
      <c r="W59" s="19"/>
      <c r="X59" s="45" t="s">
        <v>24</v>
      </c>
      <c r="Y59" s="50">
        <f>Y58-Z58</f>
        <v>0</v>
      </c>
      <c r="Z59" s="47"/>
      <c r="AA59" s="48"/>
      <c r="AB59" s="51"/>
      <c r="AC59" s="51"/>
      <c r="AD59" s="19"/>
      <c r="AE59" s="45" t="s">
        <v>24</v>
      </c>
      <c r="AF59" s="50">
        <f>AF58-AG58</f>
        <v>0</v>
      </c>
      <c r="AG59" s="47"/>
      <c r="AH59" s="48"/>
      <c r="AI59" s="51"/>
      <c r="AJ59" s="51"/>
      <c r="AL59" s="53"/>
      <c r="AM59" s="45" t="s">
        <v>25</v>
      </c>
      <c r="AN59" s="50">
        <f>AN58-AO58</f>
        <v>0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0</v>
      </c>
      <c r="E60" s="47"/>
      <c r="F60" s="48"/>
      <c r="G60" s="67"/>
      <c r="H60" s="51"/>
      <c r="I60" s="53"/>
      <c r="J60" s="56" t="s">
        <v>26</v>
      </c>
      <c r="K60" s="57">
        <f>M58-L58</f>
        <v>0</v>
      </c>
      <c r="L60" s="47"/>
      <c r="M60" s="48"/>
      <c r="N60" s="51"/>
      <c r="O60" s="51"/>
      <c r="P60" s="53"/>
      <c r="Q60" s="56" t="s">
        <v>26</v>
      </c>
      <c r="R60" s="57">
        <f>T58-S58</f>
        <v>0</v>
      </c>
      <c r="S60" s="47"/>
      <c r="T60" s="48"/>
      <c r="U60" s="51"/>
      <c r="V60" s="51"/>
      <c r="W60" s="53"/>
      <c r="X60" s="56" t="s">
        <v>26</v>
      </c>
      <c r="Y60" s="57">
        <f>AA58-Z58</f>
        <v>0</v>
      </c>
      <c r="Z60" s="47"/>
      <c r="AA60" s="48"/>
      <c r="AB60" s="51"/>
      <c r="AC60" s="51"/>
      <c r="AD60" s="53"/>
      <c r="AE60" s="56" t="s">
        <v>26</v>
      </c>
      <c r="AF60" s="57">
        <f>AH58-AG58</f>
        <v>0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2" t="s">
        <v>1</v>
      </c>
      <c r="K61" s="4" t="s">
        <v>7</v>
      </c>
      <c r="L61" s="2" t="s">
        <v>3</v>
      </c>
      <c r="M61" s="2" t="s">
        <v>4</v>
      </c>
      <c r="N61" s="2" t="s">
        <v>5</v>
      </c>
      <c r="O61" s="5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2" t="s">
        <v>1</v>
      </c>
      <c r="Y61" s="4" t="s">
        <v>7</v>
      </c>
      <c r="Z61" s="2" t="s">
        <v>3</v>
      </c>
      <c r="AA61" s="2" t="s">
        <v>4</v>
      </c>
      <c r="AB61" s="2" t="s">
        <v>5</v>
      </c>
      <c r="AC61" s="5" t="s">
        <v>6</v>
      </c>
      <c r="AD61" s="2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>
        <v>45934.0</v>
      </c>
      <c r="C62" s="9" t="s">
        <v>10</v>
      </c>
      <c r="D62" s="10"/>
      <c r="E62" s="10"/>
      <c r="F62" s="10"/>
      <c r="G62" s="10"/>
      <c r="H62" s="11"/>
      <c r="I62" s="12">
        <v>45941.0</v>
      </c>
      <c r="J62" s="9" t="s">
        <v>10</v>
      </c>
      <c r="K62" s="10"/>
      <c r="L62" s="10"/>
      <c r="M62" s="10"/>
      <c r="N62" s="10"/>
      <c r="O62" s="11"/>
      <c r="P62" s="8">
        <v>45948.0</v>
      </c>
      <c r="Q62" s="9" t="s">
        <v>10</v>
      </c>
      <c r="R62" s="10"/>
      <c r="S62" s="10"/>
      <c r="T62" s="10"/>
      <c r="U62" s="10"/>
      <c r="V62" s="11"/>
      <c r="W62" s="8">
        <v>45955.0</v>
      </c>
      <c r="X62" s="9" t="s">
        <v>10</v>
      </c>
      <c r="Y62" s="10"/>
      <c r="Z62" s="10"/>
      <c r="AA62" s="10"/>
      <c r="AB62" s="10"/>
      <c r="AC62" s="11"/>
      <c r="AD62" s="12"/>
      <c r="AE62" s="9" t="s">
        <v>10</v>
      </c>
      <c r="AF62" s="10"/>
      <c r="AG62" s="10"/>
      <c r="AH62" s="10"/>
      <c r="AI62" s="10"/>
      <c r="AJ62" s="11"/>
      <c r="AL62" s="18" t="s">
        <v>40</v>
      </c>
      <c r="AM62" s="9" t="s">
        <v>10</v>
      </c>
      <c r="AN62" s="10">
        <f t="shared" ref="AN62:AP62" si="76">D62+K62+R62+Y62+AF62</f>
        <v>0</v>
      </c>
      <c r="AO62" s="10">
        <f t="shared" si="76"/>
        <v>0</v>
      </c>
      <c r="AP62" s="10">
        <f t="shared" si="76"/>
        <v>0</v>
      </c>
      <c r="AQ62" s="11">
        <f t="shared" ref="AQ62:AQ69" si="78">H62+O62+V62+AC62+AJ62</f>
        <v>0</v>
      </c>
    </row>
    <row r="63">
      <c r="A63" s="19"/>
      <c r="B63" s="19"/>
      <c r="C63" s="9" t="s">
        <v>12</v>
      </c>
      <c r="D63" s="10"/>
      <c r="E63" s="10"/>
      <c r="F63" s="10"/>
      <c r="G63" s="10"/>
      <c r="H63" s="11"/>
      <c r="I63" s="19"/>
      <c r="J63" s="9" t="s">
        <v>12</v>
      </c>
      <c r="K63" s="10"/>
      <c r="L63" s="10"/>
      <c r="M63" s="10"/>
      <c r="N63" s="10"/>
      <c r="O63" s="11"/>
      <c r="P63" s="19"/>
      <c r="Q63" s="9" t="s">
        <v>12</v>
      </c>
      <c r="R63" s="72"/>
      <c r="S63" s="10"/>
      <c r="T63" s="72"/>
      <c r="U63" s="10"/>
      <c r="V63" s="11"/>
      <c r="W63" s="19"/>
      <c r="X63" s="9" t="s">
        <v>12</v>
      </c>
      <c r="Y63" s="10"/>
      <c r="Z63" s="10"/>
      <c r="AA63" s="10"/>
      <c r="AB63" s="10"/>
      <c r="AC63" s="11"/>
      <c r="AD63" s="19"/>
      <c r="AE63" s="9" t="s">
        <v>12</v>
      </c>
      <c r="AF63" s="10"/>
      <c r="AG63" s="10"/>
      <c r="AH63" s="10"/>
      <c r="AI63" s="10"/>
      <c r="AJ63" s="11"/>
      <c r="AL63" s="19"/>
      <c r="AM63" s="9" t="s">
        <v>12</v>
      </c>
      <c r="AN63" s="10">
        <f t="shared" ref="AN63:AP63" si="77">D63+K63+R63+Y63+AF63</f>
        <v>0</v>
      </c>
      <c r="AO63" s="10">
        <f t="shared" si="77"/>
        <v>0</v>
      </c>
      <c r="AP63" s="10">
        <f t="shared" si="77"/>
        <v>0</v>
      </c>
      <c r="AQ63" s="11">
        <f t="shared" si="78"/>
        <v>0</v>
      </c>
    </row>
    <row r="64">
      <c r="A64" s="19"/>
      <c r="B64" s="19"/>
      <c r="C64" s="9" t="s">
        <v>276</v>
      </c>
      <c r="D64" s="291"/>
      <c r="E64" s="10"/>
      <c r="F64" s="10"/>
      <c r="G64" s="10"/>
      <c r="H64" s="11"/>
      <c r="I64" s="19"/>
      <c r="J64" s="9" t="s">
        <v>276</v>
      </c>
      <c r="K64" s="10"/>
      <c r="L64" s="10"/>
      <c r="M64" s="10"/>
      <c r="N64" s="10"/>
      <c r="O64" s="11"/>
      <c r="P64" s="19"/>
      <c r="Q64" s="9" t="s">
        <v>276</v>
      </c>
      <c r="R64" s="10"/>
      <c r="S64" s="10"/>
      <c r="T64" s="10"/>
      <c r="U64" s="10"/>
      <c r="V64" s="11"/>
      <c r="W64" s="19"/>
      <c r="X64" s="9" t="s">
        <v>276</v>
      </c>
      <c r="Y64" s="10"/>
      <c r="Z64" s="10"/>
      <c r="AA64" s="10"/>
      <c r="AB64" s="10"/>
      <c r="AC64" s="11"/>
      <c r="AD64" s="19"/>
      <c r="AE64" s="9" t="s">
        <v>14</v>
      </c>
      <c r="AF64" s="10"/>
      <c r="AG64" s="10"/>
      <c r="AH64" s="10"/>
      <c r="AI64" s="10"/>
      <c r="AJ64" s="11"/>
      <c r="AL64" s="19"/>
      <c r="AM64" s="9" t="s">
        <v>14</v>
      </c>
      <c r="AN64" s="10">
        <f t="shared" ref="AN64:AP64" si="79">D64+K64+R64+Y64+AF64</f>
        <v>0</v>
      </c>
      <c r="AO64" s="10">
        <f t="shared" si="79"/>
        <v>0</v>
      </c>
      <c r="AP64" s="10">
        <f t="shared" si="79"/>
        <v>0</v>
      </c>
      <c r="AQ64" s="11">
        <f t="shared" si="78"/>
        <v>0</v>
      </c>
    </row>
    <row r="65">
      <c r="A65" s="19"/>
      <c r="B65" s="19"/>
      <c r="C65" s="9" t="s">
        <v>16</v>
      </c>
      <c r="D65" s="10"/>
      <c r="E65" s="10"/>
      <c r="F65" s="10"/>
      <c r="G65" s="10"/>
      <c r="H65" s="11"/>
      <c r="I65" s="19"/>
      <c r="J65" s="9" t="s">
        <v>16</v>
      </c>
      <c r="K65" s="10"/>
      <c r="L65" s="10"/>
      <c r="M65" s="10"/>
      <c r="N65" s="10"/>
      <c r="O65" s="11"/>
      <c r="P65" s="19"/>
      <c r="Q65" s="9" t="s">
        <v>16</v>
      </c>
      <c r="R65" s="10"/>
      <c r="S65" s="10"/>
      <c r="T65" s="10"/>
      <c r="U65" s="10"/>
      <c r="V65" s="11"/>
      <c r="W65" s="19"/>
      <c r="X65" s="9" t="s">
        <v>16</v>
      </c>
      <c r="Y65" s="10"/>
      <c r="Z65" s="10"/>
      <c r="AA65" s="10"/>
      <c r="AB65" s="10"/>
      <c r="AC65" s="11"/>
      <c r="AD65" s="19"/>
      <c r="AE65" s="9" t="s">
        <v>16</v>
      </c>
      <c r="AF65" s="10"/>
      <c r="AG65" s="10"/>
      <c r="AH65" s="10"/>
      <c r="AI65" s="10"/>
      <c r="AJ65" s="11"/>
      <c r="AL65" s="19"/>
      <c r="AM65" s="9" t="s">
        <v>16</v>
      </c>
      <c r="AN65" s="10">
        <f t="shared" ref="AN65:AP65" si="80">D65+K65+R65+Y65+AF65</f>
        <v>0</v>
      </c>
      <c r="AO65" s="10">
        <f t="shared" si="80"/>
        <v>0</v>
      </c>
      <c r="AP65" s="10">
        <f t="shared" si="80"/>
        <v>0</v>
      </c>
      <c r="AQ65" s="11">
        <f t="shared" si="78"/>
        <v>0</v>
      </c>
    </row>
    <row r="66">
      <c r="A66" s="19"/>
      <c r="B66" s="19"/>
      <c r="C66" s="9" t="s">
        <v>17</v>
      </c>
      <c r="D66" s="10"/>
      <c r="E66" s="10"/>
      <c r="F66" s="10"/>
      <c r="G66" s="10"/>
      <c r="H66" s="11"/>
      <c r="I66" s="19"/>
      <c r="J66" s="9" t="s">
        <v>17</v>
      </c>
      <c r="K66" s="10"/>
      <c r="L66" s="10"/>
      <c r="M66" s="10"/>
      <c r="N66" s="10"/>
      <c r="O66" s="11"/>
      <c r="P66" s="19"/>
      <c r="Q66" s="9" t="s">
        <v>17</v>
      </c>
      <c r="R66" s="10"/>
      <c r="S66" s="10"/>
      <c r="T66" s="10"/>
      <c r="U66" s="10"/>
      <c r="V66" s="11"/>
      <c r="W66" s="19"/>
      <c r="X66" s="9" t="s">
        <v>17</v>
      </c>
      <c r="Y66" s="10"/>
      <c r="Z66" s="10"/>
      <c r="AA66" s="10"/>
      <c r="AB66" s="10"/>
      <c r="AC66" s="11"/>
      <c r="AD66" s="19"/>
      <c r="AE66" s="9" t="s">
        <v>17</v>
      </c>
      <c r="AF66" s="10"/>
      <c r="AG66" s="10"/>
      <c r="AH66" s="10"/>
      <c r="AI66" s="10"/>
      <c r="AJ66" s="11"/>
      <c r="AL66" s="19"/>
      <c r="AM66" s="9" t="s">
        <v>17</v>
      </c>
      <c r="AN66" s="10">
        <f t="shared" ref="AN66:AP66" si="81">D66+K66+R66+Y66+AF66</f>
        <v>0</v>
      </c>
      <c r="AO66" s="10">
        <f t="shared" si="81"/>
        <v>0</v>
      </c>
      <c r="AP66" s="10">
        <f t="shared" si="81"/>
        <v>0</v>
      </c>
      <c r="AQ66" s="11">
        <f t="shared" si="78"/>
        <v>0</v>
      </c>
    </row>
    <row r="67">
      <c r="A67" s="19"/>
      <c r="B67" s="19"/>
      <c r="C67" s="9" t="s">
        <v>18</v>
      </c>
      <c r="D67" s="10"/>
      <c r="E67" s="10"/>
      <c r="F67" s="10"/>
      <c r="G67" s="10"/>
      <c r="H67" s="11"/>
      <c r="I67" s="19"/>
      <c r="J67" s="9" t="s">
        <v>18</v>
      </c>
      <c r="K67" s="10"/>
      <c r="L67" s="10"/>
      <c r="M67" s="10"/>
      <c r="N67" s="10"/>
      <c r="O67" s="11"/>
      <c r="P67" s="19"/>
      <c r="Q67" s="9" t="s">
        <v>18</v>
      </c>
      <c r="R67" s="10"/>
      <c r="S67" s="10"/>
      <c r="T67" s="10"/>
      <c r="U67" s="10"/>
      <c r="V67" s="11"/>
      <c r="W67" s="19"/>
      <c r="X67" s="9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2">D67+K67+R67+Y67+AF67</f>
        <v>0</v>
      </c>
      <c r="AO67" s="10">
        <f t="shared" si="82"/>
        <v>0</v>
      </c>
      <c r="AP67" s="10">
        <f t="shared" si="82"/>
        <v>0</v>
      </c>
      <c r="AQ67" s="11">
        <f t="shared" si="78"/>
        <v>0</v>
      </c>
    </row>
    <row r="68">
      <c r="A68" s="19"/>
      <c r="B68" s="19"/>
      <c r="C68" s="9" t="s">
        <v>20</v>
      </c>
      <c r="D68" s="10"/>
      <c r="E68" s="10"/>
      <c r="F68" s="10"/>
      <c r="G68" s="10"/>
      <c r="H68" s="11"/>
      <c r="I68" s="19"/>
      <c r="J68" s="9" t="s">
        <v>20</v>
      </c>
      <c r="K68" s="10"/>
      <c r="L68" s="10"/>
      <c r="M68" s="10"/>
      <c r="N68" s="10"/>
      <c r="O68" s="11"/>
      <c r="P68" s="19"/>
      <c r="Q68" s="9" t="s">
        <v>19</v>
      </c>
      <c r="R68" s="10"/>
      <c r="S68" s="10"/>
      <c r="T68" s="10"/>
      <c r="U68" s="10"/>
      <c r="V68" s="11"/>
      <c r="W68" s="19"/>
      <c r="X68" s="9" t="s">
        <v>19</v>
      </c>
      <c r="Y68" s="10"/>
      <c r="Z68" s="10"/>
      <c r="AA68" s="10"/>
      <c r="AB68" s="10"/>
      <c r="AC68" s="11"/>
      <c r="AD68" s="19"/>
      <c r="AE68" s="9" t="s">
        <v>19</v>
      </c>
      <c r="AF68" s="10"/>
      <c r="AG68" s="10"/>
      <c r="AH68" s="10"/>
      <c r="AI68" s="10"/>
      <c r="AJ68" s="11"/>
      <c r="AL68" s="19"/>
      <c r="AM68" s="9" t="s">
        <v>19</v>
      </c>
      <c r="AN68" s="10">
        <f t="shared" ref="AN68:AP68" si="83">D68+K68+R68+Y68+AF68</f>
        <v>0</v>
      </c>
      <c r="AO68" s="10">
        <f t="shared" si="83"/>
        <v>0</v>
      </c>
      <c r="AP68" s="10">
        <f t="shared" si="83"/>
        <v>0</v>
      </c>
      <c r="AQ68" s="11">
        <f t="shared" si="78"/>
        <v>0</v>
      </c>
    </row>
    <row r="69">
      <c r="A69" s="19"/>
      <c r="B69" s="19"/>
      <c r="C69" s="26" t="s">
        <v>21</v>
      </c>
      <c r="D69" s="10"/>
      <c r="E69" s="10"/>
      <c r="F69" s="10"/>
      <c r="G69" s="10"/>
      <c r="H69" s="11"/>
      <c r="I69" s="19"/>
      <c r="J69" s="26" t="s">
        <v>21</v>
      </c>
      <c r="K69" s="10"/>
      <c r="L69" s="10"/>
      <c r="M69" s="10"/>
      <c r="N69" s="310"/>
      <c r="O69" s="11"/>
      <c r="P69" s="19"/>
      <c r="Q69" s="26" t="s">
        <v>21</v>
      </c>
      <c r="R69" s="10"/>
      <c r="S69" s="10"/>
      <c r="T69" s="10"/>
      <c r="U69" s="10"/>
      <c r="V69" s="11"/>
      <c r="W69" s="19"/>
      <c r="X69" s="26" t="s">
        <v>21</v>
      </c>
      <c r="Y69" s="10"/>
      <c r="Z69" s="10"/>
      <c r="AA69" s="10"/>
      <c r="AB69" s="310"/>
      <c r="AC69" s="11"/>
      <c r="AD69" s="19"/>
      <c r="AE69" s="26" t="s">
        <v>21</v>
      </c>
      <c r="AF69" s="10"/>
      <c r="AG69" s="10"/>
      <c r="AH69" s="10"/>
      <c r="AI69" s="10"/>
      <c r="AJ69" s="11"/>
      <c r="AL69" s="19"/>
      <c r="AM69" s="26" t="s">
        <v>21</v>
      </c>
      <c r="AN69" s="10">
        <f t="shared" ref="AN69:AP69" si="84">D69+K69+R69+Y69+AF69</f>
        <v>0</v>
      </c>
      <c r="AO69" s="10">
        <f t="shared" si="84"/>
        <v>0</v>
      </c>
      <c r="AP69" s="10">
        <f t="shared" si="84"/>
        <v>0</v>
      </c>
      <c r="AQ69" s="11">
        <f t="shared" si="78"/>
        <v>0</v>
      </c>
    </row>
    <row r="70">
      <c r="A70" s="19"/>
      <c r="B70" s="19"/>
      <c r="C70" s="28" t="s">
        <v>23</v>
      </c>
      <c r="D70" s="29">
        <f t="shared" ref="D70:H70" si="85">D62+D63+D64+D65+D66+D67+D68+D69</f>
        <v>0</v>
      </c>
      <c r="E70" s="30">
        <f t="shared" si="85"/>
        <v>0</v>
      </c>
      <c r="F70" s="31">
        <f t="shared" si="85"/>
        <v>0</v>
      </c>
      <c r="G70" s="40">
        <f t="shared" si="85"/>
        <v>0</v>
      </c>
      <c r="H70" s="33">
        <f t="shared" si="85"/>
        <v>0</v>
      </c>
      <c r="I70" s="19"/>
      <c r="J70" s="28" t="s">
        <v>23</v>
      </c>
      <c r="K70" s="29">
        <f t="shared" ref="K70:O70" si="86">K62+K63+K64+K65+K66+K67+K68+K69</f>
        <v>0</v>
      </c>
      <c r="L70" s="30">
        <f t="shared" si="86"/>
        <v>0</v>
      </c>
      <c r="M70" s="36">
        <f t="shared" si="86"/>
        <v>0</v>
      </c>
      <c r="N70" s="40">
        <f t="shared" si="86"/>
        <v>0</v>
      </c>
      <c r="O70" s="38">
        <f t="shared" si="86"/>
        <v>0</v>
      </c>
      <c r="P70" s="19"/>
      <c r="Q70" s="28" t="s">
        <v>23</v>
      </c>
      <c r="R70" s="29">
        <f t="shared" ref="R70:V70" si="87">R62+R63+R64+R65+R66+R67+R68+R69</f>
        <v>0</v>
      </c>
      <c r="S70" s="30">
        <f t="shared" si="87"/>
        <v>0</v>
      </c>
      <c r="T70" s="31">
        <f t="shared" si="87"/>
        <v>0</v>
      </c>
      <c r="U70" s="37">
        <f t="shared" si="87"/>
        <v>0</v>
      </c>
      <c r="V70" s="33">
        <f t="shared" si="87"/>
        <v>0</v>
      </c>
      <c r="W70" s="19"/>
      <c r="X70" s="28" t="s">
        <v>23</v>
      </c>
      <c r="Y70" s="61">
        <f t="shared" ref="Y70:AC70" si="88">Y62+Y63+Y64+Y65+Y66+Y67+Y68+Y69</f>
        <v>0</v>
      </c>
      <c r="Z70" s="30">
        <f t="shared" si="88"/>
        <v>0</v>
      </c>
      <c r="AA70" s="36">
        <f t="shared" si="88"/>
        <v>0</v>
      </c>
      <c r="AB70" s="37">
        <f t="shared" si="88"/>
        <v>0</v>
      </c>
      <c r="AC70" s="33">
        <f t="shared" si="88"/>
        <v>0</v>
      </c>
      <c r="AD70" s="19"/>
      <c r="AE70" s="28" t="s">
        <v>23</v>
      </c>
      <c r="AF70" s="29">
        <f t="shared" ref="AF70:AJ70" si="89">AF62+AF63+AF64+AF65+AF66+AF67+AF68+AF69</f>
        <v>0</v>
      </c>
      <c r="AG70" s="30">
        <f t="shared" si="89"/>
        <v>0</v>
      </c>
      <c r="AH70" s="31">
        <f t="shared" si="89"/>
        <v>0</v>
      </c>
      <c r="AI70" s="32">
        <f t="shared" si="89"/>
        <v>0</v>
      </c>
      <c r="AJ70" s="33">
        <f t="shared" si="89"/>
        <v>0</v>
      </c>
      <c r="AL70" s="19"/>
      <c r="AM70" s="28" t="s">
        <v>23</v>
      </c>
      <c r="AN70" s="41">
        <f t="shared" ref="AN70:AQ70" si="90">AN62+AN63+AN64+AN65+AN66+AN67+AN68+AN69</f>
        <v>0</v>
      </c>
      <c r="AO70" s="42">
        <f t="shared" si="90"/>
        <v>0</v>
      </c>
      <c r="AP70" s="43">
        <f t="shared" si="90"/>
        <v>0</v>
      </c>
      <c r="AQ70" s="44">
        <f t="shared" si="90"/>
        <v>0</v>
      </c>
    </row>
    <row r="71" hidden="1">
      <c r="A71" s="19"/>
      <c r="B71" s="19"/>
      <c r="C71" s="45" t="s">
        <v>24</v>
      </c>
      <c r="D71" s="50">
        <f>D70-E70</f>
        <v>0</v>
      </c>
      <c r="E71" s="47"/>
      <c r="F71" s="48"/>
      <c r="G71" s="51"/>
      <c r="H71" s="51"/>
      <c r="I71" s="19"/>
      <c r="J71" s="45" t="s">
        <v>24</v>
      </c>
      <c r="K71" s="50">
        <f>K70-L70</f>
        <v>0</v>
      </c>
      <c r="L71" s="47"/>
      <c r="M71" s="48"/>
      <c r="N71" s="51"/>
      <c r="O71" s="51"/>
      <c r="P71" s="19"/>
      <c r="Q71" s="45" t="s">
        <v>24</v>
      </c>
      <c r="R71" s="50">
        <f>R70-S70</f>
        <v>0</v>
      </c>
      <c r="S71" s="47"/>
      <c r="T71" s="48"/>
      <c r="U71" s="51"/>
      <c r="V71" s="51"/>
      <c r="W71" s="19"/>
      <c r="X71" s="45" t="s">
        <v>24</v>
      </c>
      <c r="Y71" s="50">
        <f>Y70-Z70</f>
        <v>0</v>
      </c>
      <c r="Z71" s="47"/>
      <c r="AA71" s="48"/>
      <c r="AB71" s="51"/>
      <c r="AC71" s="51"/>
      <c r="AD71" s="19"/>
      <c r="AE71" s="45" t="s">
        <v>24</v>
      </c>
      <c r="AF71" s="50">
        <f>AF70-AG70</f>
        <v>0</v>
      </c>
      <c r="AG71" s="47"/>
      <c r="AH71" s="48"/>
      <c r="AI71" s="51"/>
      <c r="AJ71" s="51"/>
      <c r="AL71" s="53"/>
      <c r="AM71" s="45" t="s">
        <v>25</v>
      </c>
      <c r="AN71" s="50">
        <f>AN70-AO70</f>
        <v>0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0</v>
      </c>
      <c r="E72" s="47"/>
      <c r="F72" s="48"/>
      <c r="G72" s="59"/>
      <c r="H72" s="51"/>
      <c r="I72" s="53"/>
      <c r="J72" s="56" t="s">
        <v>26</v>
      </c>
      <c r="K72" s="57">
        <f>M70-L70</f>
        <v>0</v>
      </c>
      <c r="L72" s="47"/>
      <c r="M72" s="48"/>
      <c r="N72" s="51"/>
      <c r="O72" s="51"/>
      <c r="P72" s="53"/>
      <c r="Q72" s="56" t="s">
        <v>26</v>
      </c>
      <c r="R72" s="57">
        <f>T70-S70</f>
        <v>0</v>
      </c>
      <c r="S72" s="47"/>
      <c r="T72" s="48"/>
      <c r="U72" s="51"/>
      <c r="V72" s="51"/>
      <c r="W72" s="53"/>
      <c r="X72" s="56" t="s">
        <v>26</v>
      </c>
      <c r="Y72" s="57">
        <f>AA70-Z70</f>
        <v>0</v>
      </c>
      <c r="Z72" s="47"/>
      <c r="AA72" s="48"/>
      <c r="AB72" s="59"/>
      <c r="AC72" s="51"/>
      <c r="AD72" s="53"/>
      <c r="AE72" s="56" t="s">
        <v>26</v>
      </c>
      <c r="AF72" s="57">
        <f>AH70-AG70</f>
        <v>0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45935.0</v>
      </c>
      <c r="C74" s="9" t="s">
        <v>10</v>
      </c>
      <c r="D74" s="10"/>
      <c r="E74" s="10"/>
      <c r="F74" s="10"/>
      <c r="G74" s="10"/>
      <c r="H74" s="11"/>
      <c r="I74" s="12">
        <v>45942.0</v>
      </c>
      <c r="J74" s="9"/>
      <c r="K74" s="10"/>
      <c r="L74" s="10"/>
      <c r="M74" s="10"/>
      <c r="N74" s="10"/>
      <c r="O74" s="11"/>
      <c r="P74" s="8">
        <v>45949.0</v>
      </c>
      <c r="Q74" s="9"/>
      <c r="R74" s="10"/>
      <c r="S74" s="10"/>
      <c r="T74" s="10"/>
      <c r="U74" s="10"/>
      <c r="V74" s="11"/>
      <c r="W74" s="8">
        <v>45956.0</v>
      </c>
      <c r="X74" s="9"/>
      <c r="Y74" s="10"/>
      <c r="Z74" s="10"/>
      <c r="AA74" s="10"/>
      <c r="AB74" s="10"/>
      <c r="AC74" s="11"/>
      <c r="AD74" s="12"/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/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314" t="s">
        <v>276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/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/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/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/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/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22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1">D81+K81+R81+Y81+AF81</f>
        <v>0</v>
      </c>
      <c r="AO81" s="10">
        <f t="shared" si="91"/>
        <v>0</v>
      </c>
      <c r="AP81" s="10">
        <f t="shared" si="91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2">D74+D75+D76+D77+D78+D79+D80+D81</f>
        <v>0</v>
      </c>
      <c r="E82" s="30">
        <f t="shared" si="92"/>
        <v>0</v>
      </c>
      <c r="F82" s="31">
        <f t="shared" si="92"/>
        <v>0</v>
      </c>
      <c r="G82" s="32">
        <f t="shared" si="92"/>
        <v>0</v>
      </c>
      <c r="H82" s="33">
        <f t="shared" si="92"/>
        <v>0</v>
      </c>
      <c r="I82" s="19"/>
      <c r="J82" s="28" t="s">
        <v>23</v>
      </c>
      <c r="K82" s="29">
        <f t="shared" ref="K82:O82" si="93">K74+K75+K76+K77+K78+K79+K80+K81</f>
        <v>0</v>
      </c>
      <c r="L82" s="30">
        <f t="shared" si="93"/>
        <v>0</v>
      </c>
      <c r="M82" s="31">
        <f t="shared" si="93"/>
        <v>0</v>
      </c>
      <c r="N82" s="32">
        <f t="shared" si="93"/>
        <v>0</v>
      </c>
      <c r="O82" s="33">
        <f t="shared" si="93"/>
        <v>0</v>
      </c>
      <c r="P82" s="19"/>
      <c r="Q82" s="28" t="s">
        <v>23</v>
      </c>
      <c r="R82" s="29">
        <f t="shared" ref="R82:V82" si="94">R74+R75+R76+R77+R78+R79+R80+R81</f>
        <v>0</v>
      </c>
      <c r="S82" s="30">
        <f t="shared" si="94"/>
        <v>0</v>
      </c>
      <c r="T82" s="31">
        <f t="shared" si="94"/>
        <v>0</v>
      </c>
      <c r="U82" s="32">
        <f t="shared" si="94"/>
        <v>0</v>
      </c>
      <c r="V82" s="33">
        <f t="shared" si="94"/>
        <v>0</v>
      </c>
      <c r="W82" s="19"/>
      <c r="X82" s="28" t="s">
        <v>23</v>
      </c>
      <c r="Y82" s="29">
        <f t="shared" ref="Y82:AC82" si="95">Y74+Y75+Y76+Y77+Y78+Y79+Y80+Y81</f>
        <v>0</v>
      </c>
      <c r="Z82" s="30">
        <f t="shared" si="95"/>
        <v>0</v>
      </c>
      <c r="AA82" s="31">
        <f t="shared" si="95"/>
        <v>0</v>
      </c>
      <c r="AB82" s="32">
        <f t="shared" si="95"/>
        <v>0</v>
      </c>
      <c r="AC82" s="33">
        <f t="shared" si="95"/>
        <v>0</v>
      </c>
      <c r="AD82" s="19"/>
      <c r="AE82" s="28" t="s">
        <v>23</v>
      </c>
      <c r="AF82" s="29">
        <f t="shared" ref="AF82:AJ82" si="96">AF74+AF75+AF76+AF77+AF78+AF79+AF80+AF81</f>
        <v>0</v>
      </c>
      <c r="AG82" s="30">
        <f t="shared" si="96"/>
        <v>0</v>
      </c>
      <c r="AH82" s="31">
        <f t="shared" si="96"/>
        <v>0</v>
      </c>
      <c r="AI82" s="32">
        <f t="shared" si="96"/>
        <v>0</v>
      </c>
      <c r="AJ82" s="33">
        <f t="shared" si="96"/>
        <v>0</v>
      </c>
      <c r="AL82" s="19"/>
      <c r="AM82" s="28" t="s">
        <v>23</v>
      </c>
      <c r="AN82" s="41">
        <f t="shared" ref="AN82:AQ82" si="97">AN74+AN75+AN76+AN77+AN78+AN79+AN80+AN81</f>
        <v>0</v>
      </c>
      <c r="AO82" s="42">
        <f t="shared" si="97"/>
        <v>0</v>
      </c>
      <c r="AP82" s="43">
        <f t="shared" si="97"/>
        <v>0</v>
      </c>
      <c r="AQ82" s="44">
        <f t="shared" si="97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44</v>
      </c>
      <c r="D87" s="47"/>
      <c r="E87" s="47"/>
      <c r="F87" s="47"/>
      <c r="G87" s="47"/>
      <c r="H87" s="48"/>
      <c r="I87" s="76"/>
      <c r="J87" s="77" t="s">
        <v>44</v>
      </c>
      <c r="K87" s="47"/>
      <c r="L87" s="47"/>
      <c r="M87" s="47"/>
      <c r="N87" s="47"/>
      <c r="O87" s="48"/>
      <c r="P87" s="76"/>
      <c r="Q87" s="77" t="s">
        <v>44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45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0</v>
      </c>
      <c r="E88" s="47"/>
      <c r="F88" s="47"/>
      <c r="G88" s="47"/>
      <c r="H88" s="48"/>
      <c r="J88" s="9" t="s">
        <v>7</v>
      </c>
      <c r="K88" s="79">
        <f>K10+K22+K34+K46+K58+K70+K82</f>
        <v>0</v>
      </c>
      <c r="L88" s="47"/>
      <c r="M88" s="47"/>
      <c r="N88" s="47"/>
      <c r="O88" s="48"/>
      <c r="Q88" s="9" t="s">
        <v>7</v>
      </c>
      <c r="R88" s="79">
        <f>R10+R22+R34+R46+R58+R70+R82</f>
        <v>0</v>
      </c>
      <c r="S88" s="47"/>
      <c r="T88" s="47"/>
      <c r="U88" s="47"/>
      <c r="V88" s="48"/>
      <c r="X88" s="9" t="s">
        <v>7</v>
      </c>
      <c r="Y88" s="79">
        <f>Y10+Y22+Y34+Y46+Y58+Y70+Y82</f>
        <v>0</v>
      </c>
      <c r="Z88" s="47"/>
      <c r="AA88" s="47"/>
      <c r="AB88" s="47"/>
      <c r="AC88" s="48"/>
      <c r="AE88" s="9" t="s">
        <v>7</v>
      </c>
      <c r="AF88" s="79">
        <f>AF10+AF22+AF34+AF46+AF58+AF70+AF82</f>
        <v>0</v>
      </c>
      <c r="AG88" s="47"/>
      <c r="AH88" s="47"/>
      <c r="AI88" s="47"/>
      <c r="AJ88" s="48"/>
      <c r="AN88" s="55">
        <f t="array" ref="AN88">AN10+AN22+AN34+AN46+AN58+AN70</f>
        <v>0</v>
      </c>
      <c r="AP88" s="55">
        <f t="array" ref="AP88">AP10+AP22+AP34+AP46+AP58+AP70</f>
        <v>0</v>
      </c>
    </row>
    <row r="89">
      <c r="A89" s="78"/>
      <c r="C89" s="9" t="s">
        <v>3</v>
      </c>
      <c r="D89" s="80">
        <f>E10+E22+E34+E46+E58+E70+E82</f>
        <v>0</v>
      </c>
      <c r="E89" s="47"/>
      <c r="F89" s="47"/>
      <c r="G89" s="47"/>
      <c r="H89" s="48"/>
      <c r="J89" s="9" t="s">
        <v>3</v>
      </c>
      <c r="K89" s="80">
        <f>L10+L22+L34+L46+L58+L70+L82</f>
        <v>0</v>
      </c>
      <c r="L89" s="47"/>
      <c r="M89" s="47"/>
      <c r="N89" s="47"/>
      <c r="O89" s="48"/>
      <c r="Q89" s="9" t="s">
        <v>3</v>
      </c>
      <c r="R89" s="80">
        <f>S10+S22+S34+S46+S58+S70+S82</f>
        <v>0</v>
      </c>
      <c r="S89" s="47"/>
      <c r="T89" s="47"/>
      <c r="U89" s="47"/>
      <c r="V89" s="48"/>
      <c r="X89" s="9" t="s">
        <v>3</v>
      </c>
      <c r="Y89" s="80">
        <f>Z10+Z22+Z34+Z46+Z58+Z70+Z82</f>
        <v>0</v>
      </c>
      <c r="Z89" s="47"/>
      <c r="AA89" s="47"/>
      <c r="AB89" s="47"/>
      <c r="AC89" s="48"/>
      <c r="AE89" s="9" t="s">
        <v>3</v>
      </c>
      <c r="AF89" s="80">
        <f>AG10+AG22+AG34+AG46+AG58+AG70+AG82</f>
        <v>0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0</v>
      </c>
      <c r="E90" s="47"/>
      <c r="F90" s="47"/>
      <c r="G90" s="47"/>
      <c r="H90" s="48"/>
      <c r="J90" s="9" t="s">
        <v>46</v>
      </c>
      <c r="K90" s="81">
        <f>M10+M22+M34+M46+M58+M70+M82</f>
        <v>0</v>
      </c>
      <c r="L90" s="47"/>
      <c r="M90" s="47"/>
      <c r="N90" s="47"/>
      <c r="O90" s="48"/>
      <c r="Q90" s="9" t="s">
        <v>46</v>
      </c>
      <c r="R90" s="81">
        <f>T10+T22+T34+T46+T58+T70+T82</f>
        <v>0</v>
      </c>
      <c r="S90" s="47"/>
      <c r="T90" s="47"/>
      <c r="U90" s="47"/>
      <c r="V90" s="48"/>
      <c r="X90" s="9" t="s">
        <v>46</v>
      </c>
      <c r="Y90" s="81">
        <f>AA10+AA22+AA34+AA46+AA58+AA70+AA82</f>
        <v>0</v>
      </c>
      <c r="Z90" s="47"/>
      <c r="AA90" s="47"/>
      <c r="AB90" s="47"/>
      <c r="AC90" s="48"/>
      <c r="AE90" s="9" t="s">
        <v>46</v>
      </c>
      <c r="AF90" s="81">
        <f>AH10+AH22+AH34+AH46+AH58+AH70+AH82</f>
        <v>0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0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0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0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0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0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0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0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0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0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0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0</v>
      </c>
      <c r="E93" s="47"/>
      <c r="F93" s="47"/>
      <c r="G93" s="47"/>
      <c r="H93" s="48"/>
      <c r="J93" s="9" t="s">
        <v>49</v>
      </c>
      <c r="K93" s="84">
        <f t="array" ref="K93">O10+O22+O34+O46+O58+O70+O82</f>
        <v>0</v>
      </c>
      <c r="L93" s="47"/>
      <c r="M93" s="47"/>
      <c r="N93" s="47"/>
      <c r="O93" s="48"/>
      <c r="Q93" s="9" t="s">
        <v>49</v>
      </c>
      <c r="R93" s="84">
        <f t="array" ref="R93">V10+V22+V34+V46+V58+V70+V82</f>
        <v>0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0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0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8">D2+D14+D26+D38+D50+D62</f>
        <v>0</v>
      </c>
      <c r="E98" s="10">
        <f t="shared" si="98"/>
        <v>0</v>
      </c>
      <c r="F98" s="10">
        <f t="shared" si="98"/>
        <v>0</v>
      </c>
      <c r="G98" s="86">
        <f t="shared" ref="G98:G105" si="104">F98-E98</f>
        <v>0</v>
      </c>
      <c r="H98" s="87">
        <f t="shared" ref="H98:H104" si="105">H2+H14+H26+H38+H50+H62</f>
        <v>0</v>
      </c>
      <c r="J98" s="9" t="s">
        <v>10</v>
      </c>
      <c r="K98" s="85">
        <f t="shared" ref="K98:M98" si="99">K2+K14+K26+K38+K50+K62</f>
        <v>0</v>
      </c>
      <c r="L98" s="10">
        <f t="shared" si="99"/>
        <v>0</v>
      </c>
      <c r="M98" s="10">
        <f t="shared" si="99"/>
        <v>0</v>
      </c>
      <c r="N98" s="86">
        <f t="shared" ref="N98:N105" si="107">M98-L98</f>
        <v>0</v>
      </c>
      <c r="O98" s="87">
        <f t="shared" ref="O98:O104" si="108">O2+O14+O26+O38+O50+O62</f>
        <v>0</v>
      </c>
      <c r="Q98" s="9" t="s">
        <v>10</v>
      </c>
      <c r="R98" s="85">
        <f t="shared" ref="R98:T98" si="100">R2+R14+R26+R38+R50+R62</f>
        <v>0</v>
      </c>
      <c r="S98" s="10">
        <f t="shared" si="100"/>
        <v>0</v>
      </c>
      <c r="T98" s="10">
        <f t="shared" si="100"/>
        <v>0</v>
      </c>
      <c r="U98" s="86">
        <f t="shared" ref="U98:U105" si="110">T98-S98</f>
        <v>0</v>
      </c>
      <c r="V98" s="87">
        <f t="shared" ref="V98:V104" si="111">V2+V14+V26+V38+V50+V62</f>
        <v>0</v>
      </c>
      <c r="X98" s="9" t="s">
        <v>10</v>
      </c>
      <c r="Y98" s="85">
        <f t="shared" ref="Y98:AA98" si="101">Y2+Y14+Y26+Y38+Y50+Y62</f>
        <v>0</v>
      </c>
      <c r="Z98" s="10">
        <f t="shared" si="101"/>
        <v>0</v>
      </c>
      <c r="AA98" s="10">
        <f t="shared" si="101"/>
        <v>0</v>
      </c>
      <c r="AB98" s="86">
        <f t="shared" ref="AB98:AB105" si="113">AA98-Z98</f>
        <v>0</v>
      </c>
      <c r="AC98" s="87">
        <f t="shared" ref="AC98:AC104" si="114">AC2+AC14+AC26+AC38+AC50+AC62</f>
        <v>0</v>
      </c>
      <c r="AE98" s="9" t="s">
        <v>10</v>
      </c>
      <c r="AF98" s="85">
        <f t="shared" ref="AF98:AH98" si="102">AF2+AF14+AF26+AF38+AF50+AF62</f>
        <v>0</v>
      </c>
      <c r="AG98" s="10">
        <f t="shared" si="102"/>
        <v>0</v>
      </c>
      <c r="AH98" s="10">
        <f t="shared" si="102"/>
        <v>0</v>
      </c>
      <c r="AI98" s="86">
        <f t="shared" ref="AI98:AI105" si="116">AH98-AG98</f>
        <v>0</v>
      </c>
      <c r="AJ98" s="87">
        <f t="shared" ref="AJ98:AJ104" si="117">AJ2+AJ14+AJ26+AJ38+AJ50+AJ62</f>
        <v>0</v>
      </c>
    </row>
    <row r="99">
      <c r="C99" s="9" t="s">
        <v>12</v>
      </c>
      <c r="D99" s="85">
        <f t="shared" ref="D99:F99" si="103">D3+D15+D27+D39+D51+D63</f>
        <v>0</v>
      </c>
      <c r="E99" s="10">
        <f t="shared" si="103"/>
        <v>0</v>
      </c>
      <c r="F99" s="10">
        <f t="shared" si="103"/>
        <v>0</v>
      </c>
      <c r="G99" s="86">
        <f t="shared" si="104"/>
        <v>0</v>
      </c>
      <c r="H99" s="87">
        <f t="shared" si="105"/>
        <v>0</v>
      </c>
      <c r="J99" s="9" t="s">
        <v>12</v>
      </c>
      <c r="K99" s="85">
        <f t="shared" ref="K99:M99" si="106">K3+K15+K27+K39+K51+K63</f>
        <v>0</v>
      </c>
      <c r="L99" s="10">
        <f t="shared" si="106"/>
        <v>0</v>
      </c>
      <c r="M99" s="10">
        <f t="shared" si="106"/>
        <v>0</v>
      </c>
      <c r="N99" s="86">
        <f t="shared" si="107"/>
        <v>0</v>
      </c>
      <c r="O99" s="87">
        <f t="shared" si="108"/>
        <v>0</v>
      </c>
      <c r="Q99" s="9" t="s">
        <v>12</v>
      </c>
      <c r="R99" s="85">
        <f t="shared" ref="R99:T99" si="109">R3+R15+R27+R39+R51+R63</f>
        <v>0</v>
      </c>
      <c r="S99" s="10">
        <f t="shared" si="109"/>
        <v>0</v>
      </c>
      <c r="T99" s="10">
        <f t="shared" si="109"/>
        <v>0</v>
      </c>
      <c r="U99" s="86">
        <f t="shared" si="110"/>
        <v>0</v>
      </c>
      <c r="V99" s="87">
        <f t="shared" si="111"/>
        <v>0</v>
      </c>
      <c r="X99" s="9" t="s">
        <v>12</v>
      </c>
      <c r="Y99" s="85">
        <f t="shared" ref="Y99:AA99" si="112">Y3+Y15+Y27+Y39+Y51+Y63</f>
        <v>0</v>
      </c>
      <c r="Z99" s="10">
        <f t="shared" si="112"/>
        <v>0</v>
      </c>
      <c r="AA99" s="10">
        <f t="shared" si="112"/>
        <v>0</v>
      </c>
      <c r="AB99" s="86">
        <f t="shared" si="113"/>
        <v>0</v>
      </c>
      <c r="AC99" s="87">
        <f t="shared" si="114"/>
        <v>0</v>
      </c>
      <c r="AE99" s="9" t="s">
        <v>12</v>
      </c>
      <c r="AF99" s="85">
        <f t="shared" ref="AF99:AH99" si="115">AF3+AF15+AF27+AF39+AF51+AF63</f>
        <v>0</v>
      </c>
      <c r="AG99" s="10">
        <f t="shared" si="115"/>
        <v>0</v>
      </c>
      <c r="AH99" s="10">
        <f t="shared" si="115"/>
        <v>0</v>
      </c>
      <c r="AI99" s="86">
        <f t="shared" si="116"/>
        <v>0</v>
      </c>
      <c r="AJ99" s="87">
        <f t="shared" si="117"/>
        <v>0</v>
      </c>
    </row>
    <row r="100">
      <c r="C100" s="9" t="s">
        <v>14</v>
      </c>
      <c r="D100" s="85">
        <f t="shared" ref="D100:F100" si="118">D4+D16+D28+D40+D52+D64</f>
        <v>0</v>
      </c>
      <c r="E100" s="10">
        <f t="shared" si="118"/>
        <v>0</v>
      </c>
      <c r="F100" s="10">
        <f t="shared" si="118"/>
        <v>0</v>
      </c>
      <c r="G100" s="86">
        <f t="shared" si="104"/>
        <v>0</v>
      </c>
      <c r="H100" s="87">
        <f t="shared" si="105"/>
        <v>0</v>
      </c>
      <c r="J100" s="9" t="s">
        <v>14</v>
      </c>
      <c r="K100" s="85">
        <f t="shared" ref="K100:M100" si="119">K4+K16+K28+K40+K52+K64</f>
        <v>0</v>
      </c>
      <c r="L100" s="10">
        <f t="shared" si="119"/>
        <v>0</v>
      </c>
      <c r="M100" s="10">
        <f t="shared" si="119"/>
        <v>0</v>
      </c>
      <c r="N100" s="86">
        <f t="shared" si="107"/>
        <v>0</v>
      </c>
      <c r="O100" s="87">
        <f t="shared" si="108"/>
        <v>0</v>
      </c>
      <c r="Q100" s="9" t="s">
        <v>14</v>
      </c>
      <c r="R100" s="85">
        <f t="shared" ref="R100:T100" si="120">R4+R16+R28+R40+R52+R64</f>
        <v>0</v>
      </c>
      <c r="S100" s="10">
        <f t="shared" si="120"/>
        <v>0</v>
      </c>
      <c r="T100" s="10">
        <f t="shared" si="120"/>
        <v>0</v>
      </c>
      <c r="U100" s="86">
        <f t="shared" si="110"/>
        <v>0</v>
      </c>
      <c r="V100" s="87">
        <f t="shared" si="111"/>
        <v>0</v>
      </c>
      <c r="X100" s="9" t="s">
        <v>14</v>
      </c>
      <c r="Y100" s="85">
        <f t="shared" ref="Y100:AA100" si="121">Y4+Y16+Y28+Y40+Y52+Y64</f>
        <v>0</v>
      </c>
      <c r="Z100" s="10">
        <f t="shared" si="121"/>
        <v>0</v>
      </c>
      <c r="AA100" s="10">
        <f t="shared" si="121"/>
        <v>0</v>
      </c>
      <c r="AB100" s="86">
        <f t="shared" si="113"/>
        <v>0</v>
      </c>
      <c r="AC100" s="87">
        <f t="shared" si="114"/>
        <v>0</v>
      </c>
      <c r="AE100" s="9" t="s">
        <v>14</v>
      </c>
      <c r="AF100" s="85">
        <f t="shared" ref="AF100:AH100" si="122">AF4+AF16+AF28+AF40+AF52+AF64</f>
        <v>0</v>
      </c>
      <c r="AG100" s="10">
        <f t="shared" si="122"/>
        <v>0</v>
      </c>
      <c r="AH100" s="10">
        <f t="shared" si="122"/>
        <v>0</v>
      </c>
      <c r="AI100" s="86">
        <f t="shared" si="116"/>
        <v>0</v>
      </c>
      <c r="AJ100" s="87">
        <f t="shared" si="117"/>
        <v>0</v>
      </c>
    </row>
    <row r="101">
      <c r="C101" s="9" t="s">
        <v>16</v>
      </c>
      <c r="D101" s="85">
        <f t="shared" ref="D101:F101" si="123">D5+D17+D29+D41+D53+D65</f>
        <v>0</v>
      </c>
      <c r="E101" s="10">
        <f t="shared" si="123"/>
        <v>0</v>
      </c>
      <c r="F101" s="10">
        <f t="shared" si="123"/>
        <v>0</v>
      </c>
      <c r="G101" s="86">
        <f t="shared" si="104"/>
        <v>0</v>
      </c>
      <c r="H101" s="87">
        <f t="shared" si="105"/>
        <v>0</v>
      </c>
      <c r="J101" s="9" t="s">
        <v>16</v>
      </c>
      <c r="K101" s="85">
        <f t="shared" ref="K101:M101" si="124">K5+K17+K29+K41+K53+K65</f>
        <v>0</v>
      </c>
      <c r="L101" s="10">
        <f t="shared" si="124"/>
        <v>0</v>
      </c>
      <c r="M101" s="10">
        <f t="shared" si="124"/>
        <v>0</v>
      </c>
      <c r="N101" s="86">
        <f t="shared" si="107"/>
        <v>0</v>
      </c>
      <c r="O101" s="87">
        <f t="shared" si="108"/>
        <v>0</v>
      </c>
      <c r="Q101" s="9" t="s">
        <v>16</v>
      </c>
      <c r="R101" s="85">
        <f t="shared" ref="R101:T101" si="125">R5+R17+R29+R41+R53+R65</f>
        <v>0</v>
      </c>
      <c r="S101" s="10">
        <f t="shared" si="125"/>
        <v>0</v>
      </c>
      <c r="T101" s="10">
        <f t="shared" si="125"/>
        <v>0</v>
      </c>
      <c r="U101" s="86">
        <f t="shared" si="110"/>
        <v>0</v>
      </c>
      <c r="V101" s="87">
        <f t="shared" si="111"/>
        <v>0</v>
      </c>
      <c r="X101" s="9" t="s">
        <v>16</v>
      </c>
      <c r="Y101" s="85">
        <f t="shared" ref="Y101:AA101" si="126">Y5+Y17+Y29+Y41+Y53+Y65</f>
        <v>0</v>
      </c>
      <c r="Z101" s="10">
        <f t="shared" si="126"/>
        <v>0</v>
      </c>
      <c r="AA101" s="10">
        <f t="shared" si="126"/>
        <v>0</v>
      </c>
      <c r="AB101" s="86">
        <f t="shared" si="113"/>
        <v>0</v>
      </c>
      <c r="AC101" s="87">
        <f t="shared" si="114"/>
        <v>0</v>
      </c>
      <c r="AE101" s="9" t="s">
        <v>16</v>
      </c>
      <c r="AF101" s="85">
        <f t="shared" ref="AF101:AH101" si="127">AF5+AF17+AF29+AF41+AF53+AF65</f>
        <v>0</v>
      </c>
      <c r="AG101" s="10">
        <f t="shared" si="127"/>
        <v>0</v>
      </c>
      <c r="AH101" s="10">
        <f t="shared" si="127"/>
        <v>0</v>
      </c>
      <c r="AI101" s="86">
        <f t="shared" si="116"/>
        <v>0</v>
      </c>
      <c r="AJ101" s="87">
        <f t="shared" si="117"/>
        <v>0</v>
      </c>
    </row>
    <row r="102">
      <c r="C102" s="9" t="s">
        <v>17</v>
      </c>
      <c r="D102" s="85">
        <f t="shared" ref="D102:F102" si="128">D6+D18+D30+D42+D54+D66</f>
        <v>0</v>
      </c>
      <c r="E102" s="10">
        <f t="shared" si="128"/>
        <v>0</v>
      </c>
      <c r="F102" s="10">
        <f t="shared" si="128"/>
        <v>0</v>
      </c>
      <c r="G102" s="86">
        <f t="shared" si="104"/>
        <v>0</v>
      </c>
      <c r="H102" s="87">
        <f t="shared" si="105"/>
        <v>0</v>
      </c>
      <c r="J102" s="9" t="s">
        <v>17</v>
      </c>
      <c r="K102" s="85">
        <f t="shared" ref="K102:M102" si="129">K6+K18+K30+K42+K54+K66</f>
        <v>0</v>
      </c>
      <c r="L102" s="10">
        <f t="shared" si="129"/>
        <v>0</v>
      </c>
      <c r="M102" s="10">
        <f t="shared" si="129"/>
        <v>0</v>
      </c>
      <c r="N102" s="86">
        <f t="shared" si="107"/>
        <v>0</v>
      </c>
      <c r="O102" s="87">
        <f t="shared" si="108"/>
        <v>0</v>
      </c>
      <c r="Q102" s="9" t="s">
        <v>17</v>
      </c>
      <c r="R102" s="85">
        <f t="shared" ref="R102:T102" si="130">R6+R18+R30+R42+R54+R66</f>
        <v>0</v>
      </c>
      <c r="S102" s="10">
        <f t="shared" si="130"/>
        <v>0</v>
      </c>
      <c r="T102" s="10">
        <f t="shared" si="130"/>
        <v>0</v>
      </c>
      <c r="U102" s="86">
        <f t="shared" si="110"/>
        <v>0</v>
      </c>
      <c r="V102" s="87">
        <f t="shared" si="111"/>
        <v>0</v>
      </c>
      <c r="X102" s="9" t="s">
        <v>17</v>
      </c>
      <c r="Y102" s="85">
        <f t="shared" ref="Y102:AA102" si="131">Y6+Y18+Y30+Y42+Y54+Y66</f>
        <v>0</v>
      </c>
      <c r="Z102" s="10">
        <f t="shared" si="131"/>
        <v>0</v>
      </c>
      <c r="AA102" s="10">
        <f t="shared" si="131"/>
        <v>0</v>
      </c>
      <c r="AB102" s="86">
        <f t="shared" si="113"/>
        <v>0</v>
      </c>
      <c r="AC102" s="87">
        <f t="shared" si="114"/>
        <v>0</v>
      </c>
      <c r="AE102" s="9" t="s">
        <v>17</v>
      </c>
      <c r="AF102" s="85">
        <f t="shared" ref="AF102:AH102" si="132">AF6+AF18+AF30+AF42+AF54+AF66</f>
        <v>0</v>
      </c>
      <c r="AG102" s="10">
        <f t="shared" si="132"/>
        <v>0</v>
      </c>
      <c r="AH102" s="10">
        <f t="shared" si="132"/>
        <v>0</v>
      </c>
      <c r="AI102" s="86">
        <f t="shared" si="116"/>
        <v>0</v>
      </c>
      <c r="AJ102" s="87">
        <f t="shared" si="117"/>
        <v>0</v>
      </c>
    </row>
    <row r="103">
      <c r="C103" s="9" t="s">
        <v>18</v>
      </c>
      <c r="D103" s="85">
        <f t="shared" ref="D103:F103" si="133">D7+D19+D31+D43+D55+D67</f>
        <v>0</v>
      </c>
      <c r="E103" s="85">
        <f t="shared" si="133"/>
        <v>0</v>
      </c>
      <c r="F103" s="85">
        <f t="shared" si="133"/>
        <v>0</v>
      </c>
      <c r="G103" s="86">
        <f t="shared" si="104"/>
        <v>0</v>
      </c>
      <c r="H103" s="87">
        <f t="shared" si="105"/>
        <v>0</v>
      </c>
      <c r="J103" s="9" t="s">
        <v>18</v>
      </c>
      <c r="K103" s="85">
        <f t="shared" ref="K103:M103" si="134">K7+K19+K31+K43+K55+K67</f>
        <v>0</v>
      </c>
      <c r="L103" s="85">
        <f t="shared" si="134"/>
        <v>0</v>
      </c>
      <c r="M103" s="85">
        <f t="shared" si="134"/>
        <v>0</v>
      </c>
      <c r="N103" s="86">
        <f t="shared" si="107"/>
        <v>0</v>
      </c>
      <c r="O103" s="87">
        <f t="shared" si="108"/>
        <v>0</v>
      </c>
      <c r="Q103" s="9" t="s">
        <v>18</v>
      </c>
      <c r="R103" s="85">
        <f t="shared" ref="R103:T103" si="135">R7+R19+R31+R43+R55+R67</f>
        <v>0</v>
      </c>
      <c r="S103" s="85">
        <f t="shared" si="135"/>
        <v>0</v>
      </c>
      <c r="T103" s="85">
        <f t="shared" si="135"/>
        <v>0</v>
      </c>
      <c r="U103" s="86">
        <f t="shared" si="110"/>
        <v>0</v>
      </c>
      <c r="V103" s="87">
        <f t="shared" si="111"/>
        <v>0</v>
      </c>
      <c r="X103" s="9" t="s">
        <v>18</v>
      </c>
      <c r="Y103" s="85">
        <f t="shared" ref="Y103:AA103" si="136">Y7+Y19+Y31+Y43+Y55+Y67</f>
        <v>0</v>
      </c>
      <c r="Z103" s="85">
        <f t="shared" si="136"/>
        <v>0</v>
      </c>
      <c r="AA103" s="85">
        <f t="shared" si="136"/>
        <v>0</v>
      </c>
      <c r="AB103" s="86">
        <f t="shared" si="113"/>
        <v>0</v>
      </c>
      <c r="AC103" s="87">
        <f t="shared" si="114"/>
        <v>0</v>
      </c>
      <c r="AE103" s="9" t="s">
        <v>18</v>
      </c>
      <c r="AF103" s="85">
        <f t="shared" ref="AF103:AH103" si="137">AF7+AF19+AF31+AF43+AF55+AF67</f>
        <v>0</v>
      </c>
      <c r="AG103" s="85">
        <f t="shared" si="137"/>
        <v>0</v>
      </c>
      <c r="AH103" s="85">
        <f t="shared" si="137"/>
        <v>0</v>
      </c>
      <c r="AI103" s="86">
        <f t="shared" si="116"/>
        <v>0</v>
      </c>
      <c r="AJ103" s="87">
        <f t="shared" si="117"/>
        <v>0</v>
      </c>
    </row>
    <row r="104">
      <c r="C104" s="9" t="s">
        <v>19</v>
      </c>
      <c r="D104" s="85">
        <f t="shared" ref="D104:F104" si="138">D8+D20+D32+D44+D56+D68</f>
        <v>0</v>
      </c>
      <c r="E104" s="10">
        <f t="shared" si="138"/>
        <v>0</v>
      </c>
      <c r="F104" s="10">
        <f t="shared" si="138"/>
        <v>0</v>
      </c>
      <c r="G104" s="86">
        <f t="shared" si="104"/>
        <v>0</v>
      </c>
      <c r="H104" s="87">
        <f t="shared" si="105"/>
        <v>0</v>
      </c>
      <c r="J104" s="9" t="s">
        <v>19</v>
      </c>
      <c r="K104" s="85">
        <f t="shared" ref="K104:M104" si="139">K8+K20+K32+K44+K56+K68</f>
        <v>0</v>
      </c>
      <c r="L104" s="10">
        <f t="shared" si="139"/>
        <v>0</v>
      </c>
      <c r="M104" s="10">
        <f t="shared" si="139"/>
        <v>0</v>
      </c>
      <c r="N104" s="86">
        <f t="shared" si="107"/>
        <v>0</v>
      </c>
      <c r="O104" s="87">
        <f t="shared" si="108"/>
        <v>0</v>
      </c>
      <c r="Q104" s="9" t="s">
        <v>19</v>
      </c>
      <c r="R104" s="85">
        <f t="shared" ref="R104:T104" si="140">R8+R20+R32+R44+R56+R68</f>
        <v>0</v>
      </c>
      <c r="S104" s="10">
        <f t="shared" si="140"/>
        <v>0</v>
      </c>
      <c r="T104" s="10">
        <f t="shared" si="140"/>
        <v>0</v>
      </c>
      <c r="U104" s="86">
        <f t="shared" si="110"/>
        <v>0</v>
      </c>
      <c r="V104" s="87">
        <f t="shared" si="111"/>
        <v>0</v>
      </c>
      <c r="X104" s="9" t="s">
        <v>19</v>
      </c>
      <c r="Y104" s="85">
        <f t="shared" ref="Y104:AA104" si="141">Y8+Y20+Y32+Y44+Y56+Y68</f>
        <v>0</v>
      </c>
      <c r="Z104" s="10">
        <f t="shared" si="141"/>
        <v>0</v>
      </c>
      <c r="AA104" s="10">
        <f t="shared" si="141"/>
        <v>0</v>
      </c>
      <c r="AB104" s="86">
        <f t="shared" si="113"/>
        <v>0</v>
      </c>
      <c r="AC104" s="87">
        <f t="shared" si="114"/>
        <v>0</v>
      </c>
      <c r="AE104" s="9" t="s">
        <v>19</v>
      </c>
      <c r="AF104" s="85">
        <f t="shared" ref="AF104:AH104" si="142">AF8+AF20+AF32+AF44+AF56+AF68</f>
        <v>0</v>
      </c>
      <c r="AG104" s="10">
        <f t="shared" si="142"/>
        <v>0</v>
      </c>
      <c r="AH104" s="10">
        <f t="shared" si="142"/>
        <v>0</v>
      </c>
      <c r="AI104" s="86">
        <f t="shared" si="116"/>
        <v>0</v>
      </c>
      <c r="AJ104" s="87">
        <f t="shared" si="117"/>
        <v>0</v>
      </c>
    </row>
    <row r="105">
      <c r="C105" s="26" t="s">
        <v>21</v>
      </c>
      <c r="D105" s="85">
        <f t="shared" ref="D105:F105" si="143">D9+D21+D33+D45+D57+D69+D81</f>
        <v>0</v>
      </c>
      <c r="E105" s="10">
        <f t="shared" si="143"/>
        <v>0</v>
      </c>
      <c r="F105" s="10">
        <f t="shared" si="143"/>
        <v>0</v>
      </c>
      <c r="G105" s="86">
        <f t="shared" si="104"/>
        <v>0</v>
      </c>
      <c r="H105" s="87">
        <f>H9+H21+H33+H45+H57+H69+H81</f>
        <v>0</v>
      </c>
      <c r="J105" s="26" t="s">
        <v>21</v>
      </c>
      <c r="K105" s="85">
        <f t="shared" ref="K105:M105" si="144">K9+K21+K33+K45+K57+K69+K81</f>
        <v>0</v>
      </c>
      <c r="L105" s="10">
        <f t="shared" si="144"/>
        <v>0</v>
      </c>
      <c r="M105" s="10">
        <f t="shared" si="144"/>
        <v>0</v>
      </c>
      <c r="N105" s="86">
        <f t="shared" si="107"/>
        <v>0</v>
      </c>
      <c r="O105" s="87">
        <f>O9+O21+O33+O45+O57+O69+O81</f>
        <v>0</v>
      </c>
      <c r="Q105" s="26" t="s">
        <v>21</v>
      </c>
      <c r="R105" s="85">
        <f t="shared" ref="R105:T105" si="145">R9+R21+R33+R45+R57+R69+R81</f>
        <v>0</v>
      </c>
      <c r="S105" s="10">
        <f t="shared" si="145"/>
        <v>0</v>
      </c>
      <c r="T105" s="10">
        <f t="shared" si="145"/>
        <v>0</v>
      </c>
      <c r="U105" s="86">
        <f t="shared" si="110"/>
        <v>0</v>
      </c>
      <c r="V105" s="87">
        <f>V9+V21+V33+V45+V57+V69+V81</f>
        <v>0</v>
      </c>
      <c r="X105" s="26" t="s">
        <v>21</v>
      </c>
      <c r="Y105" s="85">
        <f t="shared" ref="Y105:AA105" si="146">Y9+Y21+Y33+Y45+Y57+Y69+Y81</f>
        <v>0</v>
      </c>
      <c r="Z105" s="10">
        <f t="shared" si="146"/>
        <v>0</v>
      </c>
      <c r="AA105" s="10">
        <f t="shared" si="146"/>
        <v>0</v>
      </c>
      <c r="AB105" s="86">
        <f t="shared" si="113"/>
        <v>0</v>
      </c>
      <c r="AC105" s="87">
        <f>AC9+AC21+AC33+AC45+AC57+AC69+AC81</f>
        <v>0</v>
      </c>
      <c r="AE105" s="26" t="s">
        <v>21</v>
      </c>
      <c r="AF105" s="85">
        <f t="shared" ref="AF105:AH105" si="147">AF9+AF21+AF33+AF45+AF57+AF69+AF81</f>
        <v>0</v>
      </c>
      <c r="AG105" s="10">
        <f t="shared" si="147"/>
        <v>0</v>
      </c>
      <c r="AH105" s="10">
        <f t="shared" si="147"/>
        <v>0</v>
      </c>
      <c r="AI105" s="86">
        <f t="shared" si="116"/>
        <v>0</v>
      </c>
      <c r="AJ105" s="87">
        <f>AJ9+AJ21+AJ33+AJ45+AJ57+AJ69+AJ81</f>
        <v>0</v>
      </c>
    </row>
    <row r="106">
      <c r="C106" s="88" t="s">
        <v>57</v>
      </c>
      <c r="D106" s="41">
        <f t="array" ref="D106">D98+D99+D100+D101+D102+D103+D104+D105</f>
        <v>0</v>
      </c>
      <c r="E106" s="42">
        <f t="array" ref="E106">E98+E99+E100+E101+E102+E103+E104+E105</f>
        <v>0</v>
      </c>
      <c r="F106" s="43">
        <f t="array" ref="F106">F98+F99+F100+F101+F102+F103+F104+F105</f>
        <v>0</v>
      </c>
      <c r="G106" s="89">
        <f t="array" ref="G106">G98+G99+G100+G101+G102+G103+G104+G105</f>
        <v>0</v>
      </c>
      <c r="H106" s="44">
        <f t="array" ref="H106">H98+H99+H100+H101+H102+H103+H104+H105</f>
        <v>0</v>
      </c>
      <c r="J106" s="88" t="s">
        <v>57</v>
      </c>
      <c r="K106" s="41">
        <f t="array" ref="K106">K98+K99+K100+K101+K102+K103+K104+K105</f>
        <v>0</v>
      </c>
      <c r="L106" s="42">
        <f t="array" ref="L106">L98+L99+L100+L101+L102+L103+L104+L105</f>
        <v>0</v>
      </c>
      <c r="M106" s="43">
        <f t="array" ref="M106">M98+M99+M100+M101+M102+M103+M104+M105</f>
        <v>0</v>
      </c>
      <c r="N106" s="89">
        <f t="array" ref="N106">N98+N99+N100+N101+N102+N103+N104+N105</f>
        <v>0</v>
      </c>
      <c r="O106" s="44">
        <f t="array" ref="O106">O98+O99+O100+O101+O102+O103+O104+O105</f>
        <v>0</v>
      </c>
      <c r="Q106" s="88" t="s">
        <v>57</v>
      </c>
      <c r="R106" s="41">
        <f t="array" ref="R106">R98+R99+R100+R101+R102+R103+R104+R105</f>
        <v>0</v>
      </c>
      <c r="S106" s="42">
        <f t="array" ref="S106">S98+S99+S100+S101+S102+S103+S104+S105</f>
        <v>0</v>
      </c>
      <c r="T106" s="43">
        <f t="array" ref="T106">T98+T99+T100+T101+T102+T103+T104+T105</f>
        <v>0</v>
      </c>
      <c r="U106" s="89">
        <f t="array" ref="U106">U98+U99+U100+U101+U102+U103+U104+U105</f>
        <v>0</v>
      </c>
      <c r="V106" s="44">
        <f t="array" ref="V106">V98+V99+V100+V101+V102+V103+V104+V105</f>
        <v>0</v>
      </c>
      <c r="X106" s="88" t="s">
        <v>57</v>
      </c>
      <c r="Y106" s="41">
        <f t="array" ref="Y106">Y98+Y99+Y100+Y101+Y102+Y103+Y104+Y105</f>
        <v>0</v>
      </c>
      <c r="Z106" s="42">
        <f t="array" ref="Z106">Z98+Z99+Z100+Z101+Z102+Z103+Z104+Z105</f>
        <v>0</v>
      </c>
      <c r="AA106" s="43">
        <f t="array" ref="AA106">AA98+AA99+AA100+AA101+AA102+AA103+AA104+AA105</f>
        <v>0</v>
      </c>
      <c r="AB106" s="89">
        <f t="array" ref="AB106">AB98+AB99+AB100+AB101+AB102+AB103+AB104+AB105</f>
        <v>0</v>
      </c>
      <c r="AC106" s="44">
        <f t="array" ref="AC106">AC98+AC99+AC100+AC101+AC102+AC103+AC104+AC105</f>
        <v>0</v>
      </c>
      <c r="AE106" s="88" t="s">
        <v>57</v>
      </c>
      <c r="AF106" s="41">
        <f t="array" ref="AF106">AF98+AF99+AF100+AF101+AF102+AF103+AF104+AF105</f>
        <v>0</v>
      </c>
      <c r="AG106" s="42">
        <f t="array" ref="AG106">AG98+AG99+AG100+AG101+AG102+AG103+AG104+AG105</f>
        <v>0</v>
      </c>
      <c r="AH106" s="43">
        <f t="array" ref="AH106">AH98+AH99+AH100+AH101+AH102+AH103+AH104+AH105</f>
        <v>0</v>
      </c>
      <c r="AI106" s="89">
        <f t="array" ref="AI106">AI98+AI99+AI100+AI101+AI102+AI103+AI104+AI105</f>
        <v>0</v>
      </c>
      <c r="AJ106" s="44">
        <f t="array" ref="AJ106">AJ98+AJ99+AJ100+AJ101+AJ102+AJ103+AJ104+AJ105</f>
        <v>0</v>
      </c>
    </row>
    <row r="107">
      <c r="A107" s="55"/>
      <c r="B107" s="55"/>
      <c r="C107" s="90" t="s">
        <v>58</v>
      </c>
      <c r="D107" s="91">
        <f t="shared" ref="D107:H107" si="148">D106/6</f>
        <v>0</v>
      </c>
      <c r="E107" s="92">
        <f t="shared" si="148"/>
        <v>0</v>
      </c>
      <c r="F107" s="93">
        <f t="shared" si="148"/>
        <v>0</v>
      </c>
      <c r="G107" s="89">
        <f t="shared" si="148"/>
        <v>0</v>
      </c>
      <c r="H107" s="94">
        <f t="shared" si="148"/>
        <v>0</v>
      </c>
      <c r="I107" s="55"/>
      <c r="J107" s="90" t="s">
        <v>58</v>
      </c>
      <c r="K107" s="91">
        <f t="shared" ref="K107:O107" si="149">K106/6</f>
        <v>0</v>
      </c>
      <c r="L107" s="92">
        <f t="shared" si="149"/>
        <v>0</v>
      </c>
      <c r="M107" s="93">
        <f t="shared" si="149"/>
        <v>0</v>
      </c>
      <c r="N107" s="89">
        <f t="shared" si="149"/>
        <v>0</v>
      </c>
      <c r="O107" s="94">
        <f t="shared" si="149"/>
        <v>0</v>
      </c>
      <c r="P107" s="55"/>
      <c r="Q107" s="90" t="s">
        <v>58</v>
      </c>
      <c r="R107" s="91">
        <f t="shared" ref="R107:V107" si="150">R106/6</f>
        <v>0</v>
      </c>
      <c r="S107" s="92">
        <f t="shared" si="150"/>
        <v>0</v>
      </c>
      <c r="T107" s="93">
        <f t="shared" si="150"/>
        <v>0</v>
      </c>
      <c r="U107" s="89">
        <f t="shared" si="150"/>
        <v>0</v>
      </c>
      <c r="V107" s="94">
        <f t="shared" si="150"/>
        <v>0</v>
      </c>
      <c r="W107" s="55"/>
      <c r="X107" s="90" t="s">
        <v>58</v>
      </c>
      <c r="Y107" s="91">
        <f t="shared" ref="Y107:AC107" si="151">Y106/6</f>
        <v>0</v>
      </c>
      <c r="Z107" s="92">
        <f t="shared" si="151"/>
        <v>0</v>
      </c>
      <c r="AA107" s="93">
        <f t="shared" si="151"/>
        <v>0</v>
      </c>
      <c r="AB107" s="89">
        <f t="shared" si="151"/>
        <v>0</v>
      </c>
      <c r="AC107" s="94">
        <f t="shared" si="151"/>
        <v>0</v>
      </c>
      <c r="AD107" s="55"/>
      <c r="AE107" s="90" t="s">
        <v>58</v>
      </c>
      <c r="AF107" s="91">
        <f t="shared" ref="AF107:AJ107" si="152">AF106/6</f>
        <v>0</v>
      </c>
      <c r="AG107" s="92">
        <f t="shared" si="152"/>
        <v>0</v>
      </c>
      <c r="AH107" s="93">
        <f t="shared" si="152"/>
        <v>0</v>
      </c>
      <c r="AI107" s="89">
        <f t="shared" si="152"/>
        <v>0</v>
      </c>
      <c r="AJ107" s="94">
        <f t="shared" si="152"/>
        <v>0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L124" s="96">
        <v>45961.0</v>
      </c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Q126" s="78" t="s">
        <v>271</v>
      </c>
      <c r="V126" s="55"/>
      <c r="AC126" s="55"/>
      <c r="AJ126" s="55"/>
    </row>
    <row r="127">
      <c r="C127" s="9" t="s">
        <v>10</v>
      </c>
      <c r="D127" s="100">
        <f t="shared" ref="D127:H127" si="153">D98+K98+R98+Y98+AF98</f>
        <v>0</v>
      </c>
      <c r="E127" s="101">
        <f t="shared" si="153"/>
        <v>0</v>
      </c>
      <c r="F127" s="102">
        <f t="shared" si="153"/>
        <v>0</v>
      </c>
      <c r="G127" s="86">
        <f t="shared" si="153"/>
        <v>0</v>
      </c>
      <c r="H127" s="103">
        <f t="shared" si="153"/>
        <v>0</v>
      </c>
      <c r="I127" s="104" t="s">
        <v>71</v>
      </c>
      <c r="J127" s="105">
        <f t="shared" ref="J127:J134" si="155">D98+K98+R98+Y98+AF98</f>
        <v>0</v>
      </c>
      <c r="K127" s="105"/>
      <c r="L127" s="106"/>
      <c r="M127" s="107">
        <f t="shared" ref="M127:M134" si="156">J127/27</f>
        <v>0</v>
      </c>
      <c r="N127" s="107">
        <f t="shared" ref="N127:N134" si="157">(M127*0)+J127</f>
        <v>0</v>
      </c>
      <c r="O127" s="55"/>
      <c r="Q127" s="245">
        <f t="shared" ref="Q127:Q128" si="158">N127-K127</f>
        <v>0</v>
      </c>
      <c r="V127" s="55"/>
      <c r="AC127" s="55"/>
      <c r="AJ127" s="55"/>
    </row>
    <row r="128">
      <c r="C128" s="9" t="s">
        <v>12</v>
      </c>
      <c r="D128" s="100">
        <f t="shared" ref="D128:H128" si="154">D99+K99+R99+Y99+AF99</f>
        <v>0</v>
      </c>
      <c r="E128" s="101">
        <f t="shared" si="154"/>
        <v>0</v>
      </c>
      <c r="F128" s="102">
        <f t="shared" si="154"/>
        <v>0</v>
      </c>
      <c r="G128" s="86">
        <f t="shared" si="154"/>
        <v>0</v>
      </c>
      <c r="H128" s="103">
        <f t="shared" si="154"/>
        <v>0</v>
      </c>
      <c r="I128" s="104" t="s">
        <v>72</v>
      </c>
      <c r="J128" s="105">
        <f t="shared" si="155"/>
        <v>0</v>
      </c>
      <c r="K128" s="105"/>
      <c r="L128" s="9"/>
      <c r="M128" s="107">
        <f t="shared" si="156"/>
        <v>0</v>
      </c>
      <c r="N128" s="107">
        <f t="shared" si="157"/>
        <v>0</v>
      </c>
      <c r="O128" s="55"/>
      <c r="Q128" s="245">
        <f t="shared" si="158"/>
        <v>0</v>
      </c>
      <c r="V128" s="55"/>
      <c r="AC128" s="55"/>
      <c r="AJ128" s="55"/>
    </row>
    <row r="129">
      <c r="C129" s="9" t="s">
        <v>79</v>
      </c>
      <c r="D129" s="100">
        <f t="shared" ref="D129:H129" si="159">D100+K100+R100+Y100+AF100</f>
        <v>0</v>
      </c>
      <c r="E129" s="101">
        <f t="shared" si="159"/>
        <v>0</v>
      </c>
      <c r="F129" s="102">
        <f t="shared" si="159"/>
        <v>0</v>
      </c>
      <c r="G129" s="86">
        <f t="shared" si="159"/>
        <v>0</v>
      </c>
      <c r="H129" s="103">
        <f t="shared" si="159"/>
        <v>0</v>
      </c>
      <c r="I129" s="104" t="s">
        <v>281</v>
      </c>
      <c r="J129" s="105">
        <f t="shared" si="155"/>
        <v>0</v>
      </c>
      <c r="K129" s="105"/>
      <c r="L129" s="9"/>
      <c r="M129" s="107">
        <f t="shared" si="156"/>
        <v>0</v>
      </c>
      <c r="N129" s="107">
        <f t="shared" si="157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60">D101+K101+R101+Y101+AF101</f>
        <v>0</v>
      </c>
      <c r="E130" s="101">
        <f t="shared" si="160"/>
        <v>0</v>
      </c>
      <c r="F130" s="102">
        <f t="shared" si="160"/>
        <v>0</v>
      </c>
      <c r="G130" s="86">
        <f t="shared" si="160"/>
        <v>0</v>
      </c>
      <c r="H130" s="103">
        <f t="shared" si="160"/>
        <v>0</v>
      </c>
      <c r="I130" s="104" t="s">
        <v>74</v>
      </c>
      <c r="J130" s="105">
        <f t="shared" si="155"/>
        <v>0</v>
      </c>
      <c r="K130" s="105"/>
      <c r="L130" s="106"/>
      <c r="M130" s="107">
        <f t="shared" si="156"/>
        <v>0</v>
      </c>
      <c r="N130" s="107">
        <f t="shared" si="157"/>
        <v>0</v>
      </c>
      <c r="O130" s="55"/>
      <c r="Q130" s="245">
        <f>N130-K130</f>
        <v>0</v>
      </c>
      <c r="V130" s="55"/>
      <c r="AC130" s="55"/>
      <c r="AJ130" s="55"/>
    </row>
    <row r="131">
      <c r="C131" s="9" t="s">
        <v>17</v>
      </c>
      <c r="D131" s="100">
        <f t="shared" ref="D131:H131" si="161">D102+K102+R102+Y102+AF102</f>
        <v>0</v>
      </c>
      <c r="E131" s="101">
        <f t="shared" si="161"/>
        <v>0</v>
      </c>
      <c r="F131" s="102">
        <f t="shared" si="161"/>
        <v>0</v>
      </c>
      <c r="G131" s="86">
        <f t="shared" si="161"/>
        <v>0</v>
      </c>
      <c r="H131" s="103">
        <f t="shared" si="161"/>
        <v>0</v>
      </c>
      <c r="I131" s="104" t="s">
        <v>75</v>
      </c>
      <c r="J131" s="105">
        <f t="shared" si="155"/>
        <v>0</v>
      </c>
      <c r="K131" s="105"/>
      <c r="L131" s="9"/>
      <c r="M131" s="107">
        <f t="shared" si="156"/>
        <v>0</v>
      </c>
      <c r="N131" s="107">
        <f t="shared" si="157"/>
        <v>0</v>
      </c>
      <c r="O131" s="55"/>
      <c r="Q131" s="245">
        <f>N131-K131-K129</f>
        <v>0</v>
      </c>
      <c r="V131" s="55"/>
      <c r="AC131" s="55"/>
      <c r="AJ131" s="55"/>
    </row>
    <row r="132">
      <c r="C132" s="9" t="s">
        <v>18</v>
      </c>
      <c r="D132" s="13">
        <f t="shared" ref="D132:H132" si="162">D103+K103+R103+Y103+AF103</f>
        <v>0</v>
      </c>
      <c r="E132" s="21">
        <f t="shared" si="162"/>
        <v>0</v>
      </c>
      <c r="F132" s="17">
        <f t="shared" si="162"/>
        <v>0</v>
      </c>
      <c r="G132" s="16">
        <f t="shared" si="162"/>
        <v>0</v>
      </c>
      <c r="H132" s="109">
        <f t="shared" si="162"/>
        <v>0</v>
      </c>
      <c r="I132" s="104" t="s">
        <v>76</v>
      </c>
      <c r="J132" s="105">
        <f t="shared" si="155"/>
        <v>0</v>
      </c>
      <c r="K132" s="105"/>
      <c r="L132" s="9"/>
      <c r="M132" s="107">
        <f t="shared" si="156"/>
        <v>0</v>
      </c>
      <c r="N132" s="107">
        <f t="shared" si="157"/>
        <v>0</v>
      </c>
      <c r="O132" s="55"/>
      <c r="Q132" s="245">
        <f t="shared" ref="Q132:Q134" si="164">N132-K132</f>
        <v>0</v>
      </c>
      <c r="V132" s="55"/>
      <c r="AC132" s="55"/>
      <c r="AJ132" s="55"/>
    </row>
    <row r="133">
      <c r="C133" s="9" t="s">
        <v>19</v>
      </c>
      <c r="D133" s="100">
        <f t="shared" ref="D133:H133" si="163">D104+K104+R104+Y104+AF104</f>
        <v>0</v>
      </c>
      <c r="E133" s="101">
        <f t="shared" si="163"/>
        <v>0</v>
      </c>
      <c r="F133" s="102">
        <f t="shared" si="163"/>
        <v>0</v>
      </c>
      <c r="G133" s="86">
        <f t="shared" si="163"/>
        <v>0</v>
      </c>
      <c r="H133" s="103">
        <f t="shared" si="163"/>
        <v>0</v>
      </c>
      <c r="I133" s="104" t="s">
        <v>77</v>
      </c>
      <c r="J133" s="105">
        <f t="shared" si="155"/>
        <v>0</v>
      </c>
      <c r="K133" s="105"/>
      <c r="L133" s="106"/>
      <c r="M133" s="107">
        <f t="shared" si="156"/>
        <v>0</v>
      </c>
      <c r="N133" s="107">
        <f t="shared" si="157"/>
        <v>0</v>
      </c>
      <c r="O133" s="55"/>
      <c r="Q133" s="245">
        <f t="shared" si="164"/>
        <v>0</v>
      </c>
      <c r="V133" s="55"/>
      <c r="AC133" s="55"/>
      <c r="AJ133" s="55"/>
    </row>
    <row r="134">
      <c r="C134" s="26" t="s">
        <v>22</v>
      </c>
      <c r="D134" s="100">
        <f t="shared" ref="D134:H134" si="165">D105+K105+R105+Y105+AF105</f>
        <v>0</v>
      </c>
      <c r="E134" s="101">
        <f t="shared" si="165"/>
        <v>0</v>
      </c>
      <c r="F134" s="102">
        <f t="shared" si="165"/>
        <v>0</v>
      </c>
      <c r="G134" s="86">
        <f t="shared" si="165"/>
        <v>0</v>
      </c>
      <c r="H134" s="103">
        <f t="shared" si="165"/>
        <v>0</v>
      </c>
      <c r="I134" s="104" t="s">
        <v>78</v>
      </c>
      <c r="J134" s="105">
        <f t="shared" si="155"/>
        <v>0</v>
      </c>
      <c r="K134" s="105"/>
      <c r="L134" s="106"/>
      <c r="M134" s="107">
        <f t="shared" si="156"/>
        <v>0</v>
      </c>
      <c r="N134" s="107">
        <f t="shared" si="157"/>
        <v>0</v>
      </c>
      <c r="O134" s="55"/>
      <c r="Q134" s="245">
        <f t="shared" si="164"/>
        <v>0</v>
      </c>
      <c r="V134" s="55"/>
      <c r="AC134" s="55"/>
      <c r="AJ134" s="55"/>
    </row>
    <row r="135">
      <c r="C135" s="78"/>
      <c r="I135" s="104" t="s">
        <v>79</v>
      </c>
      <c r="J135" s="105"/>
      <c r="K135" s="105"/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/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/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/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0</v>
      </c>
      <c r="K139" s="112">
        <f>SUM(K127+K128+K129+K130+K131+K132+K133+K134+K135+K136+K137+K138)</f>
        <v>0</v>
      </c>
      <c r="L139" s="113"/>
      <c r="M139" s="112">
        <f t="shared" ref="M139:N139" si="166">SUM(M127+M128+M129+M130+M131+M132+M133+M134)</f>
        <v>0</v>
      </c>
      <c r="N139" s="112">
        <f t="shared" si="166"/>
        <v>0</v>
      </c>
      <c r="O139" s="55"/>
      <c r="Q139" s="245">
        <f>Q127+Q128+Q130+Q131+Q132+Q133+Q134</f>
        <v>0</v>
      </c>
      <c r="R139" s="78" t="s">
        <v>272</v>
      </c>
      <c r="V139" s="55"/>
      <c r="AC139" s="55"/>
      <c r="AJ139" s="55"/>
    </row>
    <row r="140">
      <c r="O140" s="55"/>
      <c r="Q140" s="245">
        <f>K135+K136+K137+K138</f>
        <v>0</v>
      </c>
      <c r="R140" s="78" t="s">
        <v>274</v>
      </c>
      <c r="V140" s="55"/>
      <c r="AC140" s="55"/>
      <c r="AJ140" s="55"/>
    </row>
    <row r="141">
      <c r="O141" s="55"/>
      <c r="Q141" s="245">
        <f>Q139-Q140</f>
        <v>0</v>
      </c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0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0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0</v>
      </c>
      <c r="E144" s="47"/>
      <c r="F144" s="47"/>
      <c r="G144" s="47"/>
      <c r="H144" s="48"/>
      <c r="L144" s="97" t="s">
        <v>87</v>
      </c>
      <c r="M144" s="114">
        <f>J139+(M139*0)</f>
        <v>0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0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0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0</v>
      </c>
      <c r="E147" s="47"/>
      <c r="F147" s="47"/>
      <c r="G147" s="47"/>
      <c r="H147" s="48"/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0</v>
      </c>
      <c r="E148" s="47"/>
      <c r="F148" s="47"/>
      <c r="G148" s="47"/>
      <c r="H148" s="48"/>
      <c r="M148" s="245">
        <f>M144-215000</f>
        <v>-215000</v>
      </c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0</v>
      </c>
      <c r="E151" s="47"/>
      <c r="F151" s="47"/>
      <c r="G151" s="47"/>
      <c r="H151" s="48"/>
      <c r="O151" s="55"/>
      <c r="V151" s="55"/>
      <c r="AC151" s="55"/>
      <c r="AJ151" s="55"/>
    </row>
    <row r="152"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0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0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0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D143:G143/27</f>
        <v>0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29"/>
      <c r="Q203" s="9" t="s">
        <v>10</v>
      </c>
      <c r="R203" s="120"/>
      <c r="S203" s="49"/>
      <c r="T203" s="49"/>
      <c r="U203" s="49"/>
      <c r="V203" s="51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9">
        <v>202.0</v>
      </c>
      <c r="R204" s="122"/>
      <c r="S204" s="49"/>
      <c r="T204" s="49"/>
      <c r="U204" s="49"/>
      <c r="V204" s="51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9">
        <v>213.0</v>
      </c>
      <c r="R205" s="122"/>
      <c r="S205" s="49"/>
      <c r="T205" s="49"/>
      <c r="U205" s="49"/>
      <c r="V205" s="51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9">
        <v>307.0</v>
      </c>
      <c r="R206" s="122"/>
      <c r="S206" s="49"/>
      <c r="T206" s="49"/>
      <c r="U206" s="49"/>
      <c r="V206" s="51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9">
        <v>313.0</v>
      </c>
      <c r="R207" s="122"/>
      <c r="S207" s="49"/>
      <c r="T207" s="49"/>
      <c r="U207" s="49"/>
      <c r="V207" s="51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9" t="s">
        <v>19</v>
      </c>
      <c r="R208" s="122"/>
      <c r="S208" s="49"/>
      <c r="T208" s="49"/>
      <c r="U208" s="49"/>
      <c r="V208" s="51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9" t="s">
        <v>22</v>
      </c>
      <c r="R209" s="123"/>
      <c r="S209" s="48"/>
      <c r="T209" s="120"/>
      <c r="U209" s="49"/>
      <c r="V209" s="51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0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0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4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R209:S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2" t="s">
        <v>1</v>
      </c>
      <c r="Y1" s="4" t="s">
        <v>7</v>
      </c>
      <c r="Z1" s="2" t="s">
        <v>3</v>
      </c>
      <c r="AA1" s="2" t="s">
        <v>4</v>
      </c>
      <c r="AB1" s="2" t="s">
        <v>5</v>
      </c>
      <c r="AC1" s="5" t="s">
        <v>6</v>
      </c>
      <c r="AD1" s="2" t="s">
        <v>0</v>
      </c>
      <c r="AE1" s="2" t="s">
        <v>1</v>
      </c>
      <c r="AF1" s="4" t="s">
        <v>7</v>
      </c>
      <c r="AG1" s="2" t="s">
        <v>3</v>
      </c>
      <c r="AH1" s="2" t="s">
        <v>4</v>
      </c>
      <c r="AI1" s="2" t="s">
        <v>5</v>
      </c>
      <c r="AJ1" s="5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/>
      <c r="C2" s="9" t="s">
        <v>10</v>
      </c>
      <c r="D2" s="10"/>
      <c r="E2" s="10"/>
      <c r="F2" s="10"/>
      <c r="G2" s="10"/>
      <c r="H2" s="11"/>
      <c r="I2" s="12">
        <v>45964.0</v>
      </c>
      <c r="J2" s="9" t="s">
        <v>10</v>
      </c>
      <c r="K2" s="10"/>
      <c r="L2" s="10"/>
      <c r="M2" s="10"/>
      <c r="N2" s="10"/>
      <c r="O2" s="11"/>
      <c r="P2" s="12">
        <v>45971.0</v>
      </c>
      <c r="Q2" s="9" t="s">
        <v>10</v>
      </c>
      <c r="R2" s="10"/>
      <c r="S2" s="10"/>
      <c r="T2" s="10"/>
      <c r="U2" s="10"/>
      <c r="V2" s="11"/>
      <c r="W2" s="8">
        <v>45978.0</v>
      </c>
      <c r="X2" s="9" t="s">
        <v>10</v>
      </c>
      <c r="Y2" s="10"/>
      <c r="Z2" s="10"/>
      <c r="AA2" s="10"/>
      <c r="AB2" s="10"/>
      <c r="AC2" s="11"/>
      <c r="AD2" s="8">
        <v>45985.0</v>
      </c>
      <c r="AE2" s="9" t="s">
        <v>10</v>
      </c>
      <c r="AF2" s="10"/>
      <c r="AG2" s="10"/>
      <c r="AH2" s="10"/>
      <c r="AI2" s="10"/>
      <c r="AJ2" s="11"/>
      <c r="AL2" s="18" t="s">
        <v>11</v>
      </c>
      <c r="AM2" s="9" t="s">
        <v>10</v>
      </c>
      <c r="AN2" s="10">
        <f t="shared" ref="AN2:AP2" si="1">D2+K2+R2+Y2+AF2</f>
        <v>0</v>
      </c>
      <c r="AO2" s="10">
        <f t="shared" si="1"/>
        <v>0</v>
      </c>
      <c r="AP2" s="10">
        <f t="shared" si="1"/>
        <v>0</v>
      </c>
      <c r="AQ2" s="11">
        <f t="shared" ref="AQ2:AQ9" si="3">H2+O2+V2+AC2+AJ2</f>
        <v>0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9" t="s">
        <v>12</v>
      </c>
      <c r="K3" s="10"/>
      <c r="L3" s="10"/>
      <c r="M3" s="10"/>
      <c r="N3" s="10"/>
      <c r="O3" s="11"/>
      <c r="P3" s="19"/>
      <c r="Q3" s="9" t="s">
        <v>12</v>
      </c>
      <c r="R3" s="10"/>
      <c r="S3" s="10"/>
      <c r="T3" s="10"/>
      <c r="U3" s="10"/>
      <c r="V3" s="11"/>
      <c r="W3" s="19"/>
      <c r="X3" s="9" t="s">
        <v>12</v>
      </c>
      <c r="Y3" s="10"/>
      <c r="Z3" s="10"/>
      <c r="AA3" s="10"/>
      <c r="AB3" s="10"/>
      <c r="AC3" s="11"/>
      <c r="AD3" s="19"/>
      <c r="AE3" s="9" t="s">
        <v>12</v>
      </c>
      <c r="AF3" s="10"/>
      <c r="AG3" s="10"/>
      <c r="AH3" s="10"/>
      <c r="AI3" s="10"/>
      <c r="AJ3" s="11"/>
      <c r="AL3" s="19"/>
      <c r="AM3" s="9" t="s">
        <v>12</v>
      </c>
      <c r="AN3" s="10">
        <f t="shared" ref="AN3:AP3" si="2">D3+K3+R3+Y3+AF3</f>
        <v>0</v>
      </c>
      <c r="AO3" s="10">
        <f t="shared" si="2"/>
        <v>0</v>
      </c>
      <c r="AP3" s="10">
        <f t="shared" si="2"/>
        <v>0</v>
      </c>
      <c r="AQ3" s="11">
        <f t="shared" si="3"/>
        <v>0</v>
      </c>
    </row>
    <row r="4">
      <c r="B4" s="19"/>
      <c r="C4" s="314" t="s">
        <v>276</v>
      </c>
      <c r="D4" s="10"/>
      <c r="E4" s="10"/>
      <c r="F4" s="10"/>
      <c r="G4" s="10"/>
      <c r="H4" s="11"/>
      <c r="I4" s="19"/>
      <c r="J4" s="9" t="s">
        <v>276</v>
      </c>
      <c r="K4" s="10"/>
      <c r="L4" s="10"/>
      <c r="M4" s="10"/>
      <c r="N4" s="10"/>
      <c r="O4" s="11"/>
      <c r="P4" s="19"/>
      <c r="Q4" s="9" t="s">
        <v>276</v>
      </c>
      <c r="R4" s="291"/>
      <c r="S4" s="10"/>
      <c r="T4" s="10"/>
      <c r="U4" s="10"/>
      <c r="V4" s="11"/>
      <c r="W4" s="19"/>
      <c r="X4" s="314" t="s">
        <v>276</v>
      </c>
      <c r="Y4" s="10"/>
      <c r="Z4" s="10"/>
      <c r="AA4" s="10"/>
      <c r="AB4" s="10"/>
      <c r="AC4" s="11"/>
      <c r="AD4" s="19"/>
      <c r="AE4" s="9" t="s">
        <v>14</v>
      </c>
      <c r="AF4" s="10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10"/>
      <c r="H5" s="11"/>
      <c r="I5" s="19"/>
      <c r="J5" s="9" t="s">
        <v>16</v>
      </c>
      <c r="K5" s="10"/>
      <c r="L5" s="10"/>
      <c r="M5" s="10"/>
      <c r="N5" s="10"/>
      <c r="O5" s="11"/>
      <c r="P5" s="19"/>
      <c r="Q5" s="9" t="s">
        <v>16</v>
      </c>
      <c r="R5" s="10"/>
      <c r="S5" s="10"/>
      <c r="T5" s="10"/>
      <c r="U5" s="310"/>
      <c r="V5" s="163"/>
      <c r="W5" s="19"/>
      <c r="X5" s="9" t="s">
        <v>283</v>
      </c>
      <c r="Y5" s="10"/>
      <c r="Z5" s="10"/>
      <c r="AA5" s="10"/>
      <c r="AB5" s="310"/>
      <c r="AC5" s="163"/>
      <c r="AD5" s="19"/>
      <c r="AE5" s="9" t="s">
        <v>16</v>
      </c>
      <c r="AF5" s="10"/>
      <c r="AG5" s="10"/>
      <c r="AH5" s="10"/>
      <c r="AI5" s="10"/>
      <c r="AJ5" s="11"/>
      <c r="AL5" s="19"/>
      <c r="AM5" s="9" t="s">
        <v>16</v>
      </c>
      <c r="AN5" s="10">
        <f t="shared" ref="AN5:AP5" si="5">D5+K5+R5+Y5+AF5</f>
        <v>0</v>
      </c>
      <c r="AO5" s="10">
        <f t="shared" si="5"/>
        <v>0</v>
      </c>
      <c r="AP5" s="10">
        <f t="shared" si="5"/>
        <v>0</v>
      </c>
      <c r="AQ5" s="11">
        <f t="shared" si="3"/>
        <v>0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10"/>
      <c r="L6" s="10"/>
      <c r="M6" s="10"/>
      <c r="N6" s="10"/>
      <c r="O6" s="11"/>
      <c r="P6" s="19"/>
      <c r="Q6" s="9" t="s">
        <v>17</v>
      </c>
      <c r="R6" s="10"/>
      <c r="S6" s="10"/>
      <c r="T6" s="10"/>
      <c r="U6" s="10"/>
      <c r="V6" s="11"/>
      <c r="W6" s="19"/>
      <c r="X6" s="9" t="s">
        <v>17</v>
      </c>
      <c r="Y6" s="10"/>
      <c r="Z6" s="10"/>
      <c r="AA6" s="10"/>
      <c r="AB6" s="10"/>
      <c r="AC6" s="11"/>
      <c r="AD6" s="19"/>
      <c r="AE6" s="9" t="s">
        <v>17</v>
      </c>
      <c r="AF6" s="10"/>
      <c r="AG6" s="10"/>
      <c r="AH6" s="10"/>
      <c r="AI6" s="10"/>
      <c r="AJ6" s="11"/>
      <c r="AL6" s="19"/>
      <c r="AM6" s="9" t="s">
        <v>17</v>
      </c>
      <c r="AN6" s="10">
        <f t="shared" ref="AN6:AP6" si="6">D6+K6+R6+Y6+AF6</f>
        <v>0</v>
      </c>
      <c r="AO6" s="10">
        <f t="shared" si="6"/>
        <v>0</v>
      </c>
      <c r="AP6" s="10">
        <f t="shared" si="6"/>
        <v>0</v>
      </c>
      <c r="AQ6" s="11">
        <f t="shared" si="3"/>
        <v>0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9" t="s">
        <v>18</v>
      </c>
      <c r="K7" s="10"/>
      <c r="L7" s="10"/>
      <c r="M7" s="10"/>
      <c r="N7" s="10"/>
      <c r="O7" s="11"/>
      <c r="P7" s="19"/>
      <c r="Q7" s="9" t="s">
        <v>18</v>
      </c>
      <c r="R7" s="10"/>
      <c r="S7" s="10"/>
      <c r="T7" s="10"/>
      <c r="U7" s="10"/>
      <c r="V7" s="11"/>
      <c r="W7" s="19"/>
      <c r="X7" s="9" t="s">
        <v>18</v>
      </c>
      <c r="Y7" s="10"/>
      <c r="Z7" s="10"/>
      <c r="AA7" s="10"/>
      <c r="AB7" s="10"/>
      <c r="AC7" s="11"/>
      <c r="AD7" s="19"/>
      <c r="AE7" s="9" t="s">
        <v>18</v>
      </c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0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9" t="s">
        <v>20</v>
      </c>
      <c r="K8" s="10"/>
      <c r="L8" s="10"/>
      <c r="M8" s="10"/>
      <c r="N8" s="10"/>
      <c r="O8" s="11"/>
      <c r="P8" s="19"/>
      <c r="Q8" s="9" t="s">
        <v>19</v>
      </c>
      <c r="R8" s="10"/>
      <c r="S8" s="10"/>
      <c r="T8" s="10"/>
      <c r="U8" s="10"/>
      <c r="V8" s="11"/>
      <c r="W8" s="19"/>
      <c r="X8" s="9" t="s">
        <v>19</v>
      </c>
      <c r="Y8" s="10"/>
      <c r="Z8" s="10"/>
      <c r="AA8" s="10"/>
      <c r="AB8" s="10"/>
      <c r="AC8" s="11"/>
      <c r="AD8" s="19"/>
      <c r="AE8" s="9" t="s">
        <v>19</v>
      </c>
      <c r="AF8" s="10"/>
      <c r="AG8" s="10"/>
      <c r="AH8" s="10"/>
      <c r="AI8" s="10"/>
      <c r="AJ8" s="11"/>
      <c r="AL8" s="19"/>
      <c r="AM8" s="9" t="s">
        <v>19</v>
      </c>
      <c r="AN8" s="10">
        <f t="shared" ref="AN8:AP8" si="8">D8+K8+R8+Y8+AF8</f>
        <v>0</v>
      </c>
      <c r="AO8" s="10">
        <f t="shared" si="8"/>
        <v>0</v>
      </c>
      <c r="AP8" s="10">
        <f t="shared" si="8"/>
        <v>0</v>
      </c>
      <c r="AQ8" s="11">
        <f t="shared" si="3"/>
        <v>0</v>
      </c>
    </row>
    <row r="9">
      <c r="B9" s="19"/>
      <c r="C9" s="26" t="s">
        <v>21</v>
      </c>
      <c r="D9" s="10"/>
      <c r="E9" s="10"/>
      <c r="F9" s="10"/>
      <c r="G9" s="10"/>
      <c r="H9" s="11"/>
      <c r="I9" s="19"/>
      <c r="J9" s="26" t="s">
        <v>22</v>
      </c>
      <c r="K9" s="10"/>
      <c r="L9" s="10"/>
      <c r="M9" s="10"/>
      <c r="N9" s="10"/>
      <c r="O9" s="11"/>
      <c r="P9" s="19"/>
      <c r="Q9" s="26" t="s">
        <v>21</v>
      </c>
      <c r="R9" s="10"/>
      <c r="S9" s="10"/>
      <c r="T9" s="10"/>
      <c r="U9" s="310"/>
      <c r="V9" s="11"/>
      <c r="W9" s="19"/>
      <c r="X9" s="26" t="s">
        <v>21</v>
      </c>
      <c r="Y9" s="10"/>
      <c r="Z9" s="10"/>
      <c r="AA9" s="10"/>
      <c r="AB9" s="310"/>
      <c r="AC9" s="11"/>
      <c r="AD9" s="19"/>
      <c r="AE9" s="26" t="s">
        <v>21</v>
      </c>
      <c r="AF9" s="10"/>
      <c r="AG9" s="10"/>
      <c r="AH9" s="10"/>
      <c r="AI9" s="10"/>
      <c r="AJ9" s="11"/>
      <c r="AL9" s="19"/>
      <c r="AM9" s="26" t="s">
        <v>21</v>
      </c>
      <c r="AN9" s="10">
        <f t="shared" ref="AN9:AP9" si="9">D9+K9+R9+Y9+AF9</f>
        <v>0</v>
      </c>
      <c r="AO9" s="10">
        <f t="shared" si="9"/>
        <v>0</v>
      </c>
      <c r="AP9" s="10">
        <f t="shared" si="9"/>
        <v>0</v>
      </c>
      <c r="AQ9" s="11">
        <f t="shared" si="3"/>
        <v>0</v>
      </c>
    </row>
    <row r="10">
      <c r="B10" s="19"/>
      <c r="C10" s="28" t="s">
        <v>23</v>
      </c>
      <c r="D10" s="61">
        <f t="shared" ref="D10:H10" si="10">D2+D3+D4+D5+D6+D7+D8+D9</f>
        <v>0</v>
      </c>
      <c r="E10" s="40">
        <f t="shared" si="10"/>
        <v>0</v>
      </c>
      <c r="F10" s="31">
        <f t="shared" si="10"/>
        <v>0</v>
      </c>
      <c r="G10" s="37">
        <f t="shared" si="10"/>
        <v>0</v>
      </c>
      <c r="H10" s="294">
        <f t="shared" si="10"/>
        <v>0</v>
      </c>
      <c r="I10" s="19"/>
      <c r="J10" s="28" t="s">
        <v>23</v>
      </c>
      <c r="K10" s="61">
        <f t="shared" ref="K10:O10" si="11">K2+K3+K4+K5+K6+K7+K8+K9</f>
        <v>0</v>
      </c>
      <c r="L10" s="37">
        <f t="shared" si="11"/>
        <v>0</v>
      </c>
      <c r="M10" s="36">
        <f t="shared" si="11"/>
        <v>0</v>
      </c>
      <c r="N10" s="40">
        <f t="shared" si="11"/>
        <v>0</v>
      </c>
      <c r="O10" s="33">
        <f t="shared" si="11"/>
        <v>0</v>
      </c>
      <c r="P10" s="19"/>
      <c r="Q10" s="28" t="s">
        <v>23</v>
      </c>
      <c r="R10" s="61">
        <f t="shared" ref="R10:V10" si="12">R2+R3+R4+R5+R6+R7+R8+R9</f>
        <v>0</v>
      </c>
      <c r="S10" s="35">
        <f t="shared" si="12"/>
        <v>0</v>
      </c>
      <c r="T10" s="36">
        <f t="shared" si="12"/>
        <v>0</v>
      </c>
      <c r="U10" s="40">
        <f t="shared" si="12"/>
        <v>0</v>
      </c>
      <c r="V10" s="33">
        <f t="shared" si="12"/>
        <v>0</v>
      </c>
      <c r="W10" s="19"/>
      <c r="X10" s="28" t="s">
        <v>23</v>
      </c>
      <c r="Y10" s="61">
        <f t="shared" ref="Y10:AC10" si="13">Y2+Y3+Y4+Y5+Y6+Y7+Y8+Y9</f>
        <v>0</v>
      </c>
      <c r="Z10" s="35">
        <f t="shared" si="13"/>
        <v>0</v>
      </c>
      <c r="AA10" s="36">
        <f t="shared" si="13"/>
        <v>0</v>
      </c>
      <c r="AB10" s="37">
        <f t="shared" si="13"/>
        <v>0</v>
      </c>
      <c r="AC10" s="33">
        <f t="shared" si="13"/>
        <v>0</v>
      </c>
      <c r="AD10" s="19"/>
      <c r="AE10" s="28" t="s">
        <v>23</v>
      </c>
      <c r="AF10" s="61">
        <f t="shared" ref="AF10:AJ10" si="14">AF2+AF3+AF4+AF5+AF6+AF7+AF8+AF9</f>
        <v>0</v>
      </c>
      <c r="AG10" s="40">
        <f t="shared" si="14"/>
        <v>0</v>
      </c>
      <c r="AH10" s="31">
        <f t="shared" si="14"/>
        <v>0</v>
      </c>
      <c r="AI10" s="37">
        <f t="shared" si="14"/>
        <v>0</v>
      </c>
      <c r="AJ10" s="33">
        <f t="shared" si="14"/>
        <v>0</v>
      </c>
      <c r="AL10" s="19"/>
      <c r="AM10" s="28" t="s">
        <v>23</v>
      </c>
      <c r="AN10" s="41">
        <f t="shared" ref="AN10:AQ10" si="15">AN2+AN3+AN4+AN5+AN6+AN7+AN8+AN9</f>
        <v>0</v>
      </c>
      <c r="AO10" s="42">
        <f t="shared" si="15"/>
        <v>0</v>
      </c>
      <c r="AP10" s="43">
        <f t="shared" si="15"/>
        <v>0</v>
      </c>
      <c r="AQ10" s="44">
        <f t="shared" si="15"/>
        <v>0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0</v>
      </c>
      <c r="L11" s="47"/>
      <c r="M11" s="48"/>
      <c r="N11" s="51"/>
      <c r="O11" s="52"/>
      <c r="P11" s="19"/>
      <c r="Q11" s="45" t="s">
        <v>24</v>
      </c>
      <c r="R11" s="50">
        <f>R10-S10</f>
        <v>0</v>
      </c>
      <c r="S11" s="47"/>
      <c r="T11" s="48"/>
      <c r="U11" s="51"/>
      <c r="V11" s="52"/>
      <c r="W11" s="19"/>
      <c r="X11" s="45" t="s">
        <v>24</v>
      </c>
      <c r="Y11" s="50">
        <f>Y10-Z10</f>
        <v>0</v>
      </c>
      <c r="Z11" s="47"/>
      <c r="AA11" s="48"/>
      <c r="AB11" s="51"/>
      <c r="AC11" s="52"/>
      <c r="AD11" s="19"/>
      <c r="AE11" s="45" t="s">
        <v>24</v>
      </c>
      <c r="AF11" s="50">
        <f>AF10-AG10</f>
        <v>0</v>
      </c>
      <c r="AG11" s="47"/>
      <c r="AH11" s="48"/>
      <c r="AI11" s="51"/>
      <c r="AJ11" s="52"/>
      <c r="AL11" s="53"/>
      <c r="AM11" s="45" t="s">
        <v>25</v>
      </c>
      <c r="AN11" s="50">
        <f>AN10-AO10</f>
        <v>0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0</v>
      </c>
      <c r="L12" s="47"/>
      <c r="M12" s="48"/>
      <c r="N12" s="51"/>
      <c r="O12" s="52"/>
      <c r="P12" s="53"/>
      <c r="Q12" s="56" t="s">
        <v>26</v>
      </c>
      <c r="R12" s="57">
        <f>T10-S10</f>
        <v>0</v>
      </c>
      <c r="S12" s="47"/>
      <c r="T12" s="48"/>
      <c r="U12" s="51"/>
      <c r="V12" s="52"/>
      <c r="W12" s="53"/>
      <c r="X12" s="56" t="s">
        <v>26</v>
      </c>
      <c r="Y12" s="57">
        <f>AA10-Z10</f>
        <v>0</v>
      </c>
      <c r="Z12" s="47"/>
      <c r="AA12" s="48"/>
      <c r="AB12" s="51"/>
      <c r="AC12" s="52"/>
      <c r="AD12" s="53"/>
      <c r="AE12" s="56" t="s">
        <v>26</v>
      </c>
      <c r="AF12" s="57">
        <f>AH10-AG10</f>
        <v>0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2" t="s">
        <v>1</v>
      </c>
      <c r="Y13" s="4" t="s">
        <v>7</v>
      </c>
      <c r="Z13" s="2" t="s">
        <v>3</v>
      </c>
      <c r="AA13" s="2" t="s">
        <v>4</v>
      </c>
      <c r="AB13" s="2" t="s">
        <v>5</v>
      </c>
      <c r="AC13" s="5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/>
      <c r="C14" s="9" t="s">
        <v>10</v>
      </c>
      <c r="D14" s="10"/>
      <c r="E14" s="10"/>
      <c r="F14" s="10"/>
      <c r="G14" s="10"/>
      <c r="H14" s="11"/>
      <c r="I14" s="12">
        <v>45965.0</v>
      </c>
      <c r="J14" s="9" t="s">
        <v>10</v>
      </c>
      <c r="K14" s="13"/>
      <c r="L14" s="10"/>
      <c r="M14" s="10"/>
      <c r="N14" s="21"/>
      <c r="O14" s="11"/>
      <c r="P14" s="8">
        <v>45972.0</v>
      </c>
      <c r="Q14" s="9" t="s">
        <v>10</v>
      </c>
      <c r="R14" s="10"/>
      <c r="S14" s="10"/>
      <c r="T14" s="10"/>
      <c r="U14" s="10"/>
      <c r="V14" s="11"/>
      <c r="W14" s="8">
        <v>45979.0</v>
      </c>
      <c r="X14" s="9" t="s">
        <v>10</v>
      </c>
      <c r="Y14" s="10"/>
      <c r="Z14" s="10"/>
      <c r="AA14" s="10"/>
      <c r="AB14" s="10"/>
      <c r="AC14" s="11"/>
      <c r="AD14" s="8">
        <v>45986.0</v>
      </c>
      <c r="AE14" s="9" t="s">
        <v>10</v>
      </c>
      <c r="AF14" s="10"/>
      <c r="AG14" s="10"/>
      <c r="AH14" s="10"/>
      <c r="AI14" s="10"/>
      <c r="AJ14" s="11"/>
      <c r="AL14" s="18" t="s">
        <v>28</v>
      </c>
      <c r="AM14" s="9" t="s">
        <v>10</v>
      </c>
      <c r="AN14" s="10">
        <f t="shared" ref="AN14:AP14" si="16">D14+K14+R14+Y14+AF14</f>
        <v>0</v>
      </c>
      <c r="AO14" s="10">
        <f t="shared" si="16"/>
        <v>0</v>
      </c>
      <c r="AP14" s="10">
        <f t="shared" si="16"/>
        <v>0</v>
      </c>
      <c r="AQ14" s="11">
        <f t="shared" ref="AQ14:AQ21" si="18">H14+O14+V14+AC14+AJ14</f>
        <v>0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9" t="s">
        <v>12</v>
      </c>
      <c r="K15" s="10"/>
      <c r="L15" s="10"/>
      <c r="M15" s="10"/>
      <c r="N15" s="10"/>
      <c r="O15" s="11"/>
      <c r="P15" s="19"/>
      <c r="Q15" s="9" t="s">
        <v>12</v>
      </c>
      <c r="R15" s="10"/>
      <c r="S15" s="10"/>
      <c r="T15" s="10"/>
      <c r="U15" s="10"/>
      <c r="V15" s="11"/>
      <c r="W15" s="19"/>
      <c r="X15" s="9" t="s">
        <v>12</v>
      </c>
      <c r="Y15" s="10"/>
      <c r="Z15" s="10"/>
      <c r="AA15" s="10"/>
      <c r="AB15" s="10"/>
      <c r="AC15" s="11"/>
      <c r="AD15" s="19"/>
      <c r="AE15" s="9" t="s">
        <v>12</v>
      </c>
      <c r="AF15" s="10"/>
      <c r="AG15" s="10"/>
      <c r="AH15" s="10"/>
      <c r="AI15" s="10"/>
      <c r="AJ15" s="11"/>
      <c r="AL15" s="19"/>
      <c r="AM15" s="9" t="s">
        <v>12</v>
      </c>
      <c r="AN15" s="10">
        <f t="shared" ref="AN15:AP15" si="17">D15+K15+R15+Y15+AF15</f>
        <v>0</v>
      </c>
      <c r="AO15" s="10">
        <f t="shared" si="17"/>
        <v>0</v>
      </c>
      <c r="AP15" s="10">
        <f t="shared" si="17"/>
        <v>0</v>
      </c>
      <c r="AQ15" s="11">
        <f t="shared" si="18"/>
        <v>0</v>
      </c>
    </row>
    <row r="16">
      <c r="A16" s="19"/>
      <c r="B16" s="19"/>
      <c r="C16" s="314" t="s">
        <v>276</v>
      </c>
      <c r="D16" s="291"/>
      <c r="E16" s="10"/>
      <c r="F16" s="10"/>
      <c r="G16" s="10"/>
      <c r="H16" s="11"/>
      <c r="I16" s="19"/>
      <c r="J16" s="9" t="s">
        <v>276</v>
      </c>
      <c r="K16" s="291"/>
      <c r="L16" s="10"/>
      <c r="M16" s="10"/>
      <c r="N16" s="10"/>
      <c r="O16" s="11"/>
      <c r="P16" s="19"/>
      <c r="Q16" s="9" t="s">
        <v>276</v>
      </c>
      <c r="R16" s="10"/>
      <c r="S16" s="10"/>
      <c r="T16" s="10"/>
      <c r="U16" s="10"/>
      <c r="V16" s="11"/>
      <c r="W16" s="19"/>
      <c r="X16" s="9" t="s">
        <v>276</v>
      </c>
      <c r="Y16" s="10"/>
      <c r="Z16" s="10"/>
      <c r="AA16" s="10"/>
      <c r="AB16" s="10"/>
      <c r="AC16" s="11"/>
      <c r="AD16" s="19"/>
      <c r="AE16" s="9" t="s">
        <v>14</v>
      </c>
      <c r="AF16" s="10"/>
      <c r="AG16" s="10"/>
      <c r="AH16" s="10"/>
      <c r="AI16" s="10"/>
      <c r="AJ16" s="11"/>
      <c r="AL16" s="19"/>
      <c r="AM16" s="9" t="s">
        <v>14</v>
      </c>
      <c r="AN16" s="10">
        <f t="shared" ref="AN16:AP16" si="19">D16+K16+R16+Y16+AF16</f>
        <v>0</v>
      </c>
      <c r="AO16" s="10">
        <f t="shared" si="19"/>
        <v>0</v>
      </c>
      <c r="AP16" s="10">
        <f t="shared" si="19"/>
        <v>0</v>
      </c>
      <c r="AQ16" s="11">
        <f t="shared" si="18"/>
        <v>0</v>
      </c>
    </row>
    <row r="17">
      <c r="A17" s="19"/>
      <c r="B17" s="19"/>
      <c r="C17" s="9" t="s">
        <v>16</v>
      </c>
      <c r="D17" s="10"/>
      <c r="E17" s="10"/>
      <c r="F17" s="10"/>
      <c r="G17" s="10"/>
      <c r="H17" s="11"/>
      <c r="I17" s="19"/>
      <c r="J17" s="9" t="s">
        <v>16</v>
      </c>
      <c r="K17" s="10"/>
      <c r="L17" s="10"/>
      <c r="M17" s="10"/>
      <c r="N17" s="310"/>
      <c r="O17" s="11"/>
      <c r="P17" s="19"/>
      <c r="Q17" s="9" t="s">
        <v>15</v>
      </c>
      <c r="R17" s="10"/>
      <c r="S17" s="10"/>
      <c r="T17" s="10"/>
      <c r="U17" s="10"/>
      <c r="V17" s="11"/>
      <c r="W17" s="19"/>
      <c r="X17" s="9" t="s">
        <v>16</v>
      </c>
      <c r="Y17" s="10"/>
      <c r="Z17" s="10"/>
      <c r="AA17" s="10"/>
      <c r="AB17" s="310"/>
      <c r="AC17" s="11"/>
      <c r="AD17" s="19"/>
      <c r="AE17" s="9" t="s">
        <v>16</v>
      </c>
      <c r="AF17" s="10"/>
      <c r="AG17" s="10"/>
      <c r="AH17" s="10"/>
      <c r="AI17" s="10"/>
      <c r="AJ17" s="11"/>
      <c r="AL17" s="19"/>
      <c r="AM17" s="9" t="s">
        <v>16</v>
      </c>
      <c r="AN17" s="10">
        <f t="shared" ref="AN17:AP17" si="20">D17+K17+R17+Y17+AF17</f>
        <v>0</v>
      </c>
      <c r="AO17" s="10">
        <f t="shared" si="20"/>
        <v>0</v>
      </c>
      <c r="AP17" s="10">
        <f t="shared" si="20"/>
        <v>0</v>
      </c>
      <c r="AQ17" s="11">
        <f t="shared" si="18"/>
        <v>0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9" t="s">
        <v>17</v>
      </c>
      <c r="K18" s="10"/>
      <c r="L18" s="10"/>
      <c r="M18" s="10"/>
      <c r="N18" s="10"/>
      <c r="O18" s="11"/>
      <c r="P18" s="19"/>
      <c r="Q18" s="9" t="s">
        <v>17</v>
      </c>
      <c r="R18" s="10"/>
      <c r="S18" s="10"/>
      <c r="T18" s="10"/>
      <c r="U18" s="10"/>
      <c r="V18" s="11"/>
      <c r="W18" s="19"/>
      <c r="X18" s="9" t="s">
        <v>17</v>
      </c>
      <c r="Y18" s="10"/>
      <c r="Z18" s="10"/>
      <c r="AA18" s="10"/>
      <c r="AB18" s="10"/>
      <c r="AC18" s="11"/>
      <c r="AD18" s="19"/>
      <c r="AE18" s="9" t="s">
        <v>17</v>
      </c>
      <c r="AF18" s="10"/>
      <c r="AG18" s="10"/>
      <c r="AH18" s="10"/>
      <c r="AI18" s="10"/>
      <c r="AJ18" s="11"/>
      <c r="AL18" s="19"/>
      <c r="AM18" s="9" t="s">
        <v>17</v>
      </c>
      <c r="AN18" s="10">
        <f t="shared" ref="AN18:AP18" si="21">D18+K18+R18+Y18+AF18</f>
        <v>0</v>
      </c>
      <c r="AO18" s="10">
        <f t="shared" si="21"/>
        <v>0</v>
      </c>
      <c r="AP18" s="10">
        <f t="shared" si="21"/>
        <v>0</v>
      </c>
      <c r="AQ18" s="11">
        <f t="shared" si="18"/>
        <v>0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9" t="s">
        <v>18</v>
      </c>
      <c r="K19" s="10"/>
      <c r="L19" s="10"/>
      <c r="M19" s="10"/>
      <c r="N19" s="10"/>
      <c r="O19" s="11"/>
      <c r="P19" s="19"/>
      <c r="Q19" s="9" t="s">
        <v>18</v>
      </c>
      <c r="R19" s="10"/>
      <c r="S19" s="10"/>
      <c r="T19" s="10"/>
      <c r="U19" s="10"/>
      <c r="V19" s="11"/>
      <c r="W19" s="19"/>
      <c r="X19" s="9" t="s">
        <v>18</v>
      </c>
      <c r="Y19" s="10"/>
      <c r="Z19" s="10"/>
      <c r="AA19" s="10"/>
      <c r="AB19" s="10"/>
      <c r="AC19" s="11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2">D19+K19+R19+Y19+AF19</f>
        <v>0</v>
      </c>
      <c r="AO19" s="10">
        <f t="shared" si="22"/>
        <v>0</v>
      </c>
      <c r="AP19" s="10">
        <f t="shared" si="22"/>
        <v>0</v>
      </c>
      <c r="AQ19" s="11">
        <f t="shared" si="18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0"/>
      <c r="L20" s="10"/>
      <c r="M20" s="10"/>
      <c r="N20" s="10"/>
      <c r="O20" s="11"/>
      <c r="P20" s="19"/>
      <c r="Q20" s="9" t="s">
        <v>19</v>
      </c>
      <c r="R20" s="10"/>
      <c r="S20" s="10"/>
      <c r="T20" s="10"/>
      <c r="U20" s="10"/>
      <c r="V20" s="11"/>
      <c r="W20" s="19"/>
      <c r="X20" s="9" t="s">
        <v>19</v>
      </c>
      <c r="Y20" s="10"/>
      <c r="Z20" s="10"/>
      <c r="AA20" s="10"/>
      <c r="AB20" s="10"/>
      <c r="AC20" s="11"/>
      <c r="AD20" s="19"/>
      <c r="AE20" s="9" t="s">
        <v>19</v>
      </c>
      <c r="AF20" s="10"/>
      <c r="AG20" s="10"/>
      <c r="AH20" s="10"/>
      <c r="AI20" s="10"/>
      <c r="AJ20" s="11"/>
      <c r="AL20" s="19"/>
      <c r="AM20" s="9" t="s">
        <v>19</v>
      </c>
      <c r="AN20" s="10">
        <f t="shared" ref="AN20:AP20" si="23">D20+K20+R20+Y20+AF20</f>
        <v>0</v>
      </c>
      <c r="AO20" s="10">
        <f t="shared" si="23"/>
        <v>0</v>
      </c>
      <c r="AP20" s="10">
        <f t="shared" si="23"/>
        <v>0</v>
      </c>
      <c r="AQ20" s="11">
        <f t="shared" si="18"/>
        <v>0</v>
      </c>
    </row>
    <row r="21">
      <c r="A21" s="19"/>
      <c r="B21" s="19"/>
      <c r="C21" s="26" t="s">
        <v>21</v>
      </c>
      <c r="D21" s="10"/>
      <c r="E21" s="10"/>
      <c r="F21" s="10"/>
      <c r="G21" s="10"/>
      <c r="H21" s="11"/>
      <c r="I21" s="19"/>
      <c r="J21" s="26" t="s">
        <v>22</v>
      </c>
      <c r="K21" s="10"/>
      <c r="L21" s="10"/>
      <c r="M21" s="10"/>
      <c r="N21" s="310"/>
      <c r="O21" s="11"/>
      <c r="P21" s="19"/>
      <c r="Q21" s="26" t="s">
        <v>21</v>
      </c>
      <c r="R21" s="10"/>
      <c r="S21" s="10"/>
      <c r="T21" s="10"/>
      <c r="U21" s="10"/>
      <c r="V21" s="11"/>
      <c r="W21" s="19"/>
      <c r="X21" s="26" t="s">
        <v>21</v>
      </c>
      <c r="Y21" s="10"/>
      <c r="Z21" s="10"/>
      <c r="AA21" s="10"/>
      <c r="AB21" s="310"/>
      <c r="AC21" s="11"/>
      <c r="AD21" s="19"/>
      <c r="AE21" s="26" t="s">
        <v>21</v>
      </c>
      <c r="AF21" s="10"/>
      <c r="AG21" s="10"/>
      <c r="AH21" s="10"/>
      <c r="AI21" s="10"/>
      <c r="AJ21" s="11"/>
      <c r="AL21" s="19"/>
      <c r="AM21" s="26" t="s">
        <v>21</v>
      </c>
      <c r="AN21" s="10">
        <f t="shared" ref="AN21:AP21" si="24">D21+K21+R21+Y21+AF21</f>
        <v>0</v>
      </c>
      <c r="AO21" s="10">
        <f t="shared" si="24"/>
        <v>0</v>
      </c>
      <c r="AP21" s="10">
        <f t="shared" si="24"/>
        <v>0</v>
      </c>
      <c r="AQ21" s="11">
        <f t="shared" si="18"/>
        <v>0</v>
      </c>
    </row>
    <row r="22">
      <c r="A22" s="19"/>
      <c r="B22" s="19"/>
      <c r="C22" s="28" t="s">
        <v>23</v>
      </c>
      <c r="D22" s="29">
        <f t="shared" ref="D22:H22" si="25">D14+D15+D16+D17+D18+D19+D20+D21</f>
        <v>0</v>
      </c>
      <c r="E22" s="35">
        <f t="shared" si="25"/>
        <v>0</v>
      </c>
      <c r="F22" s="31">
        <f t="shared" si="25"/>
        <v>0</v>
      </c>
      <c r="G22" s="37">
        <f t="shared" si="25"/>
        <v>0</v>
      </c>
      <c r="H22" s="33">
        <f t="shared" si="25"/>
        <v>0</v>
      </c>
      <c r="I22" s="19"/>
      <c r="J22" s="28" t="s">
        <v>23</v>
      </c>
      <c r="K22" s="61">
        <f t="shared" ref="K22:O22" si="26">K14+K15+K16+K17+K18+K19+K20+K21</f>
        <v>0</v>
      </c>
      <c r="L22" s="30">
        <f t="shared" si="26"/>
        <v>0</v>
      </c>
      <c r="M22" s="31">
        <f t="shared" si="26"/>
        <v>0</v>
      </c>
      <c r="N22" s="40">
        <f t="shared" si="26"/>
        <v>0</v>
      </c>
      <c r="O22" s="33">
        <f t="shared" si="26"/>
        <v>0</v>
      </c>
      <c r="P22" s="19"/>
      <c r="Q22" s="28" t="s">
        <v>23</v>
      </c>
      <c r="R22" s="29">
        <f t="shared" ref="R22:V22" si="27">R14+R15+R16+R17+R18+R19+R20+R21</f>
        <v>0</v>
      </c>
      <c r="S22" s="30">
        <f t="shared" si="27"/>
        <v>0</v>
      </c>
      <c r="T22" s="31">
        <f t="shared" si="27"/>
        <v>0</v>
      </c>
      <c r="U22" s="40">
        <f t="shared" si="27"/>
        <v>0</v>
      </c>
      <c r="V22" s="294">
        <f t="shared" si="27"/>
        <v>0</v>
      </c>
      <c r="W22" s="19"/>
      <c r="X22" s="28" t="s">
        <v>23</v>
      </c>
      <c r="Y22" s="61">
        <f t="shared" ref="Y22:AC22" si="28">Y14+Y15+Y16+Y17+Y18+Y19+Y20+Y21</f>
        <v>0</v>
      </c>
      <c r="Z22" s="30">
        <f t="shared" si="28"/>
        <v>0</v>
      </c>
      <c r="AA22" s="36">
        <f t="shared" si="28"/>
        <v>0</v>
      </c>
      <c r="AB22" s="37">
        <f t="shared" si="28"/>
        <v>0</v>
      </c>
      <c r="AC22" s="33">
        <f t="shared" si="28"/>
        <v>0</v>
      </c>
      <c r="AD22" s="19"/>
      <c r="AE22" s="28" t="s">
        <v>23</v>
      </c>
      <c r="AF22" s="61">
        <f t="shared" ref="AF22:AJ22" si="29">AF14+AF15+AF16+AF17+AF18+AF19+AF20+AF21</f>
        <v>0</v>
      </c>
      <c r="AG22" s="30">
        <f t="shared" si="29"/>
        <v>0</v>
      </c>
      <c r="AH22" s="31">
        <f t="shared" si="29"/>
        <v>0</v>
      </c>
      <c r="AI22" s="32">
        <f t="shared" si="29"/>
        <v>0</v>
      </c>
      <c r="AJ22" s="33">
        <f t="shared" si="29"/>
        <v>0</v>
      </c>
      <c r="AL22" s="19"/>
      <c r="AM22" s="28" t="s">
        <v>23</v>
      </c>
      <c r="AN22" s="41">
        <f t="shared" ref="AN22:AQ22" si="30">AN14+AN15+AN16+AN17+AN18+AN19+AN20+AN21</f>
        <v>0</v>
      </c>
      <c r="AO22" s="42">
        <f t="shared" si="30"/>
        <v>0</v>
      </c>
      <c r="AP22" s="43">
        <f t="shared" si="30"/>
        <v>0</v>
      </c>
      <c r="AQ22" s="44">
        <f t="shared" si="30"/>
        <v>0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0</v>
      </c>
      <c r="L23" s="47"/>
      <c r="M23" s="48"/>
      <c r="N23" s="51"/>
      <c r="O23" s="51"/>
      <c r="P23" s="19"/>
      <c r="Q23" s="45" t="s">
        <v>24</v>
      </c>
      <c r="R23" s="50">
        <f>R22-S22</f>
        <v>0</v>
      </c>
      <c r="S23" s="47"/>
      <c r="T23" s="48"/>
      <c r="U23" s="51"/>
      <c r="V23" s="51"/>
      <c r="W23" s="19"/>
      <c r="X23" s="45" t="s">
        <v>24</v>
      </c>
      <c r="Y23" s="50">
        <f>Y22-Z22</f>
        <v>0</v>
      </c>
      <c r="Z23" s="47"/>
      <c r="AA23" s="48"/>
      <c r="AB23" s="51"/>
      <c r="AC23" s="51"/>
      <c r="AD23" s="19"/>
      <c r="AE23" s="45" t="s">
        <v>24</v>
      </c>
      <c r="AF23" s="50">
        <f>AF22-AG22</f>
        <v>0</v>
      </c>
      <c r="AG23" s="47"/>
      <c r="AH23" s="48"/>
      <c r="AI23" s="51"/>
      <c r="AJ23" s="51"/>
      <c r="AL23" s="53"/>
      <c r="AM23" s="45" t="s">
        <v>25</v>
      </c>
      <c r="AN23" s="50">
        <f>AN22-AO22</f>
        <v>0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0</v>
      </c>
      <c r="L24" s="47"/>
      <c r="M24" s="48"/>
      <c r="N24" s="51"/>
      <c r="O24" s="51"/>
      <c r="P24" s="53"/>
      <c r="Q24" s="56" t="s">
        <v>26</v>
      </c>
      <c r="R24" s="57">
        <f>T22-S22</f>
        <v>0</v>
      </c>
      <c r="S24" s="47"/>
      <c r="T24" s="48"/>
      <c r="U24" s="51"/>
      <c r="V24" s="51"/>
      <c r="W24" s="53"/>
      <c r="X24" s="56" t="s">
        <v>26</v>
      </c>
      <c r="Y24" s="57">
        <f>AA22-Z22</f>
        <v>0</v>
      </c>
      <c r="Z24" s="47"/>
      <c r="AA24" s="48"/>
      <c r="AB24" s="51"/>
      <c r="AC24" s="51"/>
      <c r="AD24" s="53"/>
      <c r="AE24" s="56" t="s">
        <v>26</v>
      </c>
      <c r="AF24" s="57">
        <f>AH22-AG22</f>
        <v>0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2" t="s">
        <v>1</v>
      </c>
      <c r="K25" s="4" t="s">
        <v>7</v>
      </c>
      <c r="L25" s="2" t="s">
        <v>3</v>
      </c>
      <c r="M25" s="2" t="s">
        <v>4</v>
      </c>
      <c r="N25" s="2" t="s">
        <v>5</v>
      </c>
      <c r="O25" s="5" t="s">
        <v>6</v>
      </c>
      <c r="P25" s="2" t="s">
        <v>0</v>
      </c>
      <c r="Q25" s="2" t="s">
        <v>1</v>
      </c>
      <c r="R25" s="4" t="s">
        <v>7</v>
      </c>
      <c r="S25" s="2" t="s">
        <v>3</v>
      </c>
      <c r="T25" s="2" t="s">
        <v>4</v>
      </c>
      <c r="U25" s="2" t="s">
        <v>5</v>
      </c>
      <c r="V25" s="5" t="s">
        <v>6</v>
      </c>
      <c r="W25" s="2" t="s">
        <v>0</v>
      </c>
      <c r="X25" s="2" t="s">
        <v>1</v>
      </c>
      <c r="Y25" s="4" t="s">
        <v>7</v>
      </c>
      <c r="Z25" s="2" t="s">
        <v>3</v>
      </c>
      <c r="AA25" s="2" t="s">
        <v>4</v>
      </c>
      <c r="AB25" s="2" t="s">
        <v>5</v>
      </c>
      <c r="AC25" s="5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168"/>
      <c r="C26" s="9" t="s">
        <v>10</v>
      </c>
      <c r="D26" s="10"/>
      <c r="E26" s="10"/>
      <c r="F26" s="10"/>
      <c r="G26" s="10"/>
      <c r="H26" s="11"/>
      <c r="I26" s="12">
        <v>45966.0</v>
      </c>
      <c r="J26" s="9" t="s">
        <v>10</v>
      </c>
      <c r="K26" s="10"/>
      <c r="L26" s="10"/>
      <c r="M26" s="10"/>
      <c r="N26" s="10"/>
      <c r="O26" s="11"/>
      <c r="P26" s="8">
        <v>45973.0</v>
      </c>
      <c r="Q26" s="9" t="s">
        <v>10</v>
      </c>
      <c r="R26" s="10"/>
      <c r="S26" s="10"/>
      <c r="T26" s="10"/>
      <c r="U26" s="10"/>
      <c r="V26" s="11"/>
      <c r="W26" s="8">
        <v>45980.0</v>
      </c>
      <c r="X26" s="9" t="s">
        <v>10</v>
      </c>
      <c r="Y26" s="10"/>
      <c r="Z26" s="10"/>
      <c r="AA26" s="10"/>
      <c r="AB26" s="10"/>
      <c r="AC26" s="11"/>
      <c r="AD26" s="8">
        <v>45987.0</v>
      </c>
      <c r="AE26" s="9" t="s">
        <v>10</v>
      </c>
      <c r="AF26" s="10"/>
      <c r="AG26" s="10"/>
      <c r="AH26" s="10"/>
      <c r="AI26" s="10"/>
      <c r="AJ26" s="11"/>
      <c r="AL26" s="18" t="s">
        <v>31</v>
      </c>
      <c r="AM26" s="9" t="s">
        <v>10</v>
      </c>
      <c r="AN26" s="10">
        <f t="shared" ref="AN26:AP26" si="31">D26+K26+R26+Y26+AF26</f>
        <v>0</v>
      </c>
      <c r="AO26" s="10">
        <f t="shared" si="31"/>
        <v>0</v>
      </c>
      <c r="AP26" s="10">
        <f t="shared" si="31"/>
        <v>0</v>
      </c>
      <c r="AQ26" s="11">
        <f t="shared" ref="AQ26:AQ33" si="33">H26+O26+V26+AC26+AJ26</f>
        <v>0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0"/>
      <c r="L27" s="10"/>
      <c r="M27" s="10"/>
      <c r="N27" s="10"/>
      <c r="O27" s="11"/>
      <c r="P27" s="19"/>
      <c r="Q27" s="9" t="s">
        <v>12</v>
      </c>
      <c r="R27" s="10"/>
      <c r="S27" s="10"/>
      <c r="T27" s="10"/>
      <c r="U27" s="10"/>
      <c r="V27" s="11"/>
      <c r="W27" s="19"/>
      <c r="X27" s="9" t="s">
        <v>12</v>
      </c>
      <c r="Y27" s="10"/>
      <c r="Z27" s="10"/>
      <c r="AA27" s="10"/>
      <c r="AB27" s="10"/>
      <c r="AC27" s="11"/>
      <c r="AD27" s="19"/>
      <c r="AE27" s="9" t="s">
        <v>12</v>
      </c>
      <c r="AF27" s="10"/>
      <c r="AG27" s="10"/>
      <c r="AH27" s="10"/>
      <c r="AI27" s="10"/>
      <c r="AJ27" s="11"/>
      <c r="AL27" s="19"/>
      <c r="AM27" s="9" t="s">
        <v>12</v>
      </c>
      <c r="AN27" s="10">
        <f t="shared" ref="AN27:AP27" si="32">D27+K27+R27+Y27+AF27</f>
        <v>0</v>
      </c>
      <c r="AO27" s="10">
        <f t="shared" si="32"/>
        <v>0</v>
      </c>
      <c r="AP27" s="10">
        <f t="shared" si="32"/>
        <v>0</v>
      </c>
      <c r="AQ27" s="11">
        <f t="shared" si="33"/>
        <v>0</v>
      </c>
    </row>
    <row r="28">
      <c r="A28" s="19"/>
      <c r="B28" s="19"/>
      <c r="C28" s="314" t="s">
        <v>276</v>
      </c>
      <c r="D28" s="291"/>
      <c r="E28" s="10"/>
      <c r="F28" s="10"/>
      <c r="G28" s="10"/>
      <c r="H28" s="11"/>
      <c r="I28" s="19"/>
      <c r="J28" s="9" t="s">
        <v>276</v>
      </c>
      <c r="K28" s="291"/>
      <c r="L28" s="10"/>
      <c r="M28" s="10"/>
      <c r="N28" s="10"/>
      <c r="O28" s="11"/>
      <c r="P28" s="19"/>
      <c r="Q28" s="314" t="s">
        <v>276</v>
      </c>
      <c r="R28" s="10"/>
      <c r="S28" s="10"/>
      <c r="T28" s="10"/>
      <c r="U28" s="10"/>
      <c r="V28" s="11"/>
      <c r="W28" s="19"/>
      <c r="X28" s="9" t="s">
        <v>276</v>
      </c>
      <c r="Y28" s="10"/>
      <c r="Z28" s="10"/>
      <c r="AA28" s="10"/>
      <c r="AB28" s="10"/>
      <c r="AC28" s="11"/>
      <c r="AD28" s="19"/>
      <c r="AE28" s="9" t="s">
        <v>14</v>
      </c>
      <c r="AF28" s="10"/>
      <c r="AG28" s="10"/>
      <c r="AH28" s="10"/>
      <c r="AI28" s="10"/>
      <c r="AJ28" s="11"/>
      <c r="AL28" s="19"/>
      <c r="AM28" s="9" t="s">
        <v>14</v>
      </c>
      <c r="AN28" s="10">
        <f t="shared" ref="AN28:AP28" si="34">D28+K28+R28+Y28+AF28</f>
        <v>0</v>
      </c>
      <c r="AO28" s="10">
        <f t="shared" si="34"/>
        <v>0</v>
      </c>
      <c r="AP28" s="10">
        <f t="shared" si="34"/>
        <v>0</v>
      </c>
      <c r="AQ28" s="11">
        <f t="shared" si="33"/>
        <v>0</v>
      </c>
    </row>
    <row r="29">
      <c r="A29" s="19"/>
      <c r="B29" s="19"/>
      <c r="C29" s="9" t="s">
        <v>15</v>
      </c>
      <c r="D29" s="10"/>
      <c r="E29" s="10"/>
      <c r="F29" s="10"/>
      <c r="G29" s="10"/>
      <c r="H29" s="11"/>
      <c r="I29" s="19"/>
      <c r="J29" s="9" t="s">
        <v>15</v>
      </c>
      <c r="K29" s="10"/>
      <c r="L29" s="10"/>
      <c r="M29" s="10"/>
      <c r="N29" s="310"/>
      <c r="O29" s="11"/>
      <c r="P29" s="19"/>
      <c r="Q29" s="9" t="s">
        <v>15</v>
      </c>
      <c r="R29" s="10"/>
      <c r="S29" s="10"/>
      <c r="T29" s="10"/>
      <c r="U29" s="10"/>
      <c r="V29" s="11"/>
      <c r="W29" s="19"/>
      <c r="X29" s="9" t="s">
        <v>16</v>
      </c>
      <c r="Y29" s="10"/>
      <c r="Z29" s="10"/>
      <c r="AA29" s="10"/>
      <c r="AB29" s="10"/>
      <c r="AC29" s="11"/>
      <c r="AD29" s="19"/>
      <c r="AE29" s="9" t="s">
        <v>16</v>
      </c>
      <c r="AF29" s="10"/>
      <c r="AG29" s="10"/>
      <c r="AH29" s="10"/>
      <c r="AI29" s="10"/>
      <c r="AJ29" s="11"/>
      <c r="AL29" s="19"/>
      <c r="AM29" s="9" t="s">
        <v>16</v>
      </c>
      <c r="AN29" s="10">
        <f t="shared" ref="AN29:AP29" si="35">D29+K29+R29+Y29+AF29</f>
        <v>0</v>
      </c>
      <c r="AO29" s="10">
        <f t="shared" si="35"/>
        <v>0</v>
      </c>
      <c r="AP29" s="10">
        <f t="shared" si="35"/>
        <v>0</v>
      </c>
      <c r="AQ29" s="11">
        <f t="shared" si="33"/>
        <v>0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9" t="s">
        <v>17</v>
      </c>
      <c r="K30" s="10"/>
      <c r="L30" s="10"/>
      <c r="M30" s="10"/>
      <c r="N30" s="10"/>
      <c r="O30" s="11"/>
      <c r="P30" s="19"/>
      <c r="Q30" s="9" t="s">
        <v>17</v>
      </c>
      <c r="R30" s="10"/>
      <c r="S30" s="10"/>
      <c r="T30" s="10"/>
      <c r="U30" s="10"/>
      <c r="V30" s="11"/>
      <c r="W30" s="19"/>
      <c r="X30" s="9" t="s">
        <v>17</v>
      </c>
      <c r="Y30" s="10"/>
      <c r="Z30" s="10"/>
      <c r="AA30" s="10"/>
      <c r="AB30" s="10"/>
      <c r="AC30" s="11"/>
      <c r="AD30" s="19"/>
      <c r="AE30" s="9" t="s">
        <v>17</v>
      </c>
      <c r="AF30" s="10"/>
      <c r="AG30" s="10"/>
      <c r="AH30" s="10"/>
      <c r="AI30" s="10"/>
      <c r="AJ30" s="11"/>
      <c r="AL30" s="19"/>
      <c r="AM30" s="9" t="s">
        <v>17</v>
      </c>
      <c r="AN30" s="10">
        <f t="shared" ref="AN30:AP30" si="36">D30+K30+R30+Y30+AF30</f>
        <v>0</v>
      </c>
      <c r="AO30" s="10">
        <f t="shared" si="36"/>
        <v>0</v>
      </c>
      <c r="AP30" s="10">
        <f t="shared" si="36"/>
        <v>0</v>
      </c>
      <c r="AQ30" s="11">
        <f t="shared" si="33"/>
        <v>0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9" t="s">
        <v>29</v>
      </c>
      <c r="K31" s="10"/>
      <c r="L31" s="10"/>
      <c r="M31" s="10"/>
      <c r="N31" s="10"/>
      <c r="O31" s="11"/>
      <c r="P31" s="19"/>
      <c r="Q31" s="9" t="s">
        <v>18</v>
      </c>
      <c r="R31" s="10"/>
      <c r="S31" s="10"/>
      <c r="T31" s="10"/>
      <c r="U31" s="10"/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7">D31+K31+R31+Y31+AF31</f>
        <v>0</v>
      </c>
      <c r="AO31" s="10">
        <f t="shared" si="37"/>
        <v>0</v>
      </c>
      <c r="AP31" s="10">
        <f t="shared" si="37"/>
        <v>0</v>
      </c>
      <c r="AQ31" s="11">
        <f t="shared" si="33"/>
        <v>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9" t="s">
        <v>19</v>
      </c>
      <c r="K32" s="10"/>
      <c r="L32" s="10"/>
      <c r="M32" s="10"/>
      <c r="N32" s="10"/>
      <c r="O32" s="11"/>
      <c r="P32" s="19"/>
      <c r="Q32" s="9" t="s">
        <v>19</v>
      </c>
      <c r="R32" s="10"/>
      <c r="S32" s="10"/>
      <c r="T32" s="10"/>
      <c r="U32" s="10"/>
      <c r="V32" s="11"/>
      <c r="W32" s="19"/>
      <c r="X32" s="9" t="s">
        <v>19</v>
      </c>
      <c r="Y32" s="10"/>
      <c r="Z32" s="10"/>
      <c r="AA32" s="10"/>
      <c r="AB32" s="10"/>
      <c r="AC32" s="11"/>
      <c r="AD32" s="19"/>
      <c r="AE32" s="9" t="s">
        <v>19</v>
      </c>
      <c r="AF32" s="10"/>
      <c r="AG32" s="10"/>
      <c r="AH32" s="10"/>
      <c r="AI32" s="10"/>
      <c r="AJ32" s="11"/>
      <c r="AL32" s="19"/>
      <c r="AM32" s="9" t="s">
        <v>19</v>
      </c>
      <c r="AN32" s="10">
        <f t="shared" ref="AN32:AP32" si="38">D32+K32+R32+Y32+AF32</f>
        <v>0</v>
      </c>
      <c r="AO32" s="10">
        <f t="shared" si="38"/>
        <v>0</v>
      </c>
      <c r="AP32" s="10">
        <f t="shared" si="38"/>
        <v>0</v>
      </c>
      <c r="AQ32" s="11">
        <f t="shared" si="33"/>
        <v>0</v>
      </c>
    </row>
    <row r="33">
      <c r="A33" s="19"/>
      <c r="B33" s="19"/>
      <c r="C33" s="26" t="s">
        <v>21</v>
      </c>
      <c r="D33" s="10"/>
      <c r="E33" s="10"/>
      <c r="F33" s="10"/>
      <c r="G33" s="10"/>
      <c r="H33" s="11"/>
      <c r="I33" s="19"/>
      <c r="J33" s="26" t="s">
        <v>21</v>
      </c>
      <c r="K33" s="10"/>
      <c r="L33" s="10"/>
      <c r="M33" s="10"/>
      <c r="N33" s="310"/>
      <c r="O33" s="11"/>
      <c r="P33" s="19"/>
      <c r="Q33" s="26" t="s">
        <v>22</v>
      </c>
      <c r="R33" s="10"/>
      <c r="S33" s="10"/>
      <c r="T33" s="10"/>
      <c r="U33" s="10"/>
      <c r="V33" s="11"/>
      <c r="W33" s="19"/>
      <c r="X33" s="26" t="s">
        <v>21</v>
      </c>
      <c r="Y33" s="10"/>
      <c r="Z33" s="10"/>
      <c r="AA33" s="10"/>
      <c r="AB33" s="10"/>
      <c r="AC33" s="11"/>
      <c r="AD33" s="19"/>
      <c r="AE33" s="26" t="s">
        <v>21</v>
      </c>
      <c r="AF33" s="10"/>
      <c r="AG33" s="10"/>
      <c r="AH33" s="10"/>
      <c r="AI33" s="10"/>
      <c r="AJ33" s="11"/>
      <c r="AL33" s="19"/>
      <c r="AM33" s="26" t="s">
        <v>21</v>
      </c>
      <c r="AN33" s="10">
        <f t="shared" ref="AN33:AP33" si="39">D33+K33+R33+Y33+AF33</f>
        <v>0</v>
      </c>
      <c r="AO33" s="10">
        <f t="shared" si="39"/>
        <v>0</v>
      </c>
      <c r="AP33" s="10">
        <f t="shared" si="39"/>
        <v>0</v>
      </c>
      <c r="AQ33" s="11">
        <f t="shared" si="33"/>
        <v>0</v>
      </c>
    </row>
    <row r="34">
      <c r="A34" s="19"/>
      <c r="B34" s="19"/>
      <c r="C34" s="28" t="s">
        <v>23</v>
      </c>
      <c r="D34" s="29">
        <f t="shared" ref="D34:H34" si="40">D26+D27+D28+D29+D30+D31+D32+D33</f>
        <v>0</v>
      </c>
      <c r="E34" s="30">
        <f t="shared" si="40"/>
        <v>0</v>
      </c>
      <c r="F34" s="36">
        <f t="shared" si="40"/>
        <v>0</v>
      </c>
      <c r="G34" s="40">
        <f t="shared" si="40"/>
        <v>0</v>
      </c>
      <c r="H34" s="33">
        <f t="shared" si="40"/>
        <v>0</v>
      </c>
      <c r="I34" s="19"/>
      <c r="J34" s="28" t="s">
        <v>23</v>
      </c>
      <c r="K34" s="29">
        <f t="shared" ref="K34:O34" si="41">K26+K27+K28+K29+K30+K31+K32+K33</f>
        <v>0</v>
      </c>
      <c r="L34" s="35">
        <f t="shared" si="41"/>
        <v>0</v>
      </c>
      <c r="M34" s="31">
        <f t="shared" si="41"/>
        <v>0</v>
      </c>
      <c r="N34" s="40">
        <f t="shared" si="41"/>
        <v>0</v>
      </c>
      <c r="O34" s="38">
        <f t="shared" si="41"/>
        <v>0</v>
      </c>
      <c r="P34" s="19"/>
      <c r="Q34" s="28" t="s">
        <v>23</v>
      </c>
      <c r="R34" s="29">
        <f t="shared" ref="R34:V34" si="42">R26+R27+R28+R29+R30+R31+R32+R33</f>
        <v>0</v>
      </c>
      <c r="S34" s="35">
        <f t="shared" si="42"/>
        <v>0</v>
      </c>
      <c r="T34" s="31">
        <f t="shared" si="42"/>
        <v>0</v>
      </c>
      <c r="U34" s="37">
        <f t="shared" si="42"/>
        <v>0</v>
      </c>
      <c r="V34" s="294">
        <f t="shared" si="42"/>
        <v>0</v>
      </c>
      <c r="W34" s="19"/>
      <c r="X34" s="28" t="s">
        <v>23</v>
      </c>
      <c r="Y34" s="61">
        <f t="shared" ref="Y34:AC34" si="43">Y26+Y27+Y28+Y29+Y30+Y31+Y32+Y33</f>
        <v>0</v>
      </c>
      <c r="Z34" s="30">
        <f t="shared" si="43"/>
        <v>0</v>
      </c>
      <c r="AA34" s="31">
        <f t="shared" si="43"/>
        <v>0</v>
      </c>
      <c r="AB34" s="37">
        <f t="shared" si="43"/>
        <v>0</v>
      </c>
      <c r="AC34" s="33">
        <f t="shared" si="43"/>
        <v>0</v>
      </c>
      <c r="AD34" s="19"/>
      <c r="AE34" s="28" t="s">
        <v>23</v>
      </c>
      <c r="AF34" s="29">
        <f t="shared" ref="AF34:AJ34" si="44">AF26+AF27+AF28+AF29+AF30+AF31+AF32+AF33</f>
        <v>0</v>
      </c>
      <c r="AG34" s="30">
        <f t="shared" si="44"/>
        <v>0</v>
      </c>
      <c r="AH34" s="31">
        <f t="shared" si="44"/>
        <v>0</v>
      </c>
      <c r="AI34" s="32">
        <f t="shared" si="44"/>
        <v>0</v>
      </c>
      <c r="AJ34" s="33">
        <f t="shared" si="44"/>
        <v>0</v>
      </c>
      <c r="AL34" s="19"/>
      <c r="AM34" s="28" t="s">
        <v>23</v>
      </c>
      <c r="AN34" s="41">
        <f t="shared" ref="AN34:AQ34" si="45">AN26+AN27+AN28+AN29+AN30+AN31+AN32+AN33</f>
        <v>0</v>
      </c>
      <c r="AO34" s="42">
        <f t="shared" si="45"/>
        <v>0</v>
      </c>
      <c r="AP34" s="43">
        <f t="shared" si="45"/>
        <v>0</v>
      </c>
      <c r="AQ34" s="44">
        <f t="shared" si="45"/>
        <v>0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0</v>
      </c>
      <c r="L35" s="47"/>
      <c r="M35" s="48"/>
      <c r="N35" s="51"/>
      <c r="O35" s="51"/>
      <c r="P35" s="19"/>
      <c r="Q35" s="45" t="s">
        <v>24</v>
      </c>
      <c r="R35" s="50">
        <f>R34-S34</f>
        <v>0</v>
      </c>
      <c r="S35" s="47"/>
      <c r="T35" s="48"/>
      <c r="U35" s="51"/>
      <c r="V35" s="51"/>
      <c r="W35" s="19"/>
      <c r="X35" s="45" t="s">
        <v>24</v>
      </c>
      <c r="Y35" s="50">
        <f>Y34-Z34</f>
        <v>0</v>
      </c>
      <c r="Z35" s="47"/>
      <c r="AA35" s="48"/>
      <c r="AB35" s="51"/>
      <c r="AC35" s="51"/>
      <c r="AD35" s="19"/>
      <c r="AE35" s="45" t="s">
        <v>24</v>
      </c>
      <c r="AF35" s="50">
        <f>AF34-AG34</f>
        <v>0</v>
      </c>
      <c r="AG35" s="47"/>
      <c r="AH35" s="48"/>
      <c r="AI35" s="51"/>
      <c r="AJ35" s="51"/>
      <c r="AL35" s="53"/>
      <c r="AM35" s="45" t="s">
        <v>25</v>
      </c>
      <c r="AN35" s="50">
        <f>AN34-AO34</f>
        <v>0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0</v>
      </c>
      <c r="L36" s="47"/>
      <c r="M36" s="48"/>
      <c r="N36" s="51"/>
      <c r="O36" s="51"/>
      <c r="P36" s="53"/>
      <c r="Q36" s="56" t="s">
        <v>26</v>
      </c>
      <c r="R36" s="57">
        <f>T34-S34</f>
        <v>0</v>
      </c>
      <c r="S36" s="47"/>
      <c r="T36" s="48"/>
      <c r="U36" s="51"/>
      <c r="V36" s="51"/>
      <c r="W36" s="53"/>
      <c r="X36" s="56" t="s">
        <v>26</v>
      </c>
      <c r="Y36" s="57">
        <f>AA34-Z34</f>
        <v>0</v>
      </c>
      <c r="Z36" s="47"/>
      <c r="AA36" s="48"/>
      <c r="AB36" s="51"/>
      <c r="AC36" s="51"/>
      <c r="AD36" s="53"/>
      <c r="AE36" s="56" t="s">
        <v>26</v>
      </c>
      <c r="AF36" s="57">
        <f>AH34-AG34</f>
        <v>0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1" t="s">
        <v>1</v>
      </c>
      <c r="K37" s="307" t="s">
        <v>7</v>
      </c>
      <c r="L37" s="1" t="s">
        <v>3</v>
      </c>
      <c r="M37" s="1" t="s">
        <v>4</v>
      </c>
      <c r="N37" s="1" t="s">
        <v>5</v>
      </c>
      <c r="O37" s="308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2" t="s">
        <v>1</v>
      </c>
      <c r="Y37" s="4" t="s">
        <v>7</v>
      </c>
      <c r="Z37" s="2" t="s">
        <v>3</v>
      </c>
      <c r="AA37" s="2" t="s">
        <v>4</v>
      </c>
      <c r="AB37" s="2" t="s">
        <v>5</v>
      </c>
      <c r="AC37" s="5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12"/>
      <c r="C38" s="9" t="s">
        <v>10</v>
      </c>
      <c r="D38" s="10"/>
      <c r="E38" s="10"/>
      <c r="F38" s="10"/>
      <c r="G38" s="10"/>
      <c r="H38" s="11"/>
      <c r="I38" s="12">
        <v>45967.0</v>
      </c>
      <c r="J38" s="9" t="s">
        <v>10</v>
      </c>
      <c r="K38" s="10"/>
      <c r="L38" s="10"/>
      <c r="M38" s="10"/>
      <c r="N38" s="10"/>
      <c r="O38" s="11"/>
      <c r="P38" s="8">
        <v>45974.0</v>
      </c>
      <c r="Q38" s="9" t="s">
        <v>10</v>
      </c>
      <c r="R38" s="10"/>
      <c r="S38" s="10"/>
      <c r="T38" s="10"/>
      <c r="U38" s="10"/>
      <c r="V38" s="11"/>
      <c r="W38" s="167">
        <v>45981.0</v>
      </c>
      <c r="X38" s="9" t="s">
        <v>10</v>
      </c>
      <c r="Y38" s="64"/>
      <c r="Z38" s="64"/>
      <c r="AA38" s="64"/>
      <c r="AB38" s="64"/>
      <c r="AC38" s="22"/>
      <c r="AD38" s="8">
        <v>45988.0</v>
      </c>
      <c r="AE38" s="9" t="s">
        <v>10</v>
      </c>
      <c r="AF38" s="10"/>
      <c r="AG38" s="10"/>
      <c r="AH38" s="10"/>
      <c r="AI38" s="10"/>
      <c r="AJ38" s="11"/>
      <c r="AL38" s="18" t="s">
        <v>36</v>
      </c>
      <c r="AM38" s="9" t="s">
        <v>10</v>
      </c>
      <c r="AN38" s="10">
        <f t="shared" ref="AN38:AP38" si="46">D38+K38+R38+Y38+AF38</f>
        <v>0</v>
      </c>
      <c r="AO38" s="10">
        <f t="shared" si="46"/>
        <v>0</v>
      </c>
      <c r="AP38" s="10">
        <f t="shared" si="46"/>
        <v>0</v>
      </c>
      <c r="AQ38" s="11">
        <f t="shared" ref="AQ38:AQ45" si="48">H38+O38+V38+AC38+AJ38</f>
        <v>0</v>
      </c>
    </row>
    <row r="39">
      <c r="A39" s="19"/>
      <c r="B39" s="19"/>
      <c r="C39" s="9" t="s">
        <v>12</v>
      </c>
      <c r="D39" s="10"/>
      <c r="E39" s="10"/>
      <c r="F39" s="10"/>
      <c r="G39" s="10"/>
      <c r="H39" s="11"/>
      <c r="I39" s="19"/>
      <c r="J39" s="9" t="s">
        <v>12</v>
      </c>
      <c r="K39" s="10"/>
      <c r="L39" s="10"/>
      <c r="M39" s="10"/>
      <c r="N39" s="10"/>
      <c r="O39" s="11"/>
      <c r="P39" s="19"/>
      <c r="Q39" s="9" t="s">
        <v>12</v>
      </c>
      <c r="R39" s="10"/>
      <c r="S39" s="10"/>
      <c r="T39" s="10"/>
      <c r="U39" s="10"/>
      <c r="V39" s="11"/>
      <c r="W39" s="19"/>
      <c r="X39" s="9" t="s">
        <v>280</v>
      </c>
      <c r="Y39" s="64"/>
      <c r="Z39" s="64"/>
      <c r="AA39" s="64"/>
      <c r="AB39" s="64"/>
      <c r="AC39" s="22"/>
      <c r="AD39" s="19"/>
      <c r="AE39" s="9" t="s">
        <v>12</v>
      </c>
      <c r="AF39" s="10"/>
      <c r="AG39" s="10"/>
      <c r="AH39" s="10"/>
      <c r="AI39" s="10"/>
      <c r="AJ39" s="11"/>
      <c r="AL39" s="19"/>
      <c r="AM39" s="9" t="s">
        <v>12</v>
      </c>
      <c r="AN39" s="10">
        <f t="shared" ref="AN39:AP39" si="47">D39+K39+R39+Y39+AF39</f>
        <v>0</v>
      </c>
      <c r="AO39" s="10">
        <f t="shared" si="47"/>
        <v>0</v>
      </c>
      <c r="AP39" s="10">
        <f t="shared" si="47"/>
        <v>0</v>
      </c>
      <c r="AQ39" s="11">
        <f t="shared" si="48"/>
        <v>0</v>
      </c>
    </row>
    <row r="40">
      <c r="A40" s="19"/>
      <c r="B40" s="19"/>
      <c r="C40" s="314" t="s">
        <v>276</v>
      </c>
      <c r="D40" s="291"/>
      <c r="E40" s="10"/>
      <c r="F40" s="10"/>
      <c r="G40" s="10"/>
      <c r="H40" s="11"/>
      <c r="I40" s="19"/>
      <c r="J40" s="9" t="s">
        <v>276</v>
      </c>
      <c r="K40" s="10"/>
      <c r="L40" s="10"/>
      <c r="M40" s="10"/>
      <c r="N40" s="10"/>
      <c r="O40" s="11"/>
      <c r="P40" s="19"/>
      <c r="Q40" s="314" t="s">
        <v>276</v>
      </c>
      <c r="R40" s="10"/>
      <c r="S40" s="10"/>
      <c r="T40" s="10"/>
      <c r="U40" s="10"/>
      <c r="V40" s="11"/>
      <c r="W40" s="19"/>
      <c r="X40" s="9" t="s">
        <v>276</v>
      </c>
      <c r="Y40" s="64"/>
      <c r="Z40" s="64"/>
      <c r="AA40" s="64"/>
      <c r="AB40" s="64"/>
      <c r="AC40" s="22"/>
      <c r="AD40" s="19"/>
      <c r="AE40" s="9" t="s">
        <v>14</v>
      </c>
      <c r="AF40" s="10"/>
      <c r="AG40" s="10"/>
      <c r="AH40" s="10"/>
      <c r="AI40" s="10"/>
      <c r="AJ40" s="11"/>
      <c r="AL40" s="19"/>
      <c r="AM40" s="9" t="s">
        <v>14</v>
      </c>
      <c r="AN40" s="10">
        <f t="shared" ref="AN40:AP40" si="49">D40+K40+R40+Y40+AF40</f>
        <v>0</v>
      </c>
      <c r="AO40" s="10">
        <f t="shared" si="49"/>
        <v>0</v>
      </c>
      <c r="AP40" s="10">
        <f t="shared" si="49"/>
        <v>0</v>
      </c>
      <c r="AQ40" s="11">
        <f t="shared" si="48"/>
        <v>0</v>
      </c>
    </row>
    <row r="41">
      <c r="A41" s="19"/>
      <c r="B41" s="19"/>
      <c r="C41" s="9" t="s">
        <v>16</v>
      </c>
      <c r="D41" s="10"/>
      <c r="E41" s="10"/>
      <c r="F41" s="10"/>
      <c r="G41" s="10"/>
      <c r="H41" s="11"/>
      <c r="I41" s="19"/>
      <c r="J41" s="9" t="s">
        <v>16</v>
      </c>
      <c r="K41" s="10"/>
      <c r="L41" s="10"/>
      <c r="M41" s="10"/>
      <c r="N41" s="310"/>
      <c r="O41" s="11"/>
      <c r="P41" s="19"/>
      <c r="Q41" s="170" t="s">
        <v>16</v>
      </c>
      <c r="R41" s="10"/>
      <c r="S41" s="10"/>
      <c r="T41" s="10"/>
      <c r="U41" s="10"/>
      <c r="V41" s="11"/>
      <c r="W41" s="19"/>
      <c r="X41" s="9" t="s">
        <v>16</v>
      </c>
      <c r="Y41" s="64"/>
      <c r="Z41" s="64"/>
      <c r="AA41" s="64"/>
      <c r="AB41" s="64"/>
      <c r="AC41" s="22"/>
      <c r="AD41" s="19"/>
      <c r="AE41" s="9" t="s">
        <v>16</v>
      </c>
      <c r="AF41" s="10"/>
      <c r="AG41" s="10"/>
      <c r="AH41" s="10"/>
      <c r="AI41" s="10"/>
      <c r="AJ41" s="11"/>
      <c r="AL41" s="19"/>
      <c r="AM41" s="9" t="s">
        <v>16</v>
      </c>
      <c r="AN41" s="10">
        <f t="shared" ref="AN41:AP41" si="50">D41+K41+R41+Y41+AF41</f>
        <v>0</v>
      </c>
      <c r="AO41" s="10">
        <f t="shared" si="50"/>
        <v>0</v>
      </c>
      <c r="AP41" s="10">
        <f t="shared" si="50"/>
        <v>0</v>
      </c>
      <c r="AQ41" s="11">
        <f t="shared" si="48"/>
        <v>0</v>
      </c>
    </row>
    <row r="42">
      <c r="A42" s="19"/>
      <c r="B42" s="19"/>
      <c r="C42" s="9" t="s">
        <v>17</v>
      </c>
      <c r="D42" s="10"/>
      <c r="E42" s="10"/>
      <c r="F42" s="10"/>
      <c r="G42" s="10"/>
      <c r="H42" s="11"/>
      <c r="I42" s="19"/>
      <c r="J42" s="9" t="s">
        <v>17</v>
      </c>
      <c r="K42" s="10"/>
      <c r="L42" s="10"/>
      <c r="M42" s="10"/>
      <c r="N42" s="10"/>
      <c r="O42" s="11"/>
      <c r="P42" s="19"/>
      <c r="Q42" s="9" t="s">
        <v>17</v>
      </c>
      <c r="R42" s="10"/>
      <c r="S42" s="10"/>
      <c r="T42" s="10"/>
      <c r="U42" s="10"/>
      <c r="V42" s="11"/>
      <c r="W42" s="19"/>
      <c r="X42" s="9" t="s">
        <v>17</v>
      </c>
      <c r="Y42" s="64"/>
      <c r="Z42" s="64"/>
      <c r="AA42" s="64"/>
      <c r="AB42" s="64"/>
      <c r="AC42" s="22"/>
      <c r="AD42" s="19"/>
      <c r="AE42" s="9" t="s">
        <v>17</v>
      </c>
      <c r="AF42" s="10"/>
      <c r="AG42" s="10"/>
      <c r="AH42" s="10"/>
      <c r="AI42" s="10"/>
      <c r="AJ42" s="11"/>
      <c r="AL42" s="19"/>
      <c r="AM42" s="9" t="s">
        <v>17</v>
      </c>
      <c r="AN42" s="10">
        <f t="shared" ref="AN42:AP42" si="51">D42+K42+R42+Y42+AF42</f>
        <v>0</v>
      </c>
      <c r="AO42" s="10">
        <f t="shared" si="51"/>
        <v>0</v>
      </c>
      <c r="AP42" s="10">
        <f t="shared" si="51"/>
        <v>0</v>
      </c>
      <c r="AQ42" s="11">
        <f t="shared" si="48"/>
        <v>0</v>
      </c>
    </row>
    <row r="43">
      <c r="A43" s="19"/>
      <c r="B43" s="19"/>
      <c r="C43" s="9" t="s">
        <v>18</v>
      </c>
      <c r="D43" s="10"/>
      <c r="E43" s="10"/>
      <c r="F43" s="10"/>
      <c r="G43" s="10"/>
      <c r="H43" s="11"/>
      <c r="I43" s="19"/>
      <c r="J43" s="9" t="s">
        <v>18</v>
      </c>
      <c r="K43" s="10"/>
      <c r="L43" s="10"/>
      <c r="M43" s="10"/>
      <c r="N43" s="10"/>
      <c r="O43" s="11"/>
      <c r="P43" s="19"/>
      <c r="Q43" s="9" t="s">
        <v>18</v>
      </c>
      <c r="R43" s="10"/>
      <c r="S43" s="10"/>
      <c r="T43" s="10"/>
      <c r="U43" s="10"/>
      <c r="V43" s="11"/>
      <c r="W43" s="19"/>
      <c r="X43" s="9" t="s">
        <v>18</v>
      </c>
      <c r="Y43" s="64"/>
      <c r="Z43" s="64"/>
      <c r="AA43" s="64"/>
      <c r="AB43" s="64"/>
      <c r="AC43" s="22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2">D43+K43+R43+Y43+AF43</f>
        <v>0</v>
      </c>
      <c r="AO43" s="10">
        <f t="shared" si="52"/>
        <v>0</v>
      </c>
      <c r="AP43" s="10">
        <f t="shared" si="52"/>
        <v>0</v>
      </c>
      <c r="AQ43" s="11">
        <f t="shared" si="48"/>
        <v>0</v>
      </c>
    </row>
    <row r="44">
      <c r="A44" s="19"/>
      <c r="B44" s="19"/>
      <c r="C44" s="9" t="s">
        <v>20</v>
      </c>
      <c r="D44" s="10"/>
      <c r="E44" s="10"/>
      <c r="F44" s="10"/>
      <c r="G44" s="10"/>
      <c r="H44" s="11"/>
      <c r="I44" s="19"/>
      <c r="J44" s="9" t="s">
        <v>19</v>
      </c>
      <c r="K44" s="10"/>
      <c r="L44" s="10"/>
      <c r="M44" s="10"/>
      <c r="N44" s="10"/>
      <c r="O44" s="11"/>
      <c r="P44" s="19"/>
      <c r="Q44" s="9" t="s">
        <v>19</v>
      </c>
      <c r="R44" s="10"/>
      <c r="S44" s="10"/>
      <c r="T44" s="10"/>
      <c r="U44" s="10"/>
      <c r="V44" s="11"/>
      <c r="W44" s="19"/>
      <c r="X44" s="9" t="s">
        <v>19</v>
      </c>
      <c r="Y44" s="64"/>
      <c r="Z44" s="64"/>
      <c r="AA44" s="64"/>
      <c r="AB44" s="64"/>
      <c r="AC44" s="22"/>
      <c r="AD44" s="19"/>
      <c r="AE44" s="9" t="s">
        <v>19</v>
      </c>
      <c r="AF44" s="10"/>
      <c r="AG44" s="10"/>
      <c r="AH44" s="10"/>
      <c r="AI44" s="10"/>
      <c r="AJ44" s="11"/>
      <c r="AL44" s="19"/>
      <c r="AM44" s="9" t="s">
        <v>19</v>
      </c>
      <c r="AN44" s="10">
        <f t="shared" ref="AN44:AP44" si="53">D44+K44+R44+Y44+AF44</f>
        <v>0</v>
      </c>
      <c r="AO44" s="10">
        <f t="shared" si="53"/>
        <v>0</v>
      </c>
      <c r="AP44" s="10">
        <f t="shared" si="53"/>
        <v>0</v>
      </c>
      <c r="AQ44" s="11">
        <f t="shared" si="48"/>
        <v>0</v>
      </c>
    </row>
    <row r="45">
      <c r="A45" s="19"/>
      <c r="B45" s="19"/>
      <c r="C45" s="26" t="s">
        <v>21</v>
      </c>
      <c r="D45" s="10"/>
      <c r="E45" s="10"/>
      <c r="F45" s="10"/>
      <c r="G45" s="10"/>
      <c r="H45" s="11"/>
      <c r="I45" s="19"/>
      <c r="J45" s="26" t="s">
        <v>21</v>
      </c>
      <c r="K45" s="10"/>
      <c r="L45" s="10"/>
      <c r="M45" s="10"/>
      <c r="N45" s="310"/>
      <c r="O45" s="11"/>
      <c r="P45" s="19"/>
      <c r="Q45" s="26" t="s">
        <v>21</v>
      </c>
      <c r="R45" s="10"/>
      <c r="S45" s="10"/>
      <c r="T45" s="10"/>
      <c r="U45" s="10"/>
      <c r="V45" s="11"/>
      <c r="W45" s="19"/>
      <c r="X45" s="26" t="s">
        <v>22</v>
      </c>
      <c r="Y45" s="64"/>
      <c r="Z45" s="64"/>
      <c r="AA45" s="64"/>
      <c r="AB45" s="64"/>
      <c r="AC45" s="22"/>
      <c r="AD45" s="19"/>
      <c r="AE45" s="26" t="s">
        <v>21</v>
      </c>
      <c r="AF45" s="10"/>
      <c r="AG45" s="10"/>
      <c r="AH45" s="10"/>
      <c r="AI45" s="10"/>
      <c r="AJ45" s="11"/>
      <c r="AL45" s="19"/>
      <c r="AM45" s="26" t="s">
        <v>21</v>
      </c>
      <c r="AN45" s="10">
        <f t="shared" ref="AN45:AP45" si="54">D45+K45+R45+Y45+AF45</f>
        <v>0</v>
      </c>
      <c r="AO45" s="10">
        <f t="shared" si="54"/>
        <v>0</v>
      </c>
      <c r="AP45" s="10">
        <f t="shared" si="54"/>
        <v>0</v>
      </c>
      <c r="AQ45" s="11">
        <f t="shared" si="48"/>
        <v>0</v>
      </c>
    </row>
    <row r="46">
      <c r="A46" s="19"/>
      <c r="B46" s="19"/>
      <c r="C46" s="28" t="s">
        <v>23</v>
      </c>
      <c r="D46" s="61">
        <f t="shared" ref="D46:H46" si="55">D38+D39+D40+D41+D42+D43+D44+D45</f>
        <v>0</v>
      </c>
      <c r="E46" s="30">
        <f t="shared" si="55"/>
        <v>0</v>
      </c>
      <c r="F46" s="36">
        <f t="shared" si="55"/>
        <v>0</v>
      </c>
      <c r="G46" s="40">
        <f t="shared" si="55"/>
        <v>0</v>
      </c>
      <c r="H46" s="33">
        <f t="shared" si="55"/>
        <v>0</v>
      </c>
      <c r="I46" s="19"/>
      <c r="J46" s="28" t="s">
        <v>23</v>
      </c>
      <c r="K46" s="61">
        <f t="shared" ref="K46:O46" si="56">K38+K39+K40+K41+K42+K43+K44+K45</f>
        <v>0</v>
      </c>
      <c r="L46" s="35">
        <f t="shared" si="56"/>
        <v>0</v>
      </c>
      <c r="M46" s="31">
        <f t="shared" si="56"/>
        <v>0</v>
      </c>
      <c r="N46" s="40">
        <f t="shared" si="56"/>
        <v>0</v>
      </c>
      <c r="O46" s="38">
        <f t="shared" si="56"/>
        <v>0</v>
      </c>
      <c r="P46" s="19"/>
      <c r="Q46" s="28" t="s">
        <v>23</v>
      </c>
      <c r="R46" s="61">
        <f t="shared" ref="R46:V46" si="57">R38+R39+R40+R41+R42+R43+R44+R45</f>
        <v>0</v>
      </c>
      <c r="S46" s="35">
        <f t="shared" si="57"/>
        <v>0</v>
      </c>
      <c r="T46" s="31">
        <f t="shared" si="57"/>
        <v>0</v>
      </c>
      <c r="U46" s="37">
        <f t="shared" si="57"/>
        <v>0</v>
      </c>
      <c r="V46" s="33">
        <f t="shared" si="57"/>
        <v>0</v>
      </c>
      <c r="W46" s="19"/>
      <c r="X46" s="66" t="s">
        <v>23</v>
      </c>
      <c r="Y46" s="61">
        <f t="shared" ref="Y46:AC46" si="58">Y38+Y39+Y40+Y41+Y42+Y43+Y44+Y45</f>
        <v>0</v>
      </c>
      <c r="Z46" s="40">
        <f t="shared" si="58"/>
        <v>0</v>
      </c>
      <c r="AA46" s="31">
        <f t="shared" si="58"/>
        <v>0</v>
      </c>
      <c r="AB46" s="37">
        <f t="shared" si="58"/>
        <v>0</v>
      </c>
      <c r="AC46" s="33">
        <f t="shared" si="58"/>
        <v>0</v>
      </c>
      <c r="AD46" s="19"/>
      <c r="AE46" s="28" t="s">
        <v>23</v>
      </c>
      <c r="AF46" s="29">
        <f t="shared" ref="AF46:AJ46" si="59">AF38+AF39+AF40+AF41+AF42+AF43+AF44+AF45</f>
        <v>0</v>
      </c>
      <c r="AG46" s="30">
        <f t="shared" si="59"/>
        <v>0</v>
      </c>
      <c r="AH46" s="31">
        <f t="shared" si="59"/>
        <v>0</v>
      </c>
      <c r="AI46" s="32">
        <f t="shared" si="59"/>
        <v>0</v>
      </c>
      <c r="AJ46" s="33">
        <f t="shared" si="59"/>
        <v>0</v>
      </c>
      <c r="AL46" s="19"/>
      <c r="AM46" s="28" t="s">
        <v>23</v>
      </c>
      <c r="AN46" s="41">
        <f t="shared" ref="AN46:AQ46" si="60">AN38+AN39+AN40+AN41+AN42+AN43+AN44+AN45</f>
        <v>0</v>
      </c>
      <c r="AO46" s="42">
        <f t="shared" si="60"/>
        <v>0</v>
      </c>
      <c r="AP46" s="43">
        <f t="shared" si="60"/>
        <v>0</v>
      </c>
      <c r="AQ46" s="44">
        <f t="shared" si="60"/>
        <v>0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0</v>
      </c>
      <c r="L47" s="47"/>
      <c r="M47" s="48"/>
      <c r="N47" s="51"/>
      <c r="O47" s="51"/>
      <c r="P47" s="19"/>
      <c r="Q47" s="45" t="s">
        <v>24</v>
      </c>
      <c r="R47" s="50">
        <f>R46-S46</f>
        <v>0</v>
      </c>
      <c r="S47" s="47"/>
      <c r="T47" s="48"/>
      <c r="U47" s="51"/>
      <c r="V47" s="51"/>
      <c r="W47" s="19"/>
      <c r="X47" s="45" t="s">
        <v>24</v>
      </c>
      <c r="Y47" s="50">
        <f>Y46-Z46</f>
        <v>0</v>
      </c>
      <c r="Z47" s="47"/>
      <c r="AA47" s="48"/>
      <c r="AB47" s="51"/>
      <c r="AC47" s="51"/>
      <c r="AD47" s="19"/>
      <c r="AE47" s="45" t="s">
        <v>24</v>
      </c>
      <c r="AF47" s="50">
        <f>AF46-AG46</f>
        <v>0</v>
      </c>
      <c r="AG47" s="47"/>
      <c r="AH47" s="48"/>
      <c r="AI47" s="51"/>
      <c r="AJ47" s="51"/>
      <c r="AL47" s="53"/>
      <c r="AM47" s="45" t="s">
        <v>25</v>
      </c>
      <c r="AN47" s="50">
        <f>AN46-AO46</f>
        <v>0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0</v>
      </c>
      <c r="L48" s="47"/>
      <c r="M48" s="48"/>
      <c r="N48" s="51"/>
      <c r="O48" s="51"/>
      <c r="P48" s="53"/>
      <c r="Q48" s="56" t="s">
        <v>26</v>
      </c>
      <c r="R48" s="57">
        <f>T46-S46</f>
        <v>0</v>
      </c>
      <c r="S48" s="47"/>
      <c r="T48" s="48"/>
      <c r="U48" s="51"/>
      <c r="V48" s="51"/>
      <c r="W48" s="53"/>
      <c r="X48" s="56" t="s">
        <v>26</v>
      </c>
      <c r="Y48" s="57">
        <f>AA46-Z46</f>
        <v>0</v>
      </c>
      <c r="Z48" s="47"/>
      <c r="AA48" s="48"/>
      <c r="AB48" s="51"/>
      <c r="AC48" s="51"/>
      <c r="AD48" s="53"/>
      <c r="AE48" s="56" t="s">
        <v>26</v>
      </c>
      <c r="AF48" s="57">
        <f>AH46-AG46</f>
        <v>0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2" t="s">
        <v>1</v>
      </c>
      <c r="D49" s="3" t="s">
        <v>2</v>
      </c>
      <c r="E49" s="2" t="s">
        <v>3</v>
      </c>
      <c r="F49" s="2" t="s">
        <v>4</v>
      </c>
      <c r="G49" s="2" t="s">
        <v>5</v>
      </c>
      <c r="H49" s="5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2" t="s">
        <v>1</v>
      </c>
      <c r="R49" s="4" t="s">
        <v>7</v>
      </c>
      <c r="S49" s="2" t="s">
        <v>3</v>
      </c>
      <c r="T49" s="2" t="s">
        <v>4</v>
      </c>
      <c r="U49" s="2" t="s">
        <v>5</v>
      </c>
      <c r="V49" s="5" t="s">
        <v>6</v>
      </c>
      <c r="W49" s="68" t="s">
        <v>0</v>
      </c>
      <c r="X49" s="2" t="s">
        <v>1</v>
      </c>
      <c r="Y49" s="4" t="s">
        <v>7</v>
      </c>
      <c r="Z49" s="2" t="s">
        <v>3</v>
      </c>
      <c r="AA49" s="2" t="s">
        <v>4</v>
      </c>
      <c r="AB49" s="2" t="s">
        <v>5</v>
      </c>
      <c r="AC49" s="5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/>
      <c r="C50" s="9" t="s">
        <v>10</v>
      </c>
      <c r="D50" s="10"/>
      <c r="E50" s="10"/>
      <c r="F50" s="10"/>
      <c r="G50" s="10"/>
      <c r="H50" s="11"/>
      <c r="I50" s="12">
        <v>45968.0</v>
      </c>
      <c r="J50" s="9" t="s">
        <v>10</v>
      </c>
      <c r="K50" s="10"/>
      <c r="L50" s="10"/>
      <c r="M50" s="10"/>
      <c r="N50" s="10"/>
      <c r="O50" s="11"/>
      <c r="P50" s="8">
        <v>45975.0</v>
      </c>
      <c r="Q50" s="9" t="s">
        <v>10</v>
      </c>
      <c r="R50" s="10"/>
      <c r="S50" s="10"/>
      <c r="T50" s="10"/>
      <c r="U50" s="10"/>
      <c r="V50" s="11"/>
      <c r="W50" s="8">
        <v>45982.0</v>
      </c>
      <c r="X50" s="9" t="s">
        <v>10</v>
      </c>
      <c r="Y50" s="10"/>
      <c r="Z50" s="10"/>
      <c r="AA50" s="10"/>
      <c r="AB50" s="10"/>
      <c r="AC50" s="11"/>
      <c r="AD50" s="8">
        <v>45989.0</v>
      </c>
      <c r="AE50" s="9" t="s">
        <v>10</v>
      </c>
      <c r="AF50" s="10"/>
      <c r="AG50" s="10"/>
      <c r="AH50" s="10"/>
      <c r="AI50" s="10"/>
      <c r="AJ50" s="11"/>
      <c r="AL50" s="18" t="s">
        <v>38</v>
      </c>
      <c r="AM50" s="9" t="s">
        <v>10</v>
      </c>
      <c r="AN50" s="10">
        <f t="shared" ref="AN50:AP50" si="61">D50+K50+R50+Y50+AF50</f>
        <v>0</v>
      </c>
      <c r="AO50" s="10">
        <f t="shared" si="61"/>
        <v>0</v>
      </c>
      <c r="AP50" s="10">
        <f t="shared" si="61"/>
        <v>0</v>
      </c>
      <c r="AQ50" s="11">
        <f t="shared" ref="AQ50:AQ57" si="63">H50+O50+V50+AC50+AJ50</f>
        <v>0</v>
      </c>
    </row>
    <row r="51">
      <c r="A51" s="19"/>
      <c r="B51" s="19"/>
      <c r="C51" s="9" t="s">
        <v>12</v>
      </c>
      <c r="D51" s="10"/>
      <c r="E51" s="10"/>
      <c r="F51" s="10"/>
      <c r="G51" s="10"/>
      <c r="H51" s="11"/>
      <c r="I51" s="19"/>
      <c r="J51" s="9" t="s">
        <v>12</v>
      </c>
      <c r="K51" s="10"/>
      <c r="L51" s="10"/>
      <c r="M51" s="10"/>
      <c r="N51" s="10"/>
      <c r="O51" s="11"/>
      <c r="P51" s="19"/>
      <c r="Q51" s="9" t="s">
        <v>32</v>
      </c>
      <c r="R51" s="10"/>
      <c r="S51" s="10"/>
      <c r="T51" s="10"/>
      <c r="U51" s="10"/>
      <c r="V51" s="70"/>
      <c r="W51" s="19"/>
      <c r="X51" s="9" t="s">
        <v>12</v>
      </c>
      <c r="Y51" s="10"/>
      <c r="Z51" s="10"/>
      <c r="AA51" s="10"/>
      <c r="AB51" s="10"/>
      <c r="AC51" s="11"/>
      <c r="AD51" s="19"/>
      <c r="AE51" s="9" t="s">
        <v>12</v>
      </c>
      <c r="AF51" s="10"/>
      <c r="AG51" s="10"/>
      <c r="AH51" s="10"/>
      <c r="AI51" s="10"/>
      <c r="AJ51" s="11"/>
      <c r="AL51" s="19"/>
      <c r="AM51" s="9" t="s">
        <v>12</v>
      </c>
      <c r="AN51" s="10">
        <f t="shared" ref="AN51:AP51" si="62">D51+K51+R51+Y51+AF51</f>
        <v>0</v>
      </c>
      <c r="AO51" s="10">
        <f t="shared" si="62"/>
        <v>0</v>
      </c>
      <c r="AP51" s="10">
        <f t="shared" si="62"/>
        <v>0</v>
      </c>
      <c r="AQ51" s="11">
        <f t="shared" si="63"/>
        <v>0</v>
      </c>
    </row>
    <row r="52">
      <c r="A52" s="19"/>
      <c r="B52" s="19"/>
      <c r="C52" s="314" t="s">
        <v>276</v>
      </c>
      <c r="D52" s="10"/>
      <c r="E52" s="10"/>
      <c r="F52" s="10"/>
      <c r="G52" s="10"/>
      <c r="H52" s="11"/>
      <c r="I52" s="19"/>
      <c r="J52" s="9" t="s">
        <v>276</v>
      </c>
      <c r="K52" s="291"/>
      <c r="L52" s="10"/>
      <c r="M52" s="10"/>
      <c r="N52" s="10"/>
      <c r="O52" s="11"/>
      <c r="P52" s="19"/>
      <c r="Q52" s="9" t="s">
        <v>276</v>
      </c>
      <c r="R52" s="10"/>
      <c r="S52" s="10"/>
      <c r="T52" s="10"/>
      <c r="U52" s="10"/>
      <c r="V52" s="11"/>
      <c r="W52" s="19"/>
      <c r="X52" s="9" t="s">
        <v>276</v>
      </c>
      <c r="Y52" s="10"/>
      <c r="Z52" s="10"/>
      <c r="AA52" s="10"/>
      <c r="AB52" s="10"/>
      <c r="AC52" s="11"/>
      <c r="AD52" s="19"/>
      <c r="AE52" s="9" t="s">
        <v>14</v>
      </c>
      <c r="AF52" s="10"/>
      <c r="AG52" s="10"/>
      <c r="AH52" s="10"/>
      <c r="AI52" s="10"/>
      <c r="AJ52" s="11"/>
      <c r="AL52" s="19"/>
      <c r="AM52" s="9" t="s">
        <v>14</v>
      </c>
      <c r="AN52" s="10">
        <f t="shared" ref="AN52:AP52" si="64">D52+K52+R52+Y52+AF52</f>
        <v>0</v>
      </c>
      <c r="AO52" s="10">
        <f t="shared" si="64"/>
        <v>0</v>
      </c>
      <c r="AP52" s="10">
        <f t="shared" si="64"/>
        <v>0</v>
      </c>
      <c r="AQ52" s="11">
        <f t="shared" si="63"/>
        <v>0</v>
      </c>
    </row>
    <row r="53">
      <c r="A53" s="19"/>
      <c r="B53" s="19"/>
      <c r="C53" s="9" t="s">
        <v>16</v>
      </c>
      <c r="D53" s="10"/>
      <c r="E53" s="10"/>
      <c r="F53" s="10"/>
      <c r="G53" s="10"/>
      <c r="H53" s="11"/>
      <c r="I53" s="19"/>
      <c r="J53" s="9" t="s">
        <v>15</v>
      </c>
      <c r="K53" s="10"/>
      <c r="L53" s="10"/>
      <c r="M53" s="10"/>
      <c r="N53" s="310"/>
      <c r="O53" s="11"/>
      <c r="P53" s="19"/>
      <c r="Q53" s="9" t="s">
        <v>16</v>
      </c>
      <c r="R53" s="10"/>
      <c r="S53" s="10"/>
      <c r="T53" s="10"/>
      <c r="U53" s="10"/>
      <c r="V53" s="11"/>
      <c r="W53" s="19"/>
      <c r="X53" s="170" t="s">
        <v>16</v>
      </c>
      <c r="Y53" s="10"/>
      <c r="Z53" s="10"/>
      <c r="AA53" s="10"/>
      <c r="AB53" s="10"/>
      <c r="AC53" s="11"/>
      <c r="AD53" s="19"/>
      <c r="AE53" s="9" t="s">
        <v>16</v>
      </c>
      <c r="AF53" s="10"/>
      <c r="AG53" s="10"/>
      <c r="AH53" s="10"/>
      <c r="AI53" s="310"/>
      <c r="AJ53" s="11"/>
      <c r="AL53" s="19"/>
      <c r="AM53" s="9" t="s">
        <v>16</v>
      </c>
      <c r="AN53" s="10">
        <f t="shared" ref="AN53:AP53" si="65">D53+K53+R53+Y53+AF53</f>
        <v>0</v>
      </c>
      <c r="AO53" s="10">
        <f t="shared" si="65"/>
        <v>0</v>
      </c>
      <c r="AP53" s="10">
        <f t="shared" si="65"/>
        <v>0</v>
      </c>
      <c r="AQ53" s="11">
        <f t="shared" si="63"/>
        <v>0</v>
      </c>
    </row>
    <row r="54">
      <c r="A54" s="19"/>
      <c r="B54" s="19"/>
      <c r="C54" s="9" t="s">
        <v>17</v>
      </c>
      <c r="D54" s="10"/>
      <c r="E54" s="10"/>
      <c r="F54" s="10"/>
      <c r="G54" s="10"/>
      <c r="H54" s="11"/>
      <c r="I54" s="19"/>
      <c r="J54" s="9" t="s">
        <v>17</v>
      </c>
      <c r="K54" s="10"/>
      <c r="L54" s="10"/>
      <c r="M54" s="10"/>
      <c r="N54" s="10"/>
      <c r="O54" s="11"/>
      <c r="P54" s="19"/>
      <c r="Q54" s="9" t="s">
        <v>17</v>
      </c>
      <c r="R54" s="10"/>
      <c r="S54" s="10"/>
      <c r="T54" s="10"/>
      <c r="U54" s="10"/>
      <c r="V54" s="11"/>
      <c r="W54" s="19"/>
      <c r="X54" s="9" t="s">
        <v>17</v>
      </c>
      <c r="Y54" s="10"/>
      <c r="Z54" s="10"/>
      <c r="AA54" s="10"/>
      <c r="AB54" s="10"/>
      <c r="AC54" s="11"/>
      <c r="AD54" s="19"/>
      <c r="AE54" s="9" t="s">
        <v>17</v>
      </c>
      <c r="AF54" s="10"/>
      <c r="AG54" s="10"/>
      <c r="AH54" s="10"/>
      <c r="AI54" s="10"/>
      <c r="AJ54" s="11"/>
      <c r="AL54" s="19"/>
      <c r="AM54" s="9" t="s">
        <v>17</v>
      </c>
      <c r="AN54" s="10">
        <f t="shared" ref="AN54:AP54" si="66">D54+K54+R54+Y54+AF54</f>
        <v>0</v>
      </c>
      <c r="AO54" s="10">
        <f t="shared" si="66"/>
        <v>0</v>
      </c>
      <c r="AP54" s="10">
        <f t="shared" si="66"/>
        <v>0</v>
      </c>
      <c r="AQ54" s="11">
        <f t="shared" si="63"/>
        <v>0</v>
      </c>
    </row>
    <row r="55">
      <c r="A55" s="19"/>
      <c r="B55" s="19"/>
      <c r="C55" s="9" t="s">
        <v>18</v>
      </c>
      <c r="D55" s="10"/>
      <c r="E55" s="10"/>
      <c r="F55" s="10"/>
      <c r="G55" s="10"/>
      <c r="H55" s="11"/>
      <c r="I55" s="19"/>
      <c r="J55" s="9" t="s">
        <v>18</v>
      </c>
      <c r="K55" s="10"/>
      <c r="L55" s="10"/>
      <c r="M55" s="10"/>
      <c r="N55" s="10"/>
      <c r="O55" s="11"/>
      <c r="P55" s="19"/>
      <c r="Q55" s="9" t="s">
        <v>29</v>
      </c>
      <c r="R55" s="10"/>
      <c r="S55" s="10"/>
      <c r="T55" s="10"/>
      <c r="U55" s="10"/>
      <c r="V55" s="11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7">D55+K55+R55+Y55+AF55</f>
        <v>0</v>
      </c>
      <c r="AO55" s="10">
        <f t="shared" si="67"/>
        <v>0</v>
      </c>
      <c r="AP55" s="10">
        <f t="shared" si="67"/>
        <v>0</v>
      </c>
      <c r="AQ55" s="11">
        <f t="shared" si="63"/>
        <v>0</v>
      </c>
    </row>
    <row r="56">
      <c r="A56" s="19"/>
      <c r="B56" s="19"/>
      <c r="C56" s="9" t="s">
        <v>20</v>
      </c>
      <c r="D56" s="10"/>
      <c r="E56" s="10"/>
      <c r="F56" s="10"/>
      <c r="G56" s="10"/>
      <c r="H56" s="11"/>
      <c r="I56" s="19"/>
      <c r="J56" s="9" t="s">
        <v>19</v>
      </c>
      <c r="K56" s="10"/>
      <c r="L56" s="10"/>
      <c r="M56" s="10"/>
      <c r="N56" s="10"/>
      <c r="O56" s="11"/>
      <c r="P56" s="19"/>
      <c r="Q56" s="9" t="s">
        <v>19</v>
      </c>
      <c r="R56" s="10"/>
      <c r="S56" s="10"/>
      <c r="T56" s="10"/>
      <c r="U56" s="10"/>
      <c r="V56" s="11"/>
      <c r="W56" s="19"/>
      <c r="X56" s="9" t="s">
        <v>19</v>
      </c>
      <c r="Y56" s="10"/>
      <c r="Z56" s="10"/>
      <c r="AA56" s="10"/>
      <c r="AB56" s="10"/>
      <c r="AC56" s="11"/>
      <c r="AD56" s="19"/>
      <c r="AE56" s="9" t="s">
        <v>19</v>
      </c>
      <c r="AF56" s="10"/>
      <c r="AG56" s="10"/>
      <c r="AH56" s="10"/>
      <c r="AI56" s="10"/>
      <c r="AJ56" s="11"/>
      <c r="AL56" s="19"/>
      <c r="AM56" s="9" t="s">
        <v>19</v>
      </c>
      <c r="AN56" s="10">
        <f t="shared" ref="AN56:AP56" si="68">D56+K56+R56+Y56+AF56</f>
        <v>0</v>
      </c>
      <c r="AO56" s="10">
        <f t="shared" si="68"/>
        <v>0</v>
      </c>
      <c r="AP56" s="10">
        <f t="shared" si="68"/>
        <v>0</v>
      </c>
      <c r="AQ56" s="11">
        <f t="shared" si="63"/>
        <v>0</v>
      </c>
    </row>
    <row r="57">
      <c r="A57" s="19"/>
      <c r="B57" s="19"/>
      <c r="C57" s="26" t="s">
        <v>21</v>
      </c>
      <c r="D57" s="10"/>
      <c r="E57" s="10"/>
      <c r="F57" s="10"/>
      <c r="G57" s="10"/>
      <c r="H57" s="11"/>
      <c r="I57" s="19"/>
      <c r="J57" s="26" t="s">
        <v>21</v>
      </c>
      <c r="K57" s="10"/>
      <c r="L57" s="10"/>
      <c r="M57" s="10"/>
      <c r="N57" s="310"/>
      <c r="O57" s="11"/>
      <c r="P57" s="19"/>
      <c r="Q57" s="26" t="s">
        <v>21</v>
      </c>
      <c r="R57" s="10"/>
      <c r="S57" s="10"/>
      <c r="T57" s="10"/>
      <c r="U57" s="10"/>
      <c r="V57" s="11"/>
      <c r="W57" s="19"/>
      <c r="X57" s="26" t="s">
        <v>21</v>
      </c>
      <c r="Y57" s="10"/>
      <c r="Z57" s="10"/>
      <c r="AA57" s="10"/>
      <c r="AB57" s="10"/>
      <c r="AC57" s="11"/>
      <c r="AD57" s="19"/>
      <c r="AE57" s="26" t="s">
        <v>21</v>
      </c>
      <c r="AF57" s="10"/>
      <c r="AG57" s="10"/>
      <c r="AH57" s="10"/>
      <c r="AI57" s="310"/>
      <c r="AJ57" s="11"/>
      <c r="AL57" s="19"/>
      <c r="AM57" s="26" t="s">
        <v>21</v>
      </c>
      <c r="AN57" s="10">
        <f t="shared" ref="AN57:AP57" si="69">D57+K57+R57+Y57+AF57</f>
        <v>0</v>
      </c>
      <c r="AO57" s="10">
        <f t="shared" si="69"/>
        <v>0</v>
      </c>
      <c r="AP57" s="10">
        <f t="shared" si="69"/>
        <v>0</v>
      </c>
      <c r="AQ57" s="11">
        <f t="shared" si="63"/>
        <v>0</v>
      </c>
    </row>
    <row r="58">
      <c r="A58" s="19"/>
      <c r="B58" s="19"/>
      <c r="C58" s="28" t="s">
        <v>23</v>
      </c>
      <c r="D58" s="29">
        <f t="shared" ref="D58:H58" si="70">D50+D51+D52+D53+D54+D55+D56+D57</f>
        <v>0</v>
      </c>
      <c r="E58" s="30">
        <f t="shared" si="70"/>
        <v>0</v>
      </c>
      <c r="F58" s="31">
        <f t="shared" si="70"/>
        <v>0</v>
      </c>
      <c r="G58" s="37">
        <f t="shared" si="70"/>
        <v>0</v>
      </c>
      <c r="H58" s="33">
        <f t="shared" si="70"/>
        <v>0</v>
      </c>
      <c r="I58" s="19"/>
      <c r="J58" s="28" t="s">
        <v>23</v>
      </c>
      <c r="K58" s="29">
        <f t="shared" ref="K58:O58" si="71">K50+K51+K52+K53+K54+K55+K56+K57</f>
        <v>0</v>
      </c>
      <c r="L58" s="30">
        <f t="shared" si="71"/>
        <v>0</v>
      </c>
      <c r="M58" s="36">
        <f t="shared" si="71"/>
        <v>0</v>
      </c>
      <c r="N58" s="40">
        <f t="shared" si="71"/>
        <v>0</v>
      </c>
      <c r="O58" s="33">
        <f t="shared" si="71"/>
        <v>0</v>
      </c>
      <c r="P58" s="19"/>
      <c r="Q58" s="28" t="s">
        <v>23</v>
      </c>
      <c r="R58" s="29">
        <f t="shared" ref="R58:V58" si="72">R50+R51+R52+R53+R54+R55+R56+R57</f>
        <v>0</v>
      </c>
      <c r="S58" s="30">
        <f t="shared" si="72"/>
        <v>0</v>
      </c>
      <c r="T58" s="36">
        <f t="shared" si="72"/>
        <v>0</v>
      </c>
      <c r="U58" s="37">
        <f t="shared" si="72"/>
        <v>0</v>
      </c>
      <c r="V58" s="33">
        <f t="shared" si="72"/>
        <v>0</v>
      </c>
      <c r="W58" s="19"/>
      <c r="X58" s="28" t="s">
        <v>23</v>
      </c>
      <c r="Y58" s="61">
        <f t="shared" ref="Y58:AC58" si="73">Y50+Y51+Y52+Y53+Y54+Y55+Y56+Y57</f>
        <v>0</v>
      </c>
      <c r="Z58" s="35">
        <f t="shared" si="73"/>
        <v>0</v>
      </c>
      <c r="AA58" s="36">
        <f t="shared" si="73"/>
        <v>0</v>
      </c>
      <c r="AB58" s="37">
        <f t="shared" si="73"/>
        <v>0</v>
      </c>
      <c r="AC58" s="33">
        <f t="shared" si="73"/>
        <v>0</v>
      </c>
      <c r="AD58" s="19"/>
      <c r="AE58" s="28" t="s">
        <v>23</v>
      </c>
      <c r="AF58" s="61">
        <f t="shared" ref="AF58:AJ58" si="74">AF50+AF51+AF52+AF53+AF54+AF55+AF56+AF57</f>
        <v>0</v>
      </c>
      <c r="AG58" s="35">
        <f t="shared" si="74"/>
        <v>0</v>
      </c>
      <c r="AH58" s="36">
        <f t="shared" si="74"/>
        <v>0</v>
      </c>
      <c r="AI58" s="37">
        <f t="shared" si="74"/>
        <v>0</v>
      </c>
      <c r="AJ58" s="33">
        <f t="shared" si="74"/>
        <v>0</v>
      </c>
      <c r="AL58" s="19"/>
      <c r="AM58" s="28" t="s">
        <v>23</v>
      </c>
      <c r="AN58" s="41">
        <f t="shared" ref="AN58:AQ58" si="75">AN50+AN51+AN52+AN53+AN54+AN55+AN56+AN57</f>
        <v>0</v>
      </c>
      <c r="AO58" s="42">
        <f t="shared" si="75"/>
        <v>0</v>
      </c>
      <c r="AP58" s="43">
        <f t="shared" si="75"/>
        <v>0</v>
      </c>
      <c r="AQ58" s="44">
        <f t="shared" si="75"/>
        <v>0</v>
      </c>
    </row>
    <row r="59" hidden="1">
      <c r="A59" s="19"/>
      <c r="B59" s="19"/>
      <c r="C59" s="45" t="s">
        <v>24</v>
      </c>
      <c r="D59" s="50">
        <f>D58-E58</f>
        <v>0</v>
      </c>
      <c r="E59" s="47"/>
      <c r="F59" s="48"/>
      <c r="G59" s="51"/>
      <c r="H59" s="51"/>
      <c r="I59" s="19"/>
      <c r="J59" s="45" t="s">
        <v>24</v>
      </c>
      <c r="K59" s="50">
        <f>K58-L58</f>
        <v>0</v>
      </c>
      <c r="L59" s="47"/>
      <c r="M59" s="48"/>
      <c r="N59" s="51"/>
      <c r="O59" s="51"/>
      <c r="P59" s="19"/>
      <c r="Q59" s="45" t="s">
        <v>24</v>
      </c>
      <c r="R59" s="50">
        <f>R58-S58</f>
        <v>0</v>
      </c>
      <c r="S59" s="47"/>
      <c r="T59" s="48"/>
      <c r="U59" s="51"/>
      <c r="V59" s="51"/>
      <c r="W59" s="19"/>
      <c r="X59" s="45" t="s">
        <v>24</v>
      </c>
      <c r="Y59" s="50">
        <f>Y58-Z58</f>
        <v>0</v>
      </c>
      <c r="Z59" s="47"/>
      <c r="AA59" s="48"/>
      <c r="AB59" s="51"/>
      <c r="AC59" s="51"/>
      <c r="AD59" s="19"/>
      <c r="AE59" s="45" t="s">
        <v>24</v>
      </c>
      <c r="AF59" s="50">
        <f>AF58-AG58</f>
        <v>0</v>
      </c>
      <c r="AG59" s="47"/>
      <c r="AH59" s="48"/>
      <c r="AI59" s="51"/>
      <c r="AJ59" s="51"/>
      <c r="AL59" s="53"/>
      <c r="AM59" s="45" t="s">
        <v>25</v>
      </c>
      <c r="AN59" s="50">
        <f>AN58-AO58</f>
        <v>0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0</v>
      </c>
      <c r="E60" s="47"/>
      <c r="F60" s="48"/>
      <c r="G60" s="67"/>
      <c r="H60" s="51"/>
      <c r="I60" s="53"/>
      <c r="J60" s="56" t="s">
        <v>26</v>
      </c>
      <c r="K60" s="57">
        <f>M58-L58</f>
        <v>0</v>
      </c>
      <c r="L60" s="47"/>
      <c r="M60" s="48"/>
      <c r="N60" s="51"/>
      <c r="O60" s="51"/>
      <c r="P60" s="53"/>
      <c r="Q60" s="56" t="s">
        <v>26</v>
      </c>
      <c r="R60" s="57">
        <f>T58-S58</f>
        <v>0</v>
      </c>
      <c r="S60" s="47"/>
      <c r="T60" s="48"/>
      <c r="U60" s="51"/>
      <c r="V60" s="51"/>
      <c r="W60" s="53"/>
      <c r="X60" s="56" t="s">
        <v>26</v>
      </c>
      <c r="Y60" s="57">
        <f>AA58-Z58</f>
        <v>0</v>
      </c>
      <c r="Z60" s="47"/>
      <c r="AA60" s="48"/>
      <c r="AB60" s="51"/>
      <c r="AC60" s="51"/>
      <c r="AD60" s="53"/>
      <c r="AE60" s="56" t="s">
        <v>26</v>
      </c>
      <c r="AF60" s="57">
        <f>AH58-AG58</f>
        <v>0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2" t="s">
        <v>1</v>
      </c>
      <c r="K61" s="4" t="s">
        <v>7</v>
      </c>
      <c r="L61" s="2" t="s">
        <v>3</v>
      </c>
      <c r="M61" s="2" t="s">
        <v>4</v>
      </c>
      <c r="N61" s="2" t="s">
        <v>5</v>
      </c>
      <c r="O61" s="5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2" t="s">
        <v>1</v>
      </c>
      <c r="Y61" s="4" t="s">
        <v>7</v>
      </c>
      <c r="Z61" s="2" t="s">
        <v>3</v>
      </c>
      <c r="AA61" s="2" t="s">
        <v>4</v>
      </c>
      <c r="AB61" s="2" t="s">
        <v>5</v>
      </c>
      <c r="AC61" s="5" t="s">
        <v>6</v>
      </c>
      <c r="AD61" s="2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>
        <v>45962.0</v>
      </c>
      <c r="C62" s="9" t="s">
        <v>10</v>
      </c>
      <c r="D62" s="10"/>
      <c r="E62" s="10"/>
      <c r="F62" s="10"/>
      <c r="G62" s="10"/>
      <c r="H62" s="11"/>
      <c r="I62" s="12">
        <v>45969.0</v>
      </c>
      <c r="J62" s="9" t="s">
        <v>10</v>
      </c>
      <c r="K62" s="10"/>
      <c r="L62" s="10"/>
      <c r="M62" s="10"/>
      <c r="N62" s="10"/>
      <c r="O62" s="11"/>
      <c r="P62" s="316" t="s">
        <v>288</v>
      </c>
      <c r="Q62" s="287" t="s">
        <v>10</v>
      </c>
      <c r="R62" s="288"/>
      <c r="S62" s="288"/>
      <c r="T62" s="288"/>
      <c r="U62" s="288"/>
      <c r="V62" s="289"/>
      <c r="W62" s="8">
        <v>45983.0</v>
      </c>
      <c r="X62" s="314" t="s">
        <v>10</v>
      </c>
      <c r="Y62" s="10"/>
      <c r="Z62" s="10"/>
      <c r="AA62" s="10"/>
      <c r="AB62" s="10"/>
      <c r="AC62" s="11"/>
      <c r="AD62" s="12">
        <v>45990.0</v>
      </c>
      <c r="AE62" s="9" t="s">
        <v>10</v>
      </c>
      <c r="AF62" s="10"/>
      <c r="AG62" s="10"/>
      <c r="AH62" s="10"/>
      <c r="AI62" s="10"/>
      <c r="AJ62" s="11"/>
      <c r="AL62" s="18" t="s">
        <v>40</v>
      </c>
      <c r="AM62" s="9" t="s">
        <v>10</v>
      </c>
      <c r="AN62" s="10">
        <f t="shared" ref="AN62:AP62" si="76">D62+K62+R62+Y62+AF62</f>
        <v>0</v>
      </c>
      <c r="AO62" s="10">
        <f t="shared" si="76"/>
        <v>0</v>
      </c>
      <c r="AP62" s="10">
        <f t="shared" si="76"/>
        <v>0</v>
      </c>
      <c r="AQ62" s="11">
        <f t="shared" ref="AQ62:AQ69" si="78">H62+O62+V62+AC62+AJ62</f>
        <v>0</v>
      </c>
    </row>
    <row r="63">
      <c r="A63" s="19"/>
      <c r="B63" s="19"/>
      <c r="C63" s="9" t="s">
        <v>12</v>
      </c>
      <c r="D63" s="10"/>
      <c r="E63" s="10"/>
      <c r="F63" s="10"/>
      <c r="G63" s="10"/>
      <c r="H63" s="11"/>
      <c r="I63" s="19"/>
      <c r="J63" s="9" t="s">
        <v>12</v>
      </c>
      <c r="K63" s="10"/>
      <c r="L63" s="10"/>
      <c r="M63" s="10"/>
      <c r="N63" s="10"/>
      <c r="O63" s="11"/>
      <c r="P63" s="19"/>
      <c r="Q63" s="287" t="s">
        <v>12</v>
      </c>
      <c r="R63" s="317"/>
      <c r="S63" s="288"/>
      <c r="T63" s="317"/>
      <c r="U63" s="288"/>
      <c r="V63" s="289"/>
      <c r="W63" s="19"/>
      <c r="X63" s="9" t="s">
        <v>12</v>
      </c>
      <c r="Y63" s="10"/>
      <c r="Z63" s="10"/>
      <c r="AA63" s="10"/>
      <c r="AB63" s="10"/>
      <c r="AC63" s="11"/>
      <c r="AD63" s="19"/>
      <c r="AE63" s="9" t="s">
        <v>12</v>
      </c>
      <c r="AF63" s="10"/>
      <c r="AG63" s="10"/>
      <c r="AH63" s="10"/>
      <c r="AI63" s="10"/>
      <c r="AJ63" s="11"/>
      <c r="AL63" s="19"/>
      <c r="AM63" s="9" t="s">
        <v>12</v>
      </c>
      <c r="AN63" s="10">
        <f t="shared" ref="AN63:AP63" si="77">D63+K63+R63+Y63+AF63</f>
        <v>0</v>
      </c>
      <c r="AO63" s="10">
        <f t="shared" si="77"/>
        <v>0</v>
      </c>
      <c r="AP63" s="10">
        <f t="shared" si="77"/>
        <v>0</v>
      </c>
      <c r="AQ63" s="11">
        <f t="shared" si="78"/>
        <v>0</v>
      </c>
    </row>
    <row r="64">
      <c r="A64" s="19"/>
      <c r="B64" s="19"/>
      <c r="C64" s="9" t="s">
        <v>276</v>
      </c>
      <c r="D64" s="291"/>
      <c r="E64" s="10"/>
      <c r="F64" s="10"/>
      <c r="G64" s="10"/>
      <c r="H64" s="11"/>
      <c r="I64" s="19"/>
      <c r="J64" s="9" t="s">
        <v>276</v>
      </c>
      <c r="K64" s="10"/>
      <c r="L64" s="10"/>
      <c r="M64" s="10"/>
      <c r="N64" s="10"/>
      <c r="O64" s="11"/>
      <c r="P64" s="19"/>
      <c r="Q64" s="287" t="s">
        <v>276</v>
      </c>
      <c r="R64" s="288"/>
      <c r="S64" s="288"/>
      <c r="T64" s="288"/>
      <c r="U64" s="288"/>
      <c r="V64" s="289"/>
      <c r="W64" s="19"/>
      <c r="X64" s="9" t="s">
        <v>276</v>
      </c>
      <c r="Y64" s="10"/>
      <c r="Z64" s="10"/>
      <c r="AA64" s="10"/>
      <c r="AB64" s="10"/>
      <c r="AC64" s="11"/>
      <c r="AD64" s="19"/>
      <c r="AE64" s="9" t="s">
        <v>14</v>
      </c>
      <c r="AF64" s="10"/>
      <c r="AG64" s="10"/>
      <c r="AH64" s="10"/>
      <c r="AI64" s="10"/>
      <c r="AJ64" s="11"/>
      <c r="AL64" s="19"/>
      <c r="AM64" s="9" t="s">
        <v>14</v>
      </c>
      <c r="AN64" s="10">
        <f t="shared" ref="AN64:AP64" si="79">D64+K64+R64+Y64+AF64</f>
        <v>0</v>
      </c>
      <c r="AO64" s="10">
        <f t="shared" si="79"/>
        <v>0</v>
      </c>
      <c r="AP64" s="10">
        <f t="shared" si="79"/>
        <v>0</v>
      </c>
      <c r="AQ64" s="11">
        <f t="shared" si="78"/>
        <v>0</v>
      </c>
    </row>
    <row r="65">
      <c r="A65" s="19"/>
      <c r="B65" s="19"/>
      <c r="C65" s="9" t="s">
        <v>16</v>
      </c>
      <c r="D65" s="10"/>
      <c r="E65" s="10"/>
      <c r="F65" s="10"/>
      <c r="G65" s="10"/>
      <c r="H65" s="11"/>
      <c r="I65" s="19"/>
      <c r="J65" s="9" t="s">
        <v>16</v>
      </c>
      <c r="K65" s="10"/>
      <c r="L65" s="10"/>
      <c r="M65" s="10"/>
      <c r="N65" s="310"/>
      <c r="O65" s="11"/>
      <c r="P65" s="19"/>
      <c r="Q65" s="287" t="s">
        <v>16</v>
      </c>
      <c r="R65" s="288"/>
      <c r="S65" s="288"/>
      <c r="T65" s="288"/>
      <c r="U65" s="288"/>
      <c r="V65" s="289"/>
      <c r="W65" s="19"/>
      <c r="X65" s="9" t="s">
        <v>16</v>
      </c>
      <c r="Y65" s="10"/>
      <c r="Z65" s="10"/>
      <c r="AA65" s="10"/>
      <c r="AB65" s="10"/>
      <c r="AC65" s="11"/>
      <c r="AD65" s="19"/>
      <c r="AE65" s="9" t="s">
        <v>16</v>
      </c>
      <c r="AF65" s="10"/>
      <c r="AG65" s="10"/>
      <c r="AH65" s="10"/>
      <c r="AI65" s="310"/>
      <c r="AJ65" s="11"/>
      <c r="AL65" s="19"/>
      <c r="AM65" s="9" t="s">
        <v>16</v>
      </c>
      <c r="AN65" s="10">
        <f t="shared" ref="AN65:AP65" si="80">D65+K65+R65+Y65+AF65</f>
        <v>0</v>
      </c>
      <c r="AO65" s="10">
        <f t="shared" si="80"/>
        <v>0</v>
      </c>
      <c r="AP65" s="10">
        <f t="shared" si="80"/>
        <v>0</v>
      </c>
      <c r="AQ65" s="11">
        <f t="shared" si="78"/>
        <v>0</v>
      </c>
    </row>
    <row r="66">
      <c r="A66" s="19"/>
      <c r="B66" s="19"/>
      <c r="C66" s="9" t="s">
        <v>289</v>
      </c>
      <c r="D66" s="10"/>
      <c r="E66" s="10"/>
      <c r="F66" s="10"/>
      <c r="G66" s="10"/>
      <c r="H66" s="11"/>
      <c r="I66" s="19"/>
      <c r="J66" s="9" t="s">
        <v>289</v>
      </c>
      <c r="K66" s="10"/>
      <c r="L66" s="10"/>
      <c r="M66" s="10"/>
      <c r="N66" s="10"/>
      <c r="O66" s="11"/>
      <c r="P66" s="19"/>
      <c r="Q66" s="287" t="s">
        <v>17</v>
      </c>
      <c r="R66" s="288"/>
      <c r="S66" s="288"/>
      <c r="T66" s="288"/>
      <c r="U66" s="288"/>
      <c r="V66" s="289"/>
      <c r="W66" s="19"/>
      <c r="X66" s="9" t="s">
        <v>17</v>
      </c>
      <c r="Y66" s="10"/>
      <c r="Z66" s="10"/>
      <c r="AA66" s="10"/>
      <c r="AB66" s="10"/>
      <c r="AC66" s="11"/>
      <c r="AD66" s="19"/>
      <c r="AE66" s="9" t="s">
        <v>17</v>
      </c>
      <c r="AF66" s="10"/>
      <c r="AG66" s="10"/>
      <c r="AH66" s="10"/>
      <c r="AI66" s="10"/>
      <c r="AJ66" s="11"/>
      <c r="AL66" s="19"/>
      <c r="AM66" s="9" t="s">
        <v>17</v>
      </c>
      <c r="AN66" s="10">
        <f t="shared" ref="AN66:AP66" si="81">D66+K66+R66+Y66+AF66</f>
        <v>0</v>
      </c>
      <c r="AO66" s="10">
        <f t="shared" si="81"/>
        <v>0</v>
      </c>
      <c r="AP66" s="10">
        <f t="shared" si="81"/>
        <v>0</v>
      </c>
      <c r="AQ66" s="11">
        <f t="shared" si="78"/>
        <v>0</v>
      </c>
    </row>
    <row r="67">
      <c r="A67" s="19"/>
      <c r="B67" s="19"/>
      <c r="C67" s="9" t="s">
        <v>29</v>
      </c>
      <c r="D67" s="10"/>
      <c r="E67" s="10"/>
      <c r="F67" s="10"/>
      <c r="G67" s="10"/>
      <c r="H67" s="11"/>
      <c r="I67" s="19"/>
      <c r="J67" s="9" t="s">
        <v>18</v>
      </c>
      <c r="K67" s="10"/>
      <c r="L67" s="10"/>
      <c r="M67" s="10"/>
      <c r="N67" s="10"/>
      <c r="O67" s="11"/>
      <c r="P67" s="19"/>
      <c r="Q67" s="287" t="s">
        <v>18</v>
      </c>
      <c r="R67" s="288"/>
      <c r="S67" s="288"/>
      <c r="T67" s="288"/>
      <c r="U67" s="288"/>
      <c r="V67" s="289"/>
      <c r="W67" s="19"/>
      <c r="X67" s="9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2">D67+K67+R67+Y67+AF67</f>
        <v>0</v>
      </c>
      <c r="AO67" s="10">
        <f t="shared" si="82"/>
        <v>0</v>
      </c>
      <c r="AP67" s="10">
        <f t="shared" si="82"/>
        <v>0</v>
      </c>
      <c r="AQ67" s="11">
        <f t="shared" si="78"/>
        <v>0</v>
      </c>
    </row>
    <row r="68">
      <c r="A68" s="19"/>
      <c r="B68" s="19"/>
      <c r="C68" s="9" t="s">
        <v>20</v>
      </c>
      <c r="D68" s="10"/>
      <c r="E68" s="10"/>
      <c r="F68" s="10"/>
      <c r="G68" s="10"/>
      <c r="H68" s="11"/>
      <c r="I68" s="19"/>
      <c r="J68" s="9" t="s">
        <v>20</v>
      </c>
      <c r="K68" s="10"/>
      <c r="L68" s="10"/>
      <c r="M68" s="10"/>
      <c r="N68" s="10"/>
      <c r="O68" s="11"/>
      <c r="P68" s="19"/>
      <c r="Q68" s="287" t="s">
        <v>19</v>
      </c>
      <c r="R68" s="288"/>
      <c r="S68" s="288"/>
      <c r="T68" s="288"/>
      <c r="U68" s="288"/>
      <c r="V68" s="289"/>
      <c r="W68" s="19"/>
      <c r="X68" s="9" t="s">
        <v>19</v>
      </c>
      <c r="Y68" s="10"/>
      <c r="Z68" s="10"/>
      <c r="AA68" s="10"/>
      <c r="AB68" s="10"/>
      <c r="AC68" s="11"/>
      <c r="AD68" s="19"/>
      <c r="AE68" s="9" t="s">
        <v>19</v>
      </c>
      <c r="AF68" s="10"/>
      <c r="AG68" s="10"/>
      <c r="AH68" s="10"/>
      <c r="AI68" s="10"/>
      <c r="AJ68" s="11"/>
      <c r="AL68" s="19"/>
      <c r="AM68" s="9" t="s">
        <v>19</v>
      </c>
      <c r="AN68" s="10">
        <f t="shared" ref="AN68:AP68" si="83">D68+K68+R68+Y68+AF68</f>
        <v>0</v>
      </c>
      <c r="AO68" s="10">
        <f t="shared" si="83"/>
        <v>0</v>
      </c>
      <c r="AP68" s="10">
        <f t="shared" si="83"/>
        <v>0</v>
      </c>
      <c r="AQ68" s="11">
        <f t="shared" si="78"/>
        <v>0</v>
      </c>
    </row>
    <row r="69">
      <c r="A69" s="19"/>
      <c r="B69" s="19"/>
      <c r="C69" s="26" t="s">
        <v>21</v>
      </c>
      <c r="D69" s="10"/>
      <c r="E69" s="10"/>
      <c r="F69" s="10"/>
      <c r="G69" s="10"/>
      <c r="H69" s="11"/>
      <c r="I69" s="19"/>
      <c r="J69" s="26" t="s">
        <v>21</v>
      </c>
      <c r="K69" s="10"/>
      <c r="L69" s="10"/>
      <c r="M69" s="10"/>
      <c r="N69" s="310"/>
      <c r="O69" s="11"/>
      <c r="P69" s="19"/>
      <c r="Q69" s="293" t="s">
        <v>21</v>
      </c>
      <c r="R69" s="288"/>
      <c r="S69" s="288"/>
      <c r="T69" s="288"/>
      <c r="U69" s="288"/>
      <c r="V69" s="289"/>
      <c r="W69" s="19"/>
      <c r="X69" s="26" t="s">
        <v>21</v>
      </c>
      <c r="Y69" s="10"/>
      <c r="Z69" s="10"/>
      <c r="AA69" s="10"/>
      <c r="AB69" s="10"/>
      <c r="AC69" s="11"/>
      <c r="AD69" s="19"/>
      <c r="AE69" s="26" t="s">
        <v>21</v>
      </c>
      <c r="AF69" s="10"/>
      <c r="AG69" s="10"/>
      <c r="AH69" s="10"/>
      <c r="AI69" s="310"/>
      <c r="AJ69" s="11"/>
      <c r="AL69" s="19"/>
      <c r="AM69" s="26" t="s">
        <v>21</v>
      </c>
      <c r="AN69" s="10">
        <f t="shared" ref="AN69:AP69" si="84">D69+K69+R69+Y69+AF69</f>
        <v>0</v>
      </c>
      <c r="AO69" s="10">
        <f t="shared" si="84"/>
        <v>0</v>
      </c>
      <c r="AP69" s="10">
        <f t="shared" si="84"/>
        <v>0</v>
      </c>
      <c r="AQ69" s="11">
        <f t="shared" si="78"/>
        <v>0</v>
      </c>
    </row>
    <row r="70">
      <c r="A70" s="19"/>
      <c r="B70" s="19"/>
      <c r="C70" s="28" t="s">
        <v>23</v>
      </c>
      <c r="D70" s="61">
        <f t="shared" ref="D70:H70" si="85">D62+D63+D64+D65+D66+D67+D68+D69</f>
        <v>0</v>
      </c>
      <c r="E70" s="30">
        <f t="shared" si="85"/>
        <v>0</v>
      </c>
      <c r="F70" s="36">
        <f t="shared" si="85"/>
        <v>0</v>
      </c>
      <c r="G70" s="40">
        <f t="shared" si="85"/>
        <v>0</v>
      </c>
      <c r="H70" s="33">
        <f t="shared" si="85"/>
        <v>0</v>
      </c>
      <c r="I70" s="19"/>
      <c r="J70" s="28" t="s">
        <v>23</v>
      </c>
      <c r="K70" s="61">
        <f t="shared" ref="K70:O70" si="86">K62+K63+K64+K65+K66+K67+K68+K69</f>
        <v>0</v>
      </c>
      <c r="L70" s="30">
        <f t="shared" si="86"/>
        <v>0</v>
      </c>
      <c r="M70" s="36">
        <f t="shared" si="86"/>
        <v>0</v>
      </c>
      <c r="N70" s="40">
        <f t="shared" si="86"/>
        <v>0</v>
      </c>
      <c r="O70" s="38">
        <f t="shared" si="86"/>
        <v>0</v>
      </c>
      <c r="P70" s="19"/>
      <c r="Q70" s="28" t="s">
        <v>23</v>
      </c>
      <c r="R70" s="29">
        <f t="shared" ref="R70:V70" si="87">R62+R63+R64+R65+R66+R67+R68+R69</f>
        <v>0</v>
      </c>
      <c r="S70" s="30">
        <f t="shared" si="87"/>
        <v>0</v>
      </c>
      <c r="T70" s="31">
        <f t="shared" si="87"/>
        <v>0</v>
      </c>
      <c r="U70" s="37">
        <f t="shared" si="87"/>
        <v>0</v>
      </c>
      <c r="V70" s="33">
        <f t="shared" si="87"/>
        <v>0</v>
      </c>
      <c r="W70" s="19"/>
      <c r="X70" s="28" t="s">
        <v>23</v>
      </c>
      <c r="Y70" s="318">
        <f t="shared" ref="Y70:AC70" si="88">Y62+Y63+Y64+Y65+Y66+Y67+Y68+Y69</f>
        <v>0</v>
      </c>
      <c r="Z70" s="30">
        <f t="shared" si="88"/>
        <v>0</v>
      </c>
      <c r="AA70" s="31">
        <f t="shared" si="88"/>
        <v>0</v>
      </c>
      <c r="AB70" s="37">
        <f t="shared" si="88"/>
        <v>0</v>
      </c>
      <c r="AC70" s="33">
        <f t="shared" si="88"/>
        <v>0</v>
      </c>
      <c r="AD70" s="19"/>
      <c r="AE70" s="28" t="s">
        <v>23</v>
      </c>
      <c r="AF70" s="29">
        <f t="shared" ref="AF70:AJ70" si="89">AF62+AF63+AF64+AF65+AF66+AF67+AF68+AF69</f>
        <v>0</v>
      </c>
      <c r="AG70" s="30">
        <f t="shared" si="89"/>
        <v>0</v>
      </c>
      <c r="AH70" s="31">
        <f t="shared" si="89"/>
        <v>0</v>
      </c>
      <c r="AI70" s="37">
        <f t="shared" si="89"/>
        <v>0</v>
      </c>
      <c r="AJ70" s="33">
        <f t="shared" si="89"/>
        <v>0</v>
      </c>
      <c r="AL70" s="19"/>
      <c r="AM70" s="28" t="s">
        <v>23</v>
      </c>
      <c r="AN70" s="41">
        <f t="shared" ref="AN70:AQ70" si="90">AN62+AN63+AN64+AN65+AN66+AN67+AN68+AN69</f>
        <v>0</v>
      </c>
      <c r="AO70" s="42">
        <f t="shared" si="90"/>
        <v>0</v>
      </c>
      <c r="AP70" s="43">
        <f t="shared" si="90"/>
        <v>0</v>
      </c>
      <c r="AQ70" s="44">
        <f t="shared" si="90"/>
        <v>0</v>
      </c>
    </row>
    <row r="71" hidden="1">
      <c r="A71" s="19"/>
      <c r="B71" s="19"/>
      <c r="C71" s="45" t="s">
        <v>24</v>
      </c>
      <c r="D71" s="50">
        <f>D70-E70</f>
        <v>0</v>
      </c>
      <c r="E71" s="47"/>
      <c r="F71" s="48"/>
      <c r="G71" s="51"/>
      <c r="H71" s="51"/>
      <c r="I71" s="19"/>
      <c r="J71" s="45" t="s">
        <v>24</v>
      </c>
      <c r="K71" s="50">
        <f>K70-L70</f>
        <v>0</v>
      </c>
      <c r="L71" s="47"/>
      <c r="M71" s="48"/>
      <c r="N71" s="51"/>
      <c r="O71" s="51"/>
      <c r="P71" s="19"/>
      <c r="Q71" s="45" t="s">
        <v>24</v>
      </c>
      <c r="R71" s="50">
        <f>R70-S70</f>
        <v>0</v>
      </c>
      <c r="S71" s="47"/>
      <c r="T71" s="48"/>
      <c r="U71" s="51"/>
      <c r="V71" s="51"/>
      <c r="W71" s="19"/>
      <c r="X71" s="45" t="s">
        <v>24</v>
      </c>
      <c r="Y71" s="50">
        <f>Y70-Z70</f>
        <v>0</v>
      </c>
      <c r="Z71" s="47"/>
      <c r="AA71" s="48"/>
      <c r="AB71" s="51"/>
      <c r="AC71" s="51"/>
      <c r="AD71" s="19"/>
      <c r="AE71" s="45" t="s">
        <v>24</v>
      </c>
      <c r="AF71" s="50">
        <f>AF70-AG70</f>
        <v>0</v>
      </c>
      <c r="AG71" s="47"/>
      <c r="AH71" s="48"/>
      <c r="AI71" s="51"/>
      <c r="AJ71" s="51"/>
      <c r="AL71" s="53"/>
      <c r="AM71" s="45" t="s">
        <v>25</v>
      </c>
      <c r="AN71" s="50">
        <f>AN70-AO70</f>
        <v>0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0</v>
      </c>
      <c r="E72" s="47"/>
      <c r="F72" s="48"/>
      <c r="G72" s="59"/>
      <c r="H72" s="51"/>
      <c r="I72" s="53"/>
      <c r="J72" s="56" t="s">
        <v>26</v>
      </c>
      <c r="K72" s="57">
        <f>M70-L70</f>
        <v>0</v>
      </c>
      <c r="L72" s="47"/>
      <c r="M72" s="48"/>
      <c r="N72" s="51"/>
      <c r="O72" s="51"/>
      <c r="P72" s="53"/>
      <c r="Q72" s="56" t="s">
        <v>26</v>
      </c>
      <c r="R72" s="57">
        <f>T70-S70</f>
        <v>0</v>
      </c>
      <c r="S72" s="47"/>
      <c r="T72" s="48"/>
      <c r="U72" s="51"/>
      <c r="V72" s="51"/>
      <c r="W72" s="53"/>
      <c r="X72" s="56" t="s">
        <v>26</v>
      </c>
      <c r="Y72" s="57">
        <f>AA70-Z70</f>
        <v>0</v>
      </c>
      <c r="Z72" s="47"/>
      <c r="AA72" s="48"/>
      <c r="AB72" s="59"/>
      <c r="AC72" s="51"/>
      <c r="AD72" s="53"/>
      <c r="AE72" s="56" t="s">
        <v>26</v>
      </c>
      <c r="AF72" s="57">
        <f>AH70-AG70</f>
        <v>0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45963.0</v>
      </c>
      <c r="C74" s="9" t="s">
        <v>10</v>
      </c>
      <c r="D74" s="10"/>
      <c r="E74" s="10"/>
      <c r="F74" s="10"/>
      <c r="G74" s="10"/>
      <c r="H74" s="11"/>
      <c r="I74" s="12">
        <v>45970.0</v>
      </c>
      <c r="J74" s="9"/>
      <c r="K74" s="10"/>
      <c r="L74" s="10"/>
      <c r="M74" s="10"/>
      <c r="N74" s="10"/>
      <c r="O74" s="11"/>
      <c r="P74" s="8">
        <v>45977.0</v>
      </c>
      <c r="Q74" s="9"/>
      <c r="R74" s="10"/>
      <c r="S74" s="10"/>
      <c r="T74" s="10"/>
      <c r="U74" s="10"/>
      <c r="V74" s="11"/>
      <c r="W74" s="8">
        <v>45984.0</v>
      </c>
      <c r="X74" s="9"/>
      <c r="Y74" s="10"/>
      <c r="Z74" s="10"/>
      <c r="AA74" s="10"/>
      <c r="AB74" s="10"/>
      <c r="AC74" s="11"/>
      <c r="AD74" s="12">
        <v>45991.0</v>
      </c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/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314" t="s">
        <v>276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/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/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/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/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/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22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1">D81+K81+R81+Y81+AF81</f>
        <v>0</v>
      </c>
      <c r="AO81" s="10">
        <f t="shared" si="91"/>
        <v>0</v>
      </c>
      <c r="AP81" s="10">
        <f t="shared" si="91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2">D74+D75+D76+D77+D78+D79+D80+D81</f>
        <v>0</v>
      </c>
      <c r="E82" s="30">
        <f t="shared" si="92"/>
        <v>0</v>
      </c>
      <c r="F82" s="31">
        <f t="shared" si="92"/>
        <v>0</v>
      </c>
      <c r="G82" s="32">
        <f t="shared" si="92"/>
        <v>0</v>
      </c>
      <c r="H82" s="33">
        <f t="shared" si="92"/>
        <v>0</v>
      </c>
      <c r="I82" s="19"/>
      <c r="J82" s="28" t="s">
        <v>23</v>
      </c>
      <c r="K82" s="29">
        <f t="shared" ref="K82:O82" si="93">K74+K75+K76+K77+K78+K79+K80+K81</f>
        <v>0</v>
      </c>
      <c r="L82" s="30">
        <f t="shared" si="93"/>
        <v>0</v>
      </c>
      <c r="M82" s="31">
        <f t="shared" si="93"/>
        <v>0</v>
      </c>
      <c r="N82" s="32">
        <f t="shared" si="93"/>
        <v>0</v>
      </c>
      <c r="O82" s="33">
        <f t="shared" si="93"/>
        <v>0</v>
      </c>
      <c r="P82" s="19"/>
      <c r="Q82" s="28" t="s">
        <v>23</v>
      </c>
      <c r="R82" s="29">
        <f t="shared" ref="R82:V82" si="94">R74+R75+R76+R77+R78+R79+R80+R81</f>
        <v>0</v>
      </c>
      <c r="S82" s="30">
        <f t="shared" si="94"/>
        <v>0</v>
      </c>
      <c r="T82" s="31">
        <f t="shared" si="94"/>
        <v>0</v>
      </c>
      <c r="U82" s="32">
        <f t="shared" si="94"/>
        <v>0</v>
      </c>
      <c r="V82" s="33">
        <f t="shared" si="94"/>
        <v>0</v>
      </c>
      <c r="W82" s="19"/>
      <c r="X82" s="28" t="s">
        <v>23</v>
      </c>
      <c r="Y82" s="29">
        <f t="shared" ref="Y82:AC82" si="95">Y74+Y75+Y76+Y77+Y78+Y79+Y80+Y81</f>
        <v>0</v>
      </c>
      <c r="Z82" s="30">
        <f t="shared" si="95"/>
        <v>0</v>
      </c>
      <c r="AA82" s="31">
        <f t="shared" si="95"/>
        <v>0</v>
      </c>
      <c r="AB82" s="32">
        <f t="shared" si="95"/>
        <v>0</v>
      </c>
      <c r="AC82" s="33">
        <f t="shared" si="95"/>
        <v>0</v>
      </c>
      <c r="AD82" s="19"/>
      <c r="AE82" s="28" t="s">
        <v>23</v>
      </c>
      <c r="AF82" s="29">
        <f t="shared" ref="AF82:AJ82" si="96">AF74+AF75+AF76+AF77+AF78+AF79+AF80+AF81</f>
        <v>0</v>
      </c>
      <c r="AG82" s="30">
        <f t="shared" si="96"/>
        <v>0</v>
      </c>
      <c r="AH82" s="31">
        <f t="shared" si="96"/>
        <v>0</v>
      </c>
      <c r="AI82" s="32">
        <f t="shared" si="96"/>
        <v>0</v>
      </c>
      <c r="AJ82" s="33">
        <f t="shared" si="96"/>
        <v>0</v>
      </c>
      <c r="AL82" s="19"/>
      <c r="AM82" s="28" t="s">
        <v>23</v>
      </c>
      <c r="AN82" s="41">
        <f t="shared" ref="AN82:AQ82" si="97">AN74+AN75+AN76+AN77+AN78+AN79+AN80+AN81</f>
        <v>0</v>
      </c>
      <c r="AO82" s="42">
        <f t="shared" si="97"/>
        <v>0</v>
      </c>
      <c r="AP82" s="43">
        <f t="shared" si="97"/>
        <v>0</v>
      </c>
      <c r="AQ82" s="44">
        <f t="shared" si="97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44</v>
      </c>
      <c r="D87" s="47"/>
      <c r="E87" s="47"/>
      <c r="F87" s="47"/>
      <c r="G87" s="47"/>
      <c r="H87" s="48"/>
      <c r="I87" s="76"/>
      <c r="J87" s="77" t="s">
        <v>44</v>
      </c>
      <c r="K87" s="47"/>
      <c r="L87" s="47"/>
      <c r="M87" s="47"/>
      <c r="N87" s="47"/>
      <c r="O87" s="48"/>
      <c r="P87" s="76"/>
      <c r="Q87" s="77" t="s">
        <v>44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45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0</v>
      </c>
      <c r="E88" s="47"/>
      <c r="F88" s="47"/>
      <c r="G88" s="47"/>
      <c r="H88" s="48"/>
      <c r="J88" s="9" t="s">
        <v>7</v>
      </c>
      <c r="K88" s="79">
        <f>K10+K22+K34+K46+K58+K70+K82</f>
        <v>0</v>
      </c>
      <c r="L88" s="47"/>
      <c r="M88" s="47"/>
      <c r="N88" s="47"/>
      <c r="O88" s="48"/>
      <c r="Q88" s="9" t="s">
        <v>7</v>
      </c>
      <c r="R88" s="79">
        <f>R10+R22+R34+R46+R58+R70+R82</f>
        <v>0</v>
      </c>
      <c r="S88" s="47"/>
      <c r="T88" s="47"/>
      <c r="U88" s="47"/>
      <c r="V88" s="48"/>
      <c r="X88" s="9" t="s">
        <v>7</v>
      </c>
      <c r="Y88" s="79">
        <f>Y10+Y22+Y34+Y46+Y58+Y70+Y82</f>
        <v>0</v>
      </c>
      <c r="Z88" s="47"/>
      <c r="AA88" s="47"/>
      <c r="AB88" s="47"/>
      <c r="AC88" s="48"/>
      <c r="AE88" s="9" t="s">
        <v>7</v>
      </c>
      <c r="AF88" s="79">
        <f>AF10+AF22+AF34+AF46+AF58+AF70+AF82</f>
        <v>0</v>
      </c>
      <c r="AG88" s="47"/>
      <c r="AH88" s="47"/>
      <c r="AI88" s="47"/>
      <c r="AJ88" s="48"/>
      <c r="AN88" s="55">
        <f t="array" ref="AN88">AN10+AN22+AN34+AN46+AN58+AN70</f>
        <v>0</v>
      </c>
      <c r="AP88" s="55">
        <f t="array" ref="AP88">AP10+AP22+AP34+AP46+AP58+AP70</f>
        <v>0</v>
      </c>
    </row>
    <row r="89">
      <c r="A89" s="78"/>
      <c r="C89" s="9" t="s">
        <v>3</v>
      </c>
      <c r="D89" s="80">
        <f>E10+E22+E34+E46+E58+E70+E82</f>
        <v>0</v>
      </c>
      <c r="E89" s="47"/>
      <c r="F89" s="47"/>
      <c r="G89" s="47"/>
      <c r="H89" s="48"/>
      <c r="J89" s="9" t="s">
        <v>3</v>
      </c>
      <c r="K89" s="80">
        <f>L10+L22+L34+L46+L58+L70+L82</f>
        <v>0</v>
      </c>
      <c r="L89" s="47"/>
      <c r="M89" s="47"/>
      <c r="N89" s="47"/>
      <c r="O89" s="48"/>
      <c r="Q89" s="9" t="s">
        <v>3</v>
      </c>
      <c r="R89" s="80">
        <f>S10+S22+S34+S46+S58+S70+S82</f>
        <v>0</v>
      </c>
      <c r="S89" s="47"/>
      <c r="T89" s="47"/>
      <c r="U89" s="47"/>
      <c r="V89" s="48"/>
      <c r="X89" s="9" t="s">
        <v>3</v>
      </c>
      <c r="Y89" s="80">
        <f>Z10+Z22+Z34+Z46+Z58+Z70+Z82</f>
        <v>0</v>
      </c>
      <c r="Z89" s="47"/>
      <c r="AA89" s="47"/>
      <c r="AB89" s="47"/>
      <c r="AC89" s="48"/>
      <c r="AE89" s="9" t="s">
        <v>3</v>
      </c>
      <c r="AF89" s="80">
        <f>AG10+AG22+AG34+AG46+AG58+AG70+AG82</f>
        <v>0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0</v>
      </c>
      <c r="E90" s="47"/>
      <c r="F90" s="47"/>
      <c r="G90" s="47"/>
      <c r="H90" s="48"/>
      <c r="J90" s="9" t="s">
        <v>46</v>
      </c>
      <c r="K90" s="81">
        <f>M10+M22+M34+M46+M58+M70+M82</f>
        <v>0</v>
      </c>
      <c r="L90" s="47"/>
      <c r="M90" s="47"/>
      <c r="N90" s="47"/>
      <c r="O90" s="48"/>
      <c r="Q90" s="9" t="s">
        <v>46</v>
      </c>
      <c r="R90" s="81">
        <f>T10+T22+T34+T46+T58+T70+T82</f>
        <v>0</v>
      </c>
      <c r="S90" s="47"/>
      <c r="T90" s="47"/>
      <c r="U90" s="47"/>
      <c r="V90" s="48"/>
      <c r="X90" s="9" t="s">
        <v>46</v>
      </c>
      <c r="Y90" s="81">
        <f>AA10+AA22+AA34+AA46+AA58+AA70+AA82</f>
        <v>0</v>
      </c>
      <c r="Z90" s="47"/>
      <c r="AA90" s="47"/>
      <c r="AB90" s="47"/>
      <c r="AC90" s="48"/>
      <c r="AE90" s="9" t="s">
        <v>46</v>
      </c>
      <c r="AF90" s="81">
        <f>AH10+AH22+AH34+AH46+AH58+AH70+AH82</f>
        <v>0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0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0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0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0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0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0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0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0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0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0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0</v>
      </c>
      <c r="E93" s="47"/>
      <c r="F93" s="47"/>
      <c r="G93" s="47"/>
      <c r="H93" s="48"/>
      <c r="J93" s="9" t="s">
        <v>49</v>
      </c>
      <c r="K93" s="84">
        <f t="array" ref="K93">O10+O22+O34+O46+O58+O70+O82</f>
        <v>0</v>
      </c>
      <c r="L93" s="47"/>
      <c r="M93" s="47"/>
      <c r="N93" s="47"/>
      <c r="O93" s="48"/>
      <c r="Q93" s="9" t="s">
        <v>49</v>
      </c>
      <c r="R93" s="84">
        <f t="array" ref="R93">V10+V22+V34+V46+V58+V70+V82</f>
        <v>0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0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0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8">D2+D14+D26+D38+D50+D62</f>
        <v>0</v>
      </c>
      <c r="E98" s="10">
        <f t="shared" si="98"/>
        <v>0</v>
      </c>
      <c r="F98" s="10">
        <f t="shared" si="98"/>
        <v>0</v>
      </c>
      <c r="G98" s="86">
        <f t="shared" ref="G98:G105" si="104">F98-E98</f>
        <v>0</v>
      </c>
      <c r="H98" s="87">
        <f t="shared" ref="H98:H104" si="105">H2+H14+H26+H38+H50+H62</f>
        <v>0</v>
      </c>
      <c r="J98" s="9" t="s">
        <v>10</v>
      </c>
      <c r="K98" s="85">
        <f t="shared" ref="K98:M98" si="99">K2+K14+K26+K38+K50+K62</f>
        <v>0</v>
      </c>
      <c r="L98" s="10">
        <f t="shared" si="99"/>
        <v>0</v>
      </c>
      <c r="M98" s="10">
        <f t="shared" si="99"/>
        <v>0</v>
      </c>
      <c r="N98" s="86">
        <f t="shared" ref="N98:N105" si="107">M98-L98</f>
        <v>0</v>
      </c>
      <c r="O98" s="87">
        <f t="shared" ref="O98:O104" si="108">O2+O14+O26+O38+O50+O62</f>
        <v>0</v>
      </c>
      <c r="Q98" s="9" t="s">
        <v>10</v>
      </c>
      <c r="R98" s="85">
        <f t="shared" ref="R98:T98" si="100">R2+R14+R26+R38+R50+R62</f>
        <v>0</v>
      </c>
      <c r="S98" s="10">
        <f t="shared" si="100"/>
        <v>0</v>
      </c>
      <c r="T98" s="10">
        <f t="shared" si="100"/>
        <v>0</v>
      </c>
      <c r="U98" s="86">
        <f t="shared" ref="U98:U105" si="110">T98-S98</f>
        <v>0</v>
      </c>
      <c r="V98" s="87">
        <f t="shared" ref="V98:V104" si="111">V2+V14+V26+V38+V50+V62</f>
        <v>0</v>
      </c>
      <c r="X98" s="9" t="s">
        <v>10</v>
      </c>
      <c r="Y98" s="85">
        <f t="shared" ref="Y98:AA98" si="101">Y2+Y14+Y26+Y38+Y50+Y62</f>
        <v>0</v>
      </c>
      <c r="Z98" s="10">
        <f t="shared" si="101"/>
        <v>0</v>
      </c>
      <c r="AA98" s="10">
        <f t="shared" si="101"/>
        <v>0</v>
      </c>
      <c r="AB98" s="86">
        <f t="shared" ref="AB98:AB105" si="113">AA98-Z98</f>
        <v>0</v>
      </c>
      <c r="AC98" s="87">
        <f t="shared" ref="AC98:AC104" si="114">AC2+AC14+AC26+AC38+AC50+AC62</f>
        <v>0</v>
      </c>
      <c r="AE98" s="9" t="s">
        <v>10</v>
      </c>
      <c r="AF98" s="85">
        <f t="shared" ref="AF98:AH98" si="102">AF2+AF14+AF26+AF38+AF50+AF62</f>
        <v>0</v>
      </c>
      <c r="AG98" s="10">
        <f t="shared" si="102"/>
        <v>0</v>
      </c>
      <c r="AH98" s="10">
        <f t="shared" si="102"/>
        <v>0</v>
      </c>
      <c r="AI98" s="86">
        <f t="shared" ref="AI98:AI105" si="116">AH98-AG98</f>
        <v>0</v>
      </c>
      <c r="AJ98" s="87">
        <f t="shared" ref="AJ98:AJ104" si="117">AJ2+AJ14+AJ26+AJ38+AJ50+AJ62</f>
        <v>0</v>
      </c>
    </row>
    <row r="99">
      <c r="C99" s="9" t="s">
        <v>12</v>
      </c>
      <c r="D99" s="85">
        <f t="shared" ref="D99:F99" si="103">D3+D15+D27+D39+D51+D63</f>
        <v>0</v>
      </c>
      <c r="E99" s="10">
        <f t="shared" si="103"/>
        <v>0</v>
      </c>
      <c r="F99" s="10">
        <f t="shared" si="103"/>
        <v>0</v>
      </c>
      <c r="G99" s="86">
        <f t="shared" si="104"/>
        <v>0</v>
      </c>
      <c r="H99" s="87">
        <f t="shared" si="105"/>
        <v>0</v>
      </c>
      <c r="J99" s="9" t="s">
        <v>12</v>
      </c>
      <c r="K99" s="85">
        <f t="shared" ref="K99:M99" si="106">K3+K15+K27+K39+K51+K63</f>
        <v>0</v>
      </c>
      <c r="L99" s="10">
        <f t="shared" si="106"/>
        <v>0</v>
      </c>
      <c r="M99" s="10">
        <f t="shared" si="106"/>
        <v>0</v>
      </c>
      <c r="N99" s="86">
        <f t="shared" si="107"/>
        <v>0</v>
      </c>
      <c r="O99" s="87">
        <f t="shared" si="108"/>
        <v>0</v>
      </c>
      <c r="Q99" s="9" t="s">
        <v>12</v>
      </c>
      <c r="R99" s="85">
        <f t="shared" ref="R99:T99" si="109">R3+R15+R27+R39+R51+R63</f>
        <v>0</v>
      </c>
      <c r="S99" s="10">
        <f t="shared" si="109"/>
        <v>0</v>
      </c>
      <c r="T99" s="10">
        <f t="shared" si="109"/>
        <v>0</v>
      </c>
      <c r="U99" s="86">
        <f t="shared" si="110"/>
        <v>0</v>
      </c>
      <c r="V99" s="87">
        <f t="shared" si="111"/>
        <v>0</v>
      </c>
      <c r="X99" s="9" t="s">
        <v>12</v>
      </c>
      <c r="Y99" s="85">
        <f t="shared" ref="Y99:AA99" si="112">Y3+Y15+Y27+Y39+Y51+Y63</f>
        <v>0</v>
      </c>
      <c r="Z99" s="10">
        <f t="shared" si="112"/>
        <v>0</v>
      </c>
      <c r="AA99" s="10">
        <f t="shared" si="112"/>
        <v>0</v>
      </c>
      <c r="AB99" s="86">
        <f t="shared" si="113"/>
        <v>0</v>
      </c>
      <c r="AC99" s="87">
        <f t="shared" si="114"/>
        <v>0</v>
      </c>
      <c r="AE99" s="9" t="s">
        <v>12</v>
      </c>
      <c r="AF99" s="85">
        <f t="shared" ref="AF99:AH99" si="115">AF3+AF15+AF27+AF39+AF51+AF63</f>
        <v>0</v>
      </c>
      <c r="AG99" s="10">
        <f t="shared" si="115"/>
        <v>0</v>
      </c>
      <c r="AH99" s="10">
        <f t="shared" si="115"/>
        <v>0</v>
      </c>
      <c r="AI99" s="86">
        <f t="shared" si="116"/>
        <v>0</v>
      </c>
      <c r="AJ99" s="87">
        <f t="shared" si="117"/>
        <v>0</v>
      </c>
    </row>
    <row r="100">
      <c r="C100" s="9" t="s">
        <v>14</v>
      </c>
      <c r="D100" s="85">
        <f t="shared" ref="D100:F100" si="118">D4+D16+D28+D40+D52+D64</f>
        <v>0</v>
      </c>
      <c r="E100" s="10">
        <f t="shared" si="118"/>
        <v>0</v>
      </c>
      <c r="F100" s="10">
        <f t="shared" si="118"/>
        <v>0</v>
      </c>
      <c r="G100" s="86">
        <f t="shared" si="104"/>
        <v>0</v>
      </c>
      <c r="H100" s="87">
        <f t="shared" si="105"/>
        <v>0</v>
      </c>
      <c r="J100" s="9" t="s">
        <v>14</v>
      </c>
      <c r="K100" s="85">
        <f t="shared" ref="K100:M100" si="119">K4+K16+K28+K40+K52+K64</f>
        <v>0</v>
      </c>
      <c r="L100" s="10">
        <f t="shared" si="119"/>
        <v>0</v>
      </c>
      <c r="M100" s="10">
        <f t="shared" si="119"/>
        <v>0</v>
      </c>
      <c r="N100" s="86">
        <f t="shared" si="107"/>
        <v>0</v>
      </c>
      <c r="O100" s="87">
        <f t="shared" si="108"/>
        <v>0</v>
      </c>
      <c r="Q100" s="9" t="s">
        <v>14</v>
      </c>
      <c r="R100" s="85">
        <f t="shared" ref="R100:T100" si="120">R4+R16+R28+R40+R52+R64</f>
        <v>0</v>
      </c>
      <c r="S100" s="10">
        <f t="shared" si="120"/>
        <v>0</v>
      </c>
      <c r="T100" s="10">
        <f t="shared" si="120"/>
        <v>0</v>
      </c>
      <c r="U100" s="86">
        <f t="shared" si="110"/>
        <v>0</v>
      </c>
      <c r="V100" s="87">
        <f t="shared" si="111"/>
        <v>0</v>
      </c>
      <c r="X100" s="9" t="s">
        <v>14</v>
      </c>
      <c r="Y100" s="85">
        <f t="shared" ref="Y100:AA100" si="121">Y4+Y16+Y28+Y40+Y52+Y64</f>
        <v>0</v>
      </c>
      <c r="Z100" s="10">
        <f t="shared" si="121"/>
        <v>0</v>
      </c>
      <c r="AA100" s="10">
        <f t="shared" si="121"/>
        <v>0</v>
      </c>
      <c r="AB100" s="86">
        <f t="shared" si="113"/>
        <v>0</v>
      </c>
      <c r="AC100" s="87">
        <f t="shared" si="114"/>
        <v>0</v>
      </c>
      <c r="AE100" s="9" t="s">
        <v>14</v>
      </c>
      <c r="AF100" s="85">
        <f t="shared" ref="AF100:AH100" si="122">AF4+AF16+AF28+AF40+AF52+AF64</f>
        <v>0</v>
      </c>
      <c r="AG100" s="10">
        <f t="shared" si="122"/>
        <v>0</v>
      </c>
      <c r="AH100" s="10">
        <f t="shared" si="122"/>
        <v>0</v>
      </c>
      <c r="AI100" s="86">
        <f t="shared" si="116"/>
        <v>0</v>
      </c>
      <c r="AJ100" s="87">
        <f t="shared" si="117"/>
        <v>0</v>
      </c>
    </row>
    <row r="101">
      <c r="C101" s="9" t="s">
        <v>16</v>
      </c>
      <c r="D101" s="85">
        <f t="shared" ref="D101:F101" si="123">D5+D17+D29+D41+D53+D65</f>
        <v>0</v>
      </c>
      <c r="E101" s="10">
        <f t="shared" si="123"/>
        <v>0</v>
      </c>
      <c r="F101" s="10">
        <f t="shared" si="123"/>
        <v>0</v>
      </c>
      <c r="G101" s="86">
        <f t="shared" si="104"/>
        <v>0</v>
      </c>
      <c r="H101" s="87">
        <f t="shared" si="105"/>
        <v>0</v>
      </c>
      <c r="J101" s="9" t="s">
        <v>16</v>
      </c>
      <c r="K101" s="85">
        <f t="shared" ref="K101:M101" si="124">K5+K17+K29+K41+K53+K65</f>
        <v>0</v>
      </c>
      <c r="L101" s="10">
        <f t="shared" si="124"/>
        <v>0</v>
      </c>
      <c r="M101" s="10">
        <f t="shared" si="124"/>
        <v>0</v>
      </c>
      <c r="N101" s="86">
        <f t="shared" si="107"/>
        <v>0</v>
      </c>
      <c r="O101" s="87">
        <f t="shared" si="108"/>
        <v>0</v>
      </c>
      <c r="Q101" s="9" t="s">
        <v>16</v>
      </c>
      <c r="R101" s="85">
        <f t="shared" ref="R101:T101" si="125">R5+R17+R29+R41+R53+R65</f>
        <v>0</v>
      </c>
      <c r="S101" s="10">
        <f t="shared" si="125"/>
        <v>0</v>
      </c>
      <c r="T101" s="10">
        <f t="shared" si="125"/>
        <v>0</v>
      </c>
      <c r="U101" s="86">
        <f t="shared" si="110"/>
        <v>0</v>
      </c>
      <c r="V101" s="87">
        <f t="shared" si="111"/>
        <v>0</v>
      </c>
      <c r="X101" s="9" t="s">
        <v>16</v>
      </c>
      <c r="Y101" s="85">
        <f t="shared" ref="Y101:AA101" si="126">Y5+Y17+Y29+Y41+Y53+Y65</f>
        <v>0</v>
      </c>
      <c r="Z101" s="10">
        <f t="shared" si="126"/>
        <v>0</v>
      </c>
      <c r="AA101" s="10">
        <f t="shared" si="126"/>
        <v>0</v>
      </c>
      <c r="AB101" s="86">
        <f t="shared" si="113"/>
        <v>0</v>
      </c>
      <c r="AC101" s="87">
        <f t="shared" si="114"/>
        <v>0</v>
      </c>
      <c r="AE101" s="9" t="s">
        <v>16</v>
      </c>
      <c r="AF101" s="85">
        <f t="shared" ref="AF101:AH101" si="127">AF5+AF17+AF29+AF41+AF53+AF65</f>
        <v>0</v>
      </c>
      <c r="AG101" s="10">
        <f t="shared" si="127"/>
        <v>0</v>
      </c>
      <c r="AH101" s="10">
        <f t="shared" si="127"/>
        <v>0</v>
      </c>
      <c r="AI101" s="86">
        <f t="shared" si="116"/>
        <v>0</v>
      </c>
      <c r="AJ101" s="87">
        <f t="shared" si="117"/>
        <v>0</v>
      </c>
    </row>
    <row r="102">
      <c r="C102" s="9" t="s">
        <v>17</v>
      </c>
      <c r="D102" s="85">
        <f t="shared" ref="D102:F102" si="128">D6+D18+D30+D42+D54+D66</f>
        <v>0</v>
      </c>
      <c r="E102" s="10">
        <f t="shared" si="128"/>
        <v>0</v>
      </c>
      <c r="F102" s="10">
        <f t="shared" si="128"/>
        <v>0</v>
      </c>
      <c r="G102" s="86">
        <f t="shared" si="104"/>
        <v>0</v>
      </c>
      <c r="H102" s="87">
        <f t="shared" si="105"/>
        <v>0</v>
      </c>
      <c r="J102" s="9" t="s">
        <v>17</v>
      </c>
      <c r="K102" s="85">
        <f t="shared" ref="K102:M102" si="129">K6+K18+K30+K42+K54+K66</f>
        <v>0</v>
      </c>
      <c r="L102" s="10">
        <f t="shared" si="129"/>
        <v>0</v>
      </c>
      <c r="M102" s="10">
        <f t="shared" si="129"/>
        <v>0</v>
      </c>
      <c r="N102" s="86">
        <f t="shared" si="107"/>
        <v>0</v>
      </c>
      <c r="O102" s="87">
        <f t="shared" si="108"/>
        <v>0</v>
      </c>
      <c r="Q102" s="9" t="s">
        <v>17</v>
      </c>
      <c r="R102" s="85">
        <f t="shared" ref="R102:T102" si="130">R6+R18+R30+R42+R54+R66</f>
        <v>0</v>
      </c>
      <c r="S102" s="10">
        <f t="shared" si="130"/>
        <v>0</v>
      </c>
      <c r="T102" s="10">
        <f t="shared" si="130"/>
        <v>0</v>
      </c>
      <c r="U102" s="86">
        <f t="shared" si="110"/>
        <v>0</v>
      </c>
      <c r="V102" s="87">
        <f t="shared" si="111"/>
        <v>0</v>
      </c>
      <c r="X102" s="9" t="s">
        <v>17</v>
      </c>
      <c r="Y102" s="85">
        <f t="shared" ref="Y102:AA102" si="131">Y6+Y18+Y30+Y42+Y54+Y66</f>
        <v>0</v>
      </c>
      <c r="Z102" s="10">
        <f t="shared" si="131"/>
        <v>0</v>
      </c>
      <c r="AA102" s="10">
        <f t="shared" si="131"/>
        <v>0</v>
      </c>
      <c r="AB102" s="86">
        <f t="shared" si="113"/>
        <v>0</v>
      </c>
      <c r="AC102" s="87">
        <f t="shared" si="114"/>
        <v>0</v>
      </c>
      <c r="AE102" s="9" t="s">
        <v>17</v>
      </c>
      <c r="AF102" s="85">
        <f t="shared" ref="AF102:AH102" si="132">AF6+AF18+AF30+AF42+AF54+AF66</f>
        <v>0</v>
      </c>
      <c r="AG102" s="10">
        <f t="shared" si="132"/>
        <v>0</v>
      </c>
      <c r="AH102" s="10">
        <f t="shared" si="132"/>
        <v>0</v>
      </c>
      <c r="AI102" s="86">
        <f t="shared" si="116"/>
        <v>0</v>
      </c>
      <c r="AJ102" s="87">
        <f t="shared" si="117"/>
        <v>0</v>
      </c>
    </row>
    <row r="103">
      <c r="C103" s="9" t="s">
        <v>18</v>
      </c>
      <c r="D103" s="85">
        <f t="shared" ref="D103:F103" si="133">D7+D19+D31+D43+D55+D67</f>
        <v>0</v>
      </c>
      <c r="E103" s="85">
        <f t="shared" si="133"/>
        <v>0</v>
      </c>
      <c r="F103" s="85">
        <f t="shared" si="133"/>
        <v>0</v>
      </c>
      <c r="G103" s="86">
        <f t="shared" si="104"/>
        <v>0</v>
      </c>
      <c r="H103" s="87">
        <f t="shared" si="105"/>
        <v>0</v>
      </c>
      <c r="J103" s="9" t="s">
        <v>18</v>
      </c>
      <c r="K103" s="85">
        <f t="shared" ref="K103:M103" si="134">K7+K19+K31+K43+K55+K67</f>
        <v>0</v>
      </c>
      <c r="L103" s="85">
        <f t="shared" si="134"/>
        <v>0</v>
      </c>
      <c r="M103" s="85">
        <f t="shared" si="134"/>
        <v>0</v>
      </c>
      <c r="N103" s="86">
        <f t="shared" si="107"/>
        <v>0</v>
      </c>
      <c r="O103" s="87">
        <f t="shared" si="108"/>
        <v>0</v>
      </c>
      <c r="Q103" s="9" t="s">
        <v>18</v>
      </c>
      <c r="R103" s="85">
        <f t="shared" ref="R103:T103" si="135">R7+R19+R31+R43+R55+R67</f>
        <v>0</v>
      </c>
      <c r="S103" s="85">
        <f t="shared" si="135"/>
        <v>0</v>
      </c>
      <c r="T103" s="85">
        <f t="shared" si="135"/>
        <v>0</v>
      </c>
      <c r="U103" s="86">
        <f t="shared" si="110"/>
        <v>0</v>
      </c>
      <c r="V103" s="87">
        <f t="shared" si="111"/>
        <v>0</v>
      </c>
      <c r="X103" s="9" t="s">
        <v>18</v>
      </c>
      <c r="Y103" s="85">
        <f t="shared" ref="Y103:AA103" si="136">Y7+Y19+Y31+Y43+Y55+Y67</f>
        <v>0</v>
      </c>
      <c r="Z103" s="85">
        <f t="shared" si="136"/>
        <v>0</v>
      </c>
      <c r="AA103" s="85">
        <f t="shared" si="136"/>
        <v>0</v>
      </c>
      <c r="AB103" s="86">
        <f t="shared" si="113"/>
        <v>0</v>
      </c>
      <c r="AC103" s="87">
        <f t="shared" si="114"/>
        <v>0</v>
      </c>
      <c r="AE103" s="9" t="s">
        <v>18</v>
      </c>
      <c r="AF103" s="85">
        <f t="shared" ref="AF103:AH103" si="137">AF7+AF19+AF31+AF43+AF55+AF67</f>
        <v>0</v>
      </c>
      <c r="AG103" s="85">
        <f t="shared" si="137"/>
        <v>0</v>
      </c>
      <c r="AH103" s="85">
        <f t="shared" si="137"/>
        <v>0</v>
      </c>
      <c r="AI103" s="86">
        <f t="shared" si="116"/>
        <v>0</v>
      </c>
      <c r="AJ103" s="87">
        <f t="shared" si="117"/>
        <v>0</v>
      </c>
    </row>
    <row r="104">
      <c r="C104" s="9" t="s">
        <v>19</v>
      </c>
      <c r="D104" s="85">
        <f t="shared" ref="D104:F104" si="138">D8+D20+D32+D44+D56+D68</f>
        <v>0</v>
      </c>
      <c r="E104" s="10">
        <f t="shared" si="138"/>
        <v>0</v>
      </c>
      <c r="F104" s="10">
        <f t="shared" si="138"/>
        <v>0</v>
      </c>
      <c r="G104" s="86">
        <f t="shared" si="104"/>
        <v>0</v>
      </c>
      <c r="H104" s="87">
        <f t="shared" si="105"/>
        <v>0</v>
      </c>
      <c r="J104" s="9" t="s">
        <v>19</v>
      </c>
      <c r="K104" s="85">
        <f t="shared" ref="K104:M104" si="139">K8+K20+K32+K44+K56+K68</f>
        <v>0</v>
      </c>
      <c r="L104" s="10">
        <f t="shared" si="139"/>
        <v>0</v>
      </c>
      <c r="M104" s="10">
        <f t="shared" si="139"/>
        <v>0</v>
      </c>
      <c r="N104" s="86">
        <f t="shared" si="107"/>
        <v>0</v>
      </c>
      <c r="O104" s="87">
        <f t="shared" si="108"/>
        <v>0</v>
      </c>
      <c r="Q104" s="9" t="s">
        <v>19</v>
      </c>
      <c r="R104" s="85">
        <f t="shared" ref="R104:T104" si="140">R8+R20+R32+R44+R56+R68</f>
        <v>0</v>
      </c>
      <c r="S104" s="10">
        <f t="shared" si="140"/>
        <v>0</v>
      </c>
      <c r="T104" s="10">
        <f t="shared" si="140"/>
        <v>0</v>
      </c>
      <c r="U104" s="86">
        <f t="shared" si="110"/>
        <v>0</v>
      </c>
      <c r="V104" s="87">
        <f t="shared" si="111"/>
        <v>0</v>
      </c>
      <c r="X104" s="9" t="s">
        <v>19</v>
      </c>
      <c r="Y104" s="85">
        <f t="shared" ref="Y104:AA104" si="141">Y8+Y20+Y32+Y44+Y56+Y68</f>
        <v>0</v>
      </c>
      <c r="Z104" s="10">
        <f t="shared" si="141"/>
        <v>0</v>
      </c>
      <c r="AA104" s="10">
        <f t="shared" si="141"/>
        <v>0</v>
      </c>
      <c r="AB104" s="86">
        <f t="shared" si="113"/>
        <v>0</v>
      </c>
      <c r="AC104" s="87">
        <f t="shared" si="114"/>
        <v>0</v>
      </c>
      <c r="AE104" s="9" t="s">
        <v>19</v>
      </c>
      <c r="AF104" s="85">
        <f t="shared" ref="AF104:AH104" si="142">AF8+AF20+AF32+AF44+AF56+AF68</f>
        <v>0</v>
      </c>
      <c r="AG104" s="10">
        <f t="shared" si="142"/>
        <v>0</v>
      </c>
      <c r="AH104" s="10">
        <f t="shared" si="142"/>
        <v>0</v>
      </c>
      <c r="AI104" s="86">
        <f t="shared" si="116"/>
        <v>0</v>
      </c>
      <c r="AJ104" s="87">
        <f t="shared" si="117"/>
        <v>0</v>
      </c>
    </row>
    <row r="105">
      <c r="C105" s="26" t="s">
        <v>21</v>
      </c>
      <c r="D105" s="85">
        <f t="shared" ref="D105:F105" si="143">D9+D21+D33+D45+D57+D69+D81</f>
        <v>0</v>
      </c>
      <c r="E105" s="10">
        <f t="shared" si="143"/>
        <v>0</v>
      </c>
      <c r="F105" s="10">
        <f t="shared" si="143"/>
        <v>0</v>
      </c>
      <c r="G105" s="86">
        <f t="shared" si="104"/>
        <v>0</v>
      </c>
      <c r="H105" s="87">
        <f>H9+H21+H33+H45+H57+H69+H81</f>
        <v>0</v>
      </c>
      <c r="J105" s="26" t="s">
        <v>21</v>
      </c>
      <c r="K105" s="85">
        <f t="shared" ref="K105:M105" si="144">K9+K21+K33+K45+K57+K69+K81</f>
        <v>0</v>
      </c>
      <c r="L105" s="10">
        <f t="shared" si="144"/>
        <v>0</v>
      </c>
      <c r="M105" s="10">
        <f t="shared" si="144"/>
        <v>0</v>
      </c>
      <c r="N105" s="86">
        <f t="shared" si="107"/>
        <v>0</v>
      </c>
      <c r="O105" s="87">
        <f>O9+O21+O33+O45+O57+O69+O81</f>
        <v>0</v>
      </c>
      <c r="Q105" s="26" t="s">
        <v>21</v>
      </c>
      <c r="R105" s="85">
        <f t="shared" ref="R105:T105" si="145">R9+R21+R33+R45+R57+R69+R81</f>
        <v>0</v>
      </c>
      <c r="S105" s="10">
        <f t="shared" si="145"/>
        <v>0</v>
      </c>
      <c r="T105" s="10">
        <f t="shared" si="145"/>
        <v>0</v>
      </c>
      <c r="U105" s="86">
        <f t="shared" si="110"/>
        <v>0</v>
      </c>
      <c r="V105" s="87">
        <f>V9+V21+V33+V45+V57+V69+V81</f>
        <v>0</v>
      </c>
      <c r="X105" s="26" t="s">
        <v>21</v>
      </c>
      <c r="Y105" s="85">
        <f t="shared" ref="Y105:AA105" si="146">Y9+Y21+Y33+Y45+Y57+Y69+Y81</f>
        <v>0</v>
      </c>
      <c r="Z105" s="10">
        <f t="shared" si="146"/>
        <v>0</v>
      </c>
      <c r="AA105" s="10">
        <f t="shared" si="146"/>
        <v>0</v>
      </c>
      <c r="AB105" s="86">
        <f t="shared" si="113"/>
        <v>0</v>
      </c>
      <c r="AC105" s="87">
        <f>AC9+AC21+AC33+AC45+AC57+AC69+AC81</f>
        <v>0</v>
      </c>
      <c r="AE105" s="26" t="s">
        <v>21</v>
      </c>
      <c r="AF105" s="85">
        <f t="shared" ref="AF105:AH105" si="147">AF9+AF21+AF33+AF45+AF57+AF69+AF81</f>
        <v>0</v>
      </c>
      <c r="AG105" s="10">
        <f t="shared" si="147"/>
        <v>0</v>
      </c>
      <c r="AH105" s="10">
        <f t="shared" si="147"/>
        <v>0</v>
      </c>
      <c r="AI105" s="86">
        <f t="shared" si="116"/>
        <v>0</v>
      </c>
      <c r="AJ105" s="87">
        <f>AJ9+AJ21+AJ33+AJ45+AJ57+AJ69+AJ81</f>
        <v>0</v>
      </c>
    </row>
    <row r="106">
      <c r="C106" s="88" t="s">
        <v>57</v>
      </c>
      <c r="D106" s="41">
        <f t="array" ref="D106">D98+D99+D100+D101+D102+D103+D104+D105</f>
        <v>0</v>
      </c>
      <c r="E106" s="42">
        <f t="array" ref="E106">E98+E99+E100+E101+E102+E103+E104+E105</f>
        <v>0</v>
      </c>
      <c r="F106" s="43">
        <f t="array" ref="F106">F98+F99+F100+F101+F102+F103+F104+F105</f>
        <v>0</v>
      </c>
      <c r="G106" s="89">
        <f t="array" ref="G106">G98+G99+G100+G101+G102+G103+G104+G105</f>
        <v>0</v>
      </c>
      <c r="H106" s="44">
        <f t="array" ref="H106">H98+H99+H100+H101+H102+H103+H104+H105</f>
        <v>0</v>
      </c>
      <c r="J106" s="88" t="s">
        <v>57</v>
      </c>
      <c r="K106" s="41">
        <f t="array" ref="K106">K98+K99+K100+K101+K102+K103+K104+K105</f>
        <v>0</v>
      </c>
      <c r="L106" s="42">
        <f t="array" ref="L106">L98+L99+L100+L101+L102+L103+L104+L105</f>
        <v>0</v>
      </c>
      <c r="M106" s="43">
        <f t="array" ref="M106">M98+M99+M100+M101+M102+M103+M104+M105</f>
        <v>0</v>
      </c>
      <c r="N106" s="89">
        <f t="array" ref="N106">N98+N99+N100+N101+N102+N103+N104+N105</f>
        <v>0</v>
      </c>
      <c r="O106" s="44">
        <f t="array" ref="O106">O98+O99+O100+O101+O102+O103+O104+O105</f>
        <v>0</v>
      </c>
      <c r="Q106" s="88" t="s">
        <v>57</v>
      </c>
      <c r="R106" s="41">
        <f t="array" ref="R106">R98+R99+R100+R101+R102+R103+R104+R105</f>
        <v>0</v>
      </c>
      <c r="S106" s="42">
        <f t="array" ref="S106">S98+S99+S100+S101+S102+S103+S104+S105</f>
        <v>0</v>
      </c>
      <c r="T106" s="43">
        <f t="array" ref="T106">T98+T99+T100+T101+T102+T103+T104+T105</f>
        <v>0</v>
      </c>
      <c r="U106" s="89">
        <f t="array" ref="U106">U98+U99+U100+U101+U102+U103+U104+U105</f>
        <v>0</v>
      </c>
      <c r="V106" s="44">
        <f t="array" ref="V106">V98+V99+V100+V101+V102+V103+V104+V105</f>
        <v>0</v>
      </c>
      <c r="X106" s="88" t="s">
        <v>57</v>
      </c>
      <c r="Y106" s="41">
        <f t="array" ref="Y106">Y98+Y99+Y100+Y101+Y102+Y103+Y104+Y105</f>
        <v>0</v>
      </c>
      <c r="Z106" s="42">
        <f t="array" ref="Z106">Z98+Z99+Z100+Z101+Z102+Z103+Z104+Z105</f>
        <v>0</v>
      </c>
      <c r="AA106" s="43">
        <f t="array" ref="AA106">AA98+AA99+AA100+AA101+AA102+AA103+AA104+AA105</f>
        <v>0</v>
      </c>
      <c r="AB106" s="89">
        <f t="array" ref="AB106">AB98+AB99+AB100+AB101+AB102+AB103+AB104+AB105</f>
        <v>0</v>
      </c>
      <c r="AC106" s="44">
        <f t="array" ref="AC106">AC98+AC99+AC100+AC101+AC102+AC103+AC104+AC105</f>
        <v>0</v>
      </c>
      <c r="AE106" s="88" t="s">
        <v>57</v>
      </c>
      <c r="AF106" s="41">
        <f t="array" ref="AF106">AF98+AF99+AF100+AF101+AF102+AF103+AF104+AF105</f>
        <v>0</v>
      </c>
      <c r="AG106" s="42">
        <f t="array" ref="AG106">AG98+AG99+AG100+AG101+AG102+AG103+AG104+AG105</f>
        <v>0</v>
      </c>
      <c r="AH106" s="43">
        <f t="array" ref="AH106">AH98+AH99+AH100+AH101+AH102+AH103+AH104+AH105</f>
        <v>0</v>
      </c>
      <c r="AI106" s="89">
        <f t="array" ref="AI106">AI98+AI99+AI100+AI101+AI102+AI103+AI104+AI105</f>
        <v>0</v>
      </c>
      <c r="AJ106" s="44">
        <f t="array" ref="AJ106">AJ98+AJ99+AJ100+AJ101+AJ102+AJ103+AJ104+AJ105</f>
        <v>0</v>
      </c>
    </row>
    <row r="107">
      <c r="A107" s="55"/>
      <c r="B107" s="55"/>
      <c r="C107" s="90" t="s">
        <v>58</v>
      </c>
      <c r="D107" s="91">
        <f t="shared" ref="D107:H107" si="148">D106/6</f>
        <v>0</v>
      </c>
      <c r="E107" s="92">
        <f t="shared" si="148"/>
        <v>0</v>
      </c>
      <c r="F107" s="93">
        <f t="shared" si="148"/>
        <v>0</v>
      </c>
      <c r="G107" s="89">
        <f t="shared" si="148"/>
        <v>0</v>
      </c>
      <c r="H107" s="94">
        <f t="shared" si="148"/>
        <v>0</v>
      </c>
      <c r="I107" s="55"/>
      <c r="J107" s="90" t="s">
        <v>58</v>
      </c>
      <c r="K107" s="91">
        <f t="shared" ref="K107:O107" si="149">K106/6</f>
        <v>0</v>
      </c>
      <c r="L107" s="92">
        <f t="shared" si="149"/>
        <v>0</v>
      </c>
      <c r="M107" s="93">
        <f t="shared" si="149"/>
        <v>0</v>
      </c>
      <c r="N107" s="89">
        <f t="shared" si="149"/>
        <v>0</v>
      </c>
      <c r="O107" s="94">
        <f t="shared" si="149"/>
        <v>0</v>
      </c>
      <c r="P107" s="55"/>
      <c r="Q107" s="90" t="s">
        <v>58</v>
      </c>
      <c r="R107" s="91">
        <f t="shared" ref="R107:V107" si="150">R106/6</f>
        <v>0</v>
      </c>
      <c r="S107" s="92">
        <f t="shared" si="150"/>
        <v>0</v>
      </c>
      <c r="T107" s="93">
        <f t="shared" si="150"/>
        <v>0</v>
      </c>
      <c r="U107" s="89">
        <f t="shared" si="150"/>
        <v>0</v>
      </c>
      <c r="V107" s="94">
        <f t="shared" si="150"/>
        <v>0</v>
      </c>
      <c r="W107" s="55"/>
      <c r="X107" s="90" t="s">
        <v>58</v>
      </c>
      <c r="Y107" s="91">
        <f t="shared" ref="Y107:AC107" si="151">Y106/6</f>
        <v>0</v>
      </c>
      <c r="Z107" s="92">
        <f t="shared" si="151"/>
        <v>0</v>
      </c>
      <c r="AA107" s="93">
        <f t="shared" si="151"/>
        <v>0</v>
      </c>
      <c r="AB107" s="89">
        <f t="shared" si="151"/>
        <v>0</v>
      </c>
      <c r="AC107" s="94">
        <f t="shared" si="151"/>
        <v>0</v>
      </c>
      <c r="AD107" s="55"/>
      <c r="AE107" s="90" t="s">
        <v>58</v>
      </c>
      <c r="AF107" s="91">
        <f t="shared" ref="AF107:AJ107" si="152">AF106/6</f>
        <v>0</v>
      </c>
      <c r="AG107" s="92">
        <f t="shared" si="152"/>
        <v>0</v>
      </c>
      <c r="AH107" s="93">
        <f t="shared" si="152"/>
        <v>0</v>
      </c>
      <c r="AI107" s="89">
        <f t="shared" si="152"/>
        <v>0</v>
      </c>
      <c r="AJ107" s="94">
        <f t="shared" si="152"/>
        <v>0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L124" s="96">
        <v>45989.0</v>
      </c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Q126" s="78" t="s">
        <v>271</v>
      </c>
      <c r="V126" s="55"/>
      <c r="AC126" s="55"/>
      <c r="AJ126" s="55"/>
    </row>
    <row r="127">
      <c r="C127" s="9" t="s">
        <v>10</v>
      </c>
      <c r="D127" s="100">
        <f t="shared" ref="D127:H127" si="153">D98+K98+R98+Y98+AF98</f>
        <v>0</v>
      </c>
      <c r="E127" s="101">
        <f t="shared" si="153"/>
        <v>0</v>
      </c>
      <c r="F127" s="102">
        <f t="shared" si="153"/>
        <v>0</v>
      </c>
      <c r="G127" s="86">
        <f t="shared" si="153"/>
        <v>0</v>
      </c>
      <c r="H127" s="103">
        <f t="shared" si="153"/>
        <v>0</v>
      </c>
      <c r="I127" s="104" t="s">
        <v>71</v>
      </c>
      <c r="J127" s="105">
        <f t="shared" ref="J127:J134" si="155">D98+K98+R98+Y98+AF98</f>
        <v>0</v>
      </c>
      <c r="K127" s="105"/>
      <c r="L127" s="106"/>
      <c r="M127" s="107">
        <f t="shared" ref="M127:M134" si="156">J127/23</f>
        <v>0</v>
      </c>
      <c r="N127" s="107">
        <f t="shared" ref="N127:N134" si="157">(M127*1)+J127</f>
        <v>0</v>
      </c>
      <c r="O127" s="55"/>
      <c r="Q127" s="245">
        <f t="shared" ref="Q127:Q128" si="158">N127-K127</f>
        <v>0</v>
      </c>
      <c r="V127" s="55"/>
      <c r="AC127" s="55"/>
      <c r="AJ127" s="55"/>
    </row>
    <row r="128">
      <c r="C128" s="9" t="s">
        <v>12</v>
      </c>
      <c r="D128" s="100">
        <f t="shared" ref="D128:H128" si="154">D99+K99+R99+Y99+AF99</f>
        <v>0</v>
      </c>
      <c r="E128" s="101">
        <f t="shared" si="154"/>
        <v>0</v>
      </c>
      <c r="F128" s="102">
        <f t="shared" si="154"/>
        <v>0</v>
      </c>
      <c r="G128" s="86">
        <f t="shared" si="154"/>
        <v>0</v>
      </c>
      <c r="H128" s="103">
        <f t="shared" si="154"/>
        <v>0</v>
      </c>
      <c r="I128" s="104" t="s">
        <v>72</v>
      </c>
      <c r="J128" s="105">
        <f t="shared" si="155"/>
        <v>0</v>
      </c>
      <c r="K128" s="105"/>
      <c r="L128" s="9"/>
      <c r="M128" s="107">
        <f t="shared" si="156"/>
        <v>0</v>
      </c>
      <c r="N128" s="107">
        <f t="shared" si="157"/>
        <v>0</v>
      </c>
      <c r="O128" s="55"/>
      <c r="Q128" s="245">
        <f t="shared" si="158"/>
        <v>0</v>
      </c>
      <c r="V128" s="55"/>
      <c r="AC128" s="55"/>
      <c r="AJ128" s="55"/>
    </row>
    <row r="129">
      <c r="C129" s="9" t="s">
        <v>79</v>
      </c>
      <c r="D129" s="100">
        <f t="shared" ref="D129:H129" si="159">D100+K100+R100+Y100+AF100</f>
        <v>0</v>
      </c>
      <c r="E129" s="101">
        <f t="shared" si="159"/>
        <v>0</v>
      </c>
      <c r="F129" s="102">
        <f t="shared" si="159"/>
        <v>0</v>
      </c>
      <c r="G129" s="86">
        <f t="shared" si="159"/>
        <v>0</v>
      </c>
      <c r="H129" s="103">
        <f t="shared" si="159"/>
        <v>0</v>
      </c>
      <c r="I129" s="104" t="s">
        <v>281</v>
      </c>
      <c r="J129" s="105">
        <f t="shared" si="155"/>
        <v>0</v>
      </c>
      <c r="K129" s="105"/>
      <c r="L129" s="9"/>
      <c r="M129" s="107">
        <f t="shared" si="156"/>
        <v>0</v>
      </c>
      <c r="N129" s="107">
        <f t="shared" si="157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60">D101+K101+R101+Y101+AF101</f>
        <v>0</v>
      </c>
      <c r="E130" s="101">
        <f t="shared" si="160"/>
        <v>0</v>
      </c>
      <c r="F130" s="102">
        <f t="shared" si="160"/>
        <v>0</v>
      </c>
      <c r="G130" s="86">
        <f t="shared" si="160"/>
        <v>0</v>
      </c>
      <c r="H130" s="103">
        <f t="shared" si="160"/>
        <v>0</v>
      </c>
      <c r="I130" s="104" t="s">
        <v>74</v>
      </c>
      <c r="J130" s="105">
        <f t="shared" si="155"/>
        <v>0</v>
      </c>
      <c r="K130" s="105"/>
      <c r="L130" s="106"/>
      <c r="M130" s="107">
        <f t="shared" si="156"/>
        <v>0</v>
      </c>
      <c r="N130" s="107">
        <f t="shared" si="157"/>
        <v>0</v>
      </c>
      <c r="O130" s="55"/>
      <c r="Q130" s="245">
        <f>N130-K130</f>
        <v>0</v>
      </c>
      <c r="V130" s="55"/>
      <c r="AC130" s="55"/>
      <c r="AJ130" s="55"/>
    </row>
    <row r="131">
      <c r="C131" s="9" t="s">
        <v>17</v>
      </c>
      <c r="D131" s="100">
        <f t="shared" ref="D131:H131" si="161">D102+K102+R102+Y102+AF102</f>
        <v>0</v>
      </c>
      <c r="E131" s="101">
        <f t="shared" si="161"/>
        <v>0</v>
      </c>
      <c r="F131" s="102">
        <f t="shared" si="161"/>
        <v>0</v>
      </c>
      <c r="G131" s="86">
        <f t="shared" si="161"/>
        <v>0</v>
      </c>
      <c r="H131" s="103">
        <f t="shared" si="161"/>
        <v>0</v>
      </c>
      <c r="I131" s="104" t="s">
        <v>75</v>
      </c>
      <c r="J131" s="105">
        <f t="shared" si="155"/>
        <v>0</v>
      </c>
      <c r="K131" s="105"/>
      <c r="L131" s="9"/>
      <c r="M131" s="107">
        <f t="shared" si="156"/>
        <v>0</v>
      </c>
      <c r="N131" s="107">
        <f t="shared" si="157"/>
        <v>0</v>
      </c>
      <c r="O131" s="55"/>
      <c r="Q131" s="245">
        <f>N131-K131-K129</f>
        <v>0</v>
      </c>
      <c r="V131" s="55"/>
      <c r="AC131" s="55"/>
      <c r="AJ131" s="55"/>
    </row>
    <row r="132">
      <c r="C132" s="9" t="s">
        <v>18</v>
      </c>
      <c r="D132" s="13">
        <f t="shared" ref="D132:H132" si="162">D103+K103+R103+Y103+AF103</f>
        <v>0</v>
      </c>
      <c r="E132" s="21">
        <f t="shared" si="162"/>
        <v>0</v>
      </c>
      <c r="F132" s="17">
        <f t="shared" si="162"/>
        <v>0</v>
      </c>
      <c r="G132" s="16">
        <f t="shared" si="162"/>
        <v>0</v>
      </c>
      <c r="H132" s="109">
        <f t="shared" si="162"/>
        <v>0</v>
      </c>
      <c r="I132" s="104" t="s">
        <v>76</v>
      </c>
      <c r="J132" s="105">
        <f t="shared" si="155"/>
        <v>0</v>
      </c>
      <c r="K132" s="105"/>
      <c r="L132" s="9"/>
      <c r="M132" s="107">
        <f t="shared" si="156"/>
        <v>0</v>
      </c>
      <c r="N132" s="107">
        <f t="shared" si="157"/>
        <v>0</v>
      </c>
      <c r="O132" s="55"/>
      <c r="Q132" s="245">
        <f t="shared" ref="Q132:Q134" si="164">N132-K132</f>
        <v>0</v>
      </c>
      <c r="V132" s="55"/>
      <c r="AC132" s="55"/>
      <c r="AJ132" s="55"/>
    </row>
    <row r="133">
      <c r="C133" s="9" t="s">
        <v>19</v>
      </c>
      <c r="D133" s="100">
        <f t="shared" ref="D133:H133" si="163">D104+K104+R104+Y104+AF104</f>
        <v>0</v>
      </c>
      <c r="E133" s="101">
        <f t="shared" si="163"/>
        <v>0</v>
      </c>
      <c r="F133" s="102">
        <f t="shared" si="163"/>
        <v>0</v>
      </c>
      <c r="G133" s="86">
        <f t="shared" si="163"/>
        <v>0</v>
      </c>
      <c r="H133" s="103">
        <f t="shared" si="163"/>
        <v>0</v>
      </c>
      <c r="I133" s="104" t="s">
        <v>77</v>
      </c>
      <c r="J133" s="105">
        <f t="shared" si="155"/>
        <v>0</v>
      </c>
      <c r="K133" s="105"/>
      <c r="L133" s="106"/>
      <c r="M133" s="107">
        <f t="shared" si="156"/>
        <v>0</v>
      </c>
      <c r="N133" s="107">
        <f t="shared" si="157"/>
        <v>0</v>
      </c>
      <c r="O133" s="55"/>
      <c r="Q133" s="245">
        <f t="shared" si="164"/>
        <v>0</v>
      </c>
      <c r="V133" s="55"/>
      <c r="AC133" s="55"/>
      <c r="AJ133" s="55"/>
    </row>
    <row r="134">
      <c r="C134" s="26" t="s">
        <v>22</v>
      </c>
      <c r="D134" s="100">
        <f t="shared" ref="D134:H134" si="165">D105+K105+R105+Y105+AF105</f>
        <v>0</v>
      </c>
      <c r="E134" s="101">
        <f t="shared" si="165"/>
        <v>0</v>
      </c>
      <c r="F134" s="102">
        <f t="shared" si="165"/>
        <v>0</v>
      </c>
      <c r="G134" s="86">
        <f t="shared" si="165"/>
        <v>0</v>
      </c>
      <c r="H134" s="103">
        <f t="shared" si="165"/>
        <v>0</v>
      </c>
      <c r="I134" s="104" t="s">
        <v>78</v>
      </c>
      <c r="J134" s="105">
        <f t="shared" si="155"/>
        <v>0</v>
      </c>
      <c r="K134" s="105"/>
      <c r="L134" s="106"/>
      <c r="M134" s="107">
        <f t="shared" si="156"/>
        <v>0</v>
      </c>
      <c r="N134" s="107">
        <f t="shared" si="157"/>
        <v>0</v>
      </c>
      <c r="O134" s="55"/>
      <c r="Q134" s="245">
        <f t="shared" si="164"/>
        <v>0</v>
      </c>
      <c r="V134" s="55"/>
      <c r="AC134" s="55"/>
      <c r="AJ134" s="55"/>
    </row>
    <row r="135">
      <c r="C135" s="78"/>
      <c r="I135" s="104" t="s">
        <v>79</v>
      </c>
      <c r="J135" s="105"/>
      <c r="K135" s="105"/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/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/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/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0</v>
      </c>
      <c r="K139" s="112">
        <f>SUM(K127+K128+K129+K130+K131+K132+K133+K134+K135+K136+K137+K138)</f>
        <v>0</v>
      </c>
      <c r="L139" s="113"/>
      <c r="M139" s="112">
        <f t="shared" ref="M139:N139" si="166">SUM(M127+M128+M129+M130+M131+M132+M133+M134)</f>
        <v>0</v>
      </c>
      <c r="N139" s="112">
        <f t="shared" si="166"/>
        <v>0</v>
      </c>
      <c r="O139" s="55"/>
      <c r="Q139" s="245">
        <f>Q127+Q128+Q130+Q131+Q132+Q133+Q134</f>
        <v>0</v>
      </c>
      <c r="R139" s="78" t="s">
        <v>272</v>
      </c>
      <c r="V139" s="55"/>
      <c r="AC139" s="55"/>
      <c r="AJ139" s="55"/>
    </row>
    <row r="140">
      <c r="O140" s="55"/>
      <c r="Q140" s="245">
        <f>K135+K136+K137+K138</f>
        <v>0</v>
      </c>
      <c r="R140" s="78" t="s">
        <v>274</v>
      </c>
      <c r="V140" s="55"/>
      <c r="AC140" s="55"/>
      <c r="AJ140" s="55"/>
    </row>
    <row r="141">
      <c r="O141" s="55"/>
      <c r="Q141" s="245">
        <f>Q139-Q140</f>
        <v>0</v>
      </c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0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0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0</v>
      </c>
      <c r="E144" s="47"/>
      <c r="F144" s="47"/>
      <c r="G144" s="47"/>
      <c r="H144" s="48"/>
      <c r="L144" s="97" t="s">
        <v>87</v>
      </c>
      <c r="M144" s="114">
        <f>J139+(M139*1)</f>
        <v>0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0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0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0</v>
      </c>
      <c r="E147" s="47"/>
      <c r="F147" s="47"/>
      <c r="G147" s="47"/>
      <c r="H147" s="48"/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0</v>
      </c>
      <c r="E148" s="47"/>
      <c r="F148" s="47"/>
      <c r="G148" s="47"/>
      <c r="H148" s="48"/>
      <c r="M148" s="245">
        <f>M144-219000</f>
        <v>-219000</v>
      </c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0</v>
      </c>
      <c r="E151" s="47"/>
      <c r="F151" s="47"/>
      <c r="G151" s="47"/>
      <c r="H151" s="48"/>
      <c r="O151" s="55"/>
      <c r="V151" s="55"/>
      <c r="AC151" s="55"/>
      <c r="AJ151" s="55"/>
    </row>
    <row r="152"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0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0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0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D143:G143/23</f>
        <v>0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29"/>
      <c r="Q203" s="9" t="s">
        <v>10</v>
      </c>
      <c r="R203" s="120"/>
      <c r="S203" s="49"/>
      <c r="T203" s="49"/>
      <c r="U203" s="49"/>
      <c r="V203" s="51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9">
        <v>202.0</v>
      </c>
      <c r="R204" s="122"/>
      <c r="S204" s="49"/>
      <c r="T204" s="49"/>
      <c r="U204" s="49"/>
      <c r="V204" s="51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9">
        <v>213.0</v>
      </c>
      <c r="R205" s="122"/>
      <c r="S205" s="49"/>
      <c r="T205" s="49"/>
      <c r="U205" s="49"/>
      <c r="V205" s="51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9">
        <v>307.0</v>
      </c>
      <c r="R206" s="122"/>
      <c r="S206" s="49"/>
      <c r="T206" s="49"/>
      <c r="U206" s="49"/>
      <c r="V206" s="51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9">
        <v>313.0</v>
      </c>
      <c r="R207" s="122"/>
      <c r="S207" s="49"/>
      <c r="T207" s="49"/>
      <c r="U207" s="49"/>
      <c r="V207" s="51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9" t="s">
        <v>19</v>
      </c>
      <c r="R208" s="122"/>
      <c r="S208" s="49"/>
      <c r="T208" s="49"/>
      <c r="U208" s="49"/>
      <c r="V208" s="51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9" t="s">
        <v>22</v>
      </c>
      <c r="R209" s="123"/>
      <c r="S209" s="48"/>
      <c r="T209" s="120"/>
      <c r="U209" s="49"/>
      <c r="V209" s="51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0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0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4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R209:S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0"/>
    <col customWidth="1" min="2" max="2" width="5.75"/>
    <col customWidth="1" min="3" max="3" width="14.63"/>
    <col customWidth="1" min="4" max="4" width="14.0"/>
    <col customWidth="1" min="6" max="6" width="11.75"/>
    <col customWidth="1" min="7" max="7" width="17.88"/>
    <col customWidth="1" min="8" max="8" width="5.88"/>
    <col customWidth="1" min="9" max="9" width="6.0"/>
    <col customWidth="1" min="10" max="10" width="14.88"/>
    <col customWidth="1" min="14" max="14" width="17.88"/>
    <col customWidth="1" min="15" max="15" width="5.75"/>
    <col customWidth="1" min="16" max="16" width="6.0"/>
    <col customWidth="1" min="17" max="17" width="14.88"/>
    <col customWidth="1" min="21" max="21" width="17.88"/>
    <col customWidth="1" min="22" max="22" width="5.75"/>
    <col customWidth="1" min="23" max="23" width="5.5"/>
    <col customWidth="1" min="24" max="24" width="14.75"/>
    <col customWidth="1" min="28" max="28" width="17.88"/>
    <col customWidth="1" min="29" max="29" width="5.88"/>
    <col customWidth="1" min="30" max="30" width="6.0"/>
    <col customWidth="1" min="31" max="31" width="14.38"/>
    <col customWidth="1" min="35" max="35" width="17.75"/>
    <col customWidth="1" min="36" max="36" width="5.88"/>
    <col customWidth="1" min="37" max="37" width="2.88"/>
    <col customWidth="1" min="38" max="38" width="5.25"/>
    <col customWidth="1" min="43" max="43" width="6.75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0</v>
      </c>
      <c r="J1" s="2" t="s">
        <v>1</v>
      </c>
      <c r="K1" s="4" t="s">
        <v>7</v>
      </c>
      <c r="L1" s="2" t="s">
        <v>3</v>
      </c>
      <c r="M1" s="2" t="s">
        <v>4</v>
      </c>
      <c r="N1" s="2" t="s">
        <v>5</v>
      </c>
      <c r="O1" s="5" t="s">
        <v>6</v>
      </c>
      <c r="P1" s="2" t="s">
        <v>0</v>
      </c>
      <c r="Q1" s="2" t="s">
        <v>1</v>
      </c>
      <c r="R1" s="4" t="s">
        <v>7</v>
      </c>
      <c r="S1" s="2" t="s">
        <v>3</v>
      </c>
      <c r="T1" s="2" t="s">
        <v>4</v>
      </c>
      <c r="U1" s="2" t="s">
        <v>5</v>
      </c>
      <c r="V1" s="5" t="s">
        <v>6</v>
      </c>
      <c r="W1" s="2" t="s">
        <v>0</v>
      </c>
      <c r="X1" s="2" t="s">
        <v>1</v>
      </c>
      <c r="Y1" s="4" t="s">
        <v>7</v>
      </c>
      <c r="Z1" s="2" t="s">
        <v>3</v>
      </c>
      <c r="AA1" s="2" t="s">
        <v>4</v>
      </c>
      <c r="AB1" s="2" t="s">
        <v>5</v>
      </c>
      <c r="AC1" s="5" t="s">
        <v>6</v>
      </c>
      <c r="AD1" s="2" t="s">
        <v>0</v>
      </c>
      <c r="AE1" s="2" t="s">
        <v>1</v>
      </c>
      <c r="AF1" s="4" t="s">
        <v>7</v>
      </c>
      <c r="AG1" s="2" t="s">
        <v>3</v>
      </c>
      <c r="AH1" s="2" t="s">
        <v>4</v>
      </c>
      <c r="AI1" s="2" t="s">
        <v>5</v>
      </c>
      <c r="AJ1" s="5" t="s">
        <v>6</v>
      </c>
      <c r="AM1" s="2" t="s">
        <v>1</v>
      </c>
      <c r="AN1" s="4" t="s">
        <v>7</v>
      </c>
      <c r="AO1" s="2" t="s">
        <v>3</v>
      </c>
      <c r="AP1" s="6" t="s">
        <v>8</v>
      </c>
      <c r="AQ1" s="5" t="s">
        <v>6</v>
      </c>
    </row>
    <row r="2">
      <c r="A2" s="7" t="s">
        <v>9</v>
      </c>
      <c r="B2" s="8">
        <v>45992.0</v>
      </c>
      <c r="C2" s="9" t="s">
        <v>10</v>
      </c>
      <c r="D2" s="10"/>
      <c r="E2" s="10"/>
      <c r="F2" s="10"/>
      <c r="G2" s="10"/>
      <c r="H2" s="11"/>
      <c r="I2" s="12">
        <v>45999.0</v>
      </c>
      <c r="J2" s="9" t="s">
        <v>10</v>
      </c>
      <c r="K2" s="10"/>
      <c r="L2" s="10"/>
      <c r="M2" s="10"/>
      <c r="N2" s="10"/>
      <c r="O2" s="11"/>
      <c r="P2" s="12">
        <v>46006.0</v>
      </c>
      <c r="Q2" s="9" t="s">
        <v>10</v>
      </c>
      <c r="R2" s="10"/>
      <c r="S2" s="10"/>
      <c r="T2" s="10"/>
      <c r="U2" s="10"/>
      <c r="V2" s="11"/>
      <c r="W2" s="8">
        <v>46013.0</v>
      </c>
      <c r="X2" s="9" t="s">
        <v>10</v>
      </c>
      <c r="Y2" s="10"/>
      <c r="Z2" s="10"/>
      <c r="AA2" s="10"/>
      <c r="AB2" s="10"/>
      <c r="AC2" s="11"/>
      <c r="AD2" s="8">
        <v>46020.0</v>
      </c>
      <c r="AE2" s="9" t="s">
        <v>10</v>
      </c>
      <c r="AF2" s="10"/>
      <c r="AG2" s="10"/>
      <c r="AH2" s="10"/>
      <c r="AI2" s="10"/>
      <c r="AJ2" s="11"/>
      <c r="AL2" s="18" t="s">
        <v>11</v>
      </c>
      <c r="AM2" s="9" t="s">
        <v>10</v>
      </c>
      <c r="AN2" s="10">
        <f t="shared" ref="AN2:AP2" si="1">D2+K2+R2+Y2+AF2</f>
        <v>0</v>
      </c>
      <c r="AO2" s="10">
        <f t="shared" si="1"/>
        <v>0</v>
      </c>
      <c r="AP2" s="10">
        <f t="shared" si="1"/>
        <v>0</v>
      </c>
      <c r="AQ2" s="11">
        <f t="shared" ref="AQ2:AQ9" si="3">H2+O2+V2+AC2+AJ2</f>
        <v>0</v>
      </c>
    </row>
    <row r="3">
      <c r="B3" s="19"/>
      <c r="C3" s="9" t="s">
        <v>12</v>
      </c>
      <c r="D3" s="10"/>
      <c r="E3" s="10"/>
      <c r="F3" s="10"/>
      <c r="G3" s="10"/>
      <c r="H3" s="11"/>
      <c r="I3" s="19"/>
      <c r="J3" s="9" t="s">
        <v>12</v>
      </c>
      <c r="K3" s="10"/>
      <c r="L3" s="10"/>
      <c r="M3" s="10"/>
      <c r="N3" s="10"/>
      <c r="O3" s="11"/>
      <c r="P3" s="19"/>
      <c r="Q3" s="9" t="s">
        <v>12</v>
      </c>
      <c r="R3" s="10"/>
      <c r="S3" s="10"/>
      <c r="T3" s="10"/>
      <c r="U3" s="10"/>
      <c r="V3" s="11"/>
      <c r="W3" s="19"/>
      <c r="X3" s="9" t="s">
        <v>12</v>
      </c>
      <c r="Y3" s="10"/>
      <c r="Z3" s="10"/>
      <c r="AA3" s="10"/>
      <c r="AB3" s="10"/>
      <c r="AC3" s="11"/>
      <c r="AD3" s="19"/>
      <c r="AE3" s="9" t="s">
        <v>12</v>
      </c>
      <c r="AF3" s="10"/>
      <c r="AG3" s="10"/>
      <c r="AH3" s="10"/>
      <c r="AI3" s="10"/>
      <c r="AJ3" s="11"/>
      <c r="AL3" s="19"/>
      <c r="AM3" s="9" t="s">
        <v>12</v>
      </c>
      <c r="AN3" s="10">
        <f t="shared" ref="AN3:AP3" si="2">D3+K3+R3+Y3+AF3</f>
        <v>0</v>
      </c>
      <c r="AO3" s="10">
        <f t="shared" si="2"/>
        <v>0</v>
      </c>
      <c r="AP3" s="10">
        <f t="shared" si="2"/>
        <v>0</v>
      </c>
      <c r="AQ3" s="11">
        <f t="shared" si="3"/>
        <v>0</v>
      </c>
    </row>
    <row r="4">
      <c r="B4" s="19"/>
      <c r="C4" s="314" t="s">
        <v>276</v>
      </c>
      <c r="D4" s="10"/>
      <c r="E4" s="10"/>
      <c r="F4" s="10"/>
      <c r="G4" s="10"/>
      <c r="H4" s="11"/>
      <c r="I4" s="19"/>
      <c r="J4" s="9" t="s">
        <v>276</v>
      </c>
      <c r="K4" s="291"/>
      <c r="L4" s="10"/>
      <c r="M4" s="10"/>
      <c r="N4" s="10"/>
      <c r="O4" s="11"/>
      <c r="P4" s="19"/>
      <c r="Q4" s="9" t="s">
        <v>276</v>
      </c>
      <c r="R4" s="10"/>
      <c r="S4" s="10"/>
      <c r="T4" s="10"/>
      <c r="U4" s="10"/>
      <c r="V4" s="11"/>
      <c r="W4" s="19"/>
      <c r="X4" s="314" t="s">
        <v>276</v>
      </c>
      <c r="Y4" s="10"/>
      <c r="Z4" s="10"/>
      <c r="AA4" s="10"/>
      <c r="AB4" s="10"/>
      <c r="AC4" s="11"/>
      <c r="AD4" s="19"/>
      <c r="AE4" s="314" t="s">
        <v>276</v>
      </c>
      <c r="AF4" s="10"/>
      <c r="AG4" s="10"/>
      <c r="AH4" s="10"/>
      <c r="AI4" s="10"/>
      <c r="AJ4" s="11"/>
      <c r="AL4" s="19"/>
      <c r="AM4" s="9" t="s">
        <v>14</v>
      </c>
      <c r="AN4" s="10">
        <f t="shared" ref="AN4:AP4" si="4">D4+K4+R4+Y4+AF4</f>
        <v>0</v>
      </c>
      <c r="AO4" s="10">
        <f t="shared" si="4"/>
        <v>0</v>
      </c>
      <c r="AP4" s="10">
        <f t="shared" si="4"/>
        <v>0</v>
      </c>
      <c r="AQ4" s="11">
        <f t="shared" si="3"/>
        <v>0</v>
      </c>
    </row>
    <row r="5">
      <c r="B5" s="19"/>
      <c r="C5" s="9" t="s">
        <v>15</v>
      </c>
      <c r="D5" s="10"/>
      <c r="E5" s="10"/>
      <c r="F5" s="10"/>
      <c r="G5" s="310"/>
      <c r="H5" s="11"/>
      <c r="I5" s="19"/>
      <c r="J5" s="9" t="s">
        <v>16</v>
      </c>
      <c r="K5" s="10"/>
      <c r="L5" s="10"/>
      <c r="M5" s="10"/>
      <c r="N5" s="10"/>
      <c r="O5" s="11"/>
      <c r="P5" s="19"/>
      <c r="Q5" s="9" t="s">
        <v>16</v>
      </c>
      <c r="R5" s="10"/>
      <c r="S5" s="10"/>
      <c r="T5" s="10"/>
      <c r="U5" s="10"/>
      <c r="V5" s="163"/>
      <c r="W5" s="19"/>
      <c r="X5" s="9" t="s">
        <v>283</v>
      </c>
      <c r="Y5" s="10"/>
      <c r="Z5" s="10"/>
      <c r="AA5" s="10"/>
      <c r="AB5" s="10"/>
      <c r="AC5" s="163"/>
      <c r="AD5" s="19"/>
      <c r="AE5" s="9" t="s">
        <v>16</v>
      </c>
      <c r="AF5" s="10"/>
      <c r="AG5" s="10"/>
      <c r="AH5" s="10"/>
      <c r="AI5" s="10"/>
      <c r="AJ5" s="11"/>
      <c r="AL5" s="19"/>
      <c r="AM5" s="9" t="s">
        <v>16</v>
      </c>
      <c r="AN5" s="10">
        <f t="shared" ref="AN5:AP5" si="5">D5+K5+R5+Y5+AF5</f>
        <v>0</v>
      </c>
      <c r="AO5" s="10">
        <f t="shared" si="5"/>
        <v>0</v>
      </c>
      <c r="AP5" s="10">
        <f t="shared" si="5"/>
        <v>0</v>
      </c>
      <c r="AQ5" s="11">
        <f t="shared" si="3"/>
        <v>0</v>
      </c>
    </row>
    <row r="6">
      <c r="B6" s="19"/>
      <c r="C6" s="9" t="s">
        <v>17</v>
      </c>
      <c r="D6" s="10"/>
      <c r="E6" s="10"/>
      <c r="F6" s="10"/>
      <c r="G6" s="10"/>
      <c r="H6" s="11"/>
      <c r="I6" s="19"/>
      <c r="J6" s="9" t="s">
        <v>17</v>
      </c>
      <c r="K6" s="10"/>
      <c r="L6" s="10"/>
      <c r="M6" s="10"/>
      <c r="N6" s="10"/>
      <c r="O6" s="11"/>
      <c r="P6" s="19"/>
      <c r="Q6" s="9" t="s">
        <v>17</v>
      </c>
      <c r="R6" s="10"/>
      <c r="S6" s="10"/>
      <c r="T6" s="10"/>
      <c r="U6" s="10"/>
      <c r="V6" s="11"/>
      <c r="W6" s="19"/>
      <c r="X6" s="9" t="s">
        <v>17</v>
      </c>
      <c r="Y6" s="10"/>
      <c r="Z6" s="10"/>
      <c r="AA6" s="10"/>
      <c r="AB6" s="10"/>
      <c r="AC6" s="11"/>
      <c r="AD6" s="19"/>
      <c r="AE6" s="9" t="s">
        <v>17</v>
      </c>
      <c r="AF6" s="10"/>
      <c r="AG6" s="10"/>
      <c r="AH6" s="10"/>
      <c r="AI6" s="10"/>
      <c r="AJ6" s="11"/>
      <c r="AL6" s="19"/>
      <c r="AM6" s="9" t="s">
        <v>17</v>
      </c>
      <c r="AN6" s="10">
        <f t="shared" ref="AN6:AP6" si="6">D6+K6+R6+Y6+AF6</f>
        <v>0</v>
      </c>
      <c r="AO6" s="10">
        <f t="shared" si="6"/>
        <v>0</v>
      </c>
      <c r="AP6" s="10">
        <f t="shared" si="6"/>
        <v>0</v>
      </c>
      <c r="AQ6" s="11">
        <f t="shared" si="3"/>
        <v>0</v>
      </c>
    </row>
    <row r="7">
      <c r="B7" s="19"/>
      <c r="C7" s="9" t="s">
        <v>18</v>
      </c>
      <c r="D7" s="10"/>
      <c r="E7" s="10"/>
      <c r="F7" s="10"/>
      <c r="G7" s="10"/>
      <c r="H7" s="11"/>
      <c r="I7" s="19"/>
      <c r="J7" s="9" t="s">
        <v>18</v>
      </c>
      <c r="K7" s="10"/>
      <c r="L7" s="10"/>
      <c r="M7" s="10"/>
      <c r="N7" s="10"/>
      <c r="O7" s="11"/>
      <c r="P7" s="19"/>
      <c r="Q7" s="9" t="s">
        <v>290</v>
      </c>
      <c r="R7" s="10"/>
      <c r="S7" s="10"/>
      <c r="T7" s="10"/>
      <c r="U7" s="10"/>
      <c r="V7" s="11"/>
      <c r="W7" s="19"/>
      <c r="X7" s="9" t="s">
        <v>18</v>
      </c>
      <c r="Y7" s="10"/>
      <c r="Z7" s="10"/>
      <c r="AA7" s="10"/>
      <c r="AB7" s="10"/>
      <c r="AC7" s="11"/>
      <c r="AD7" s="19"/>
      <c r="AE7" s="9" t="s">
        <v>18</v>
      </c>
      <c r="AF7" s="10"/>
      <c r="AG7" s="10"/>
      <c r="AH7" s="10"/>
      <c r="AI7" s="10"/>
      <c r="AJ7" s="11"/>
      <c r="AL7" s="19"/>
      <c r="AM7" s="9" t="s">
        <v>18</v>
      </c>
      <c r="AN7" s="10">
        <f t="shared" ref="AN7:AP7" si="7">D7+K7+R7+Y7+AF7</f>
        <v>0</v>
      </c>
      <c r="AO7" s="10">
        <f t="shared" si="7"/>
        <v>0</v>
      </c>
      <c r="AP7" s="10">
        <f t="shared" si="7"/>
        <v>0</v>
      </c>
      <c r="AQ7" s="11">
        <f t="shared" si="3"/>
        <v>0</v>
      </c>
    </row>
    <row r="8">
      <c r="B8" s="19"/>
      <c r="C8" s="9" t="s">
        <v>19</v>
      </c>
      <c r="D8" s="10"/>
      <c r="E8" s="10"/>
      <c r="F8" s="10"/>
      <c r="G8" s="10"/>
      <c r="H8" s="11"/>
      <c r="I8" s="19"/>
      <c r="J8" s="9" t="s">
        <v>20</v>
      </c>
      <c r="K8" s="10"/>
      <c r="L8" s="10"/>
      <c r="M8" s="10"/>
      <c r="N8" s="10"/>
      <c r="O8" s="11"/>
      <c r="P8" s="19"/>
      <c r="Q8" s="9" t="s">
        <v>19</v>
      </c>
      <c r="R8" s="10"/>
      <c r="S8" s="10"/>
      <c r="T8" s="10"/>
      <c r="U8" s="10"/>
      <c r="V8" s="11"/>
      <c r="W8" s="19"/>
      <c r="X8" s="9" t="s">
        <v>19</v>
      </c>
      <c r="Y8" s="10"/>
      <c r="Z8" s="10"/>
      <c r="AA8" s="10"/>
      <c r="AB8" s="10"/>
      <c r="AC8" s="11"/>
      <c r="AD8" s="19"/>
      <c r="AE8" s="9" t="s">
        <v>19</v>
      </c>
      <c r="AF8" s="10"/>
      <c r="AG8" s="10"/>
      <c r="AH8" s="10"/>
      <c r="AI8" s="10"/>
      <c r="AJ8" s="11"/>
      <c r="AL8" s="19"/>
      <c r="AM8" s="9" t="s">
        <v>19</v>
      </c>
      <c r="AN8" s="10">
        <f t="shared" ref="AN8:AP8" si="8">D8+K8+R8+Y8+AF8</f>
        <v>0</v>
      </c>
      <c r="AO8" s="10">
        <f t="shared" si="8"/>
        <v>0</v>
      </c>
      <c r="AP8" s="10">
        <f t="shared" si="8"/>
        <v>0</v>
      </c>
      <c r="AQ8" s="11">
        <f t="shared" si="3"/>
        <v>0</v>
      </c>
    </row>
    <row r="9">
      <c r="B9" s="19"/>
      <c r="C9" s="26" t="s">
        <v>21</v>
      </c>
      <c r="D9" s="10"/>
      <c r="E9" s="10"/>
      <c r="F9" s="10"/>
      <c r="G9" s="310"/>
      <c r="H9" s="11"/>
      <c r="I9" s="19"/>
      <c r="J9" s="26" t="s">
        <v>22</v>
      </c>
      <c r="K9" s="10"/>
      <c r="L9" s="10"/>
      <c r="M9" s="10"/>
      <c r="N9" s="10"/>
      <c r="O9" s="11"/>
      <c r="P9" s="19"/>
      <c r="Q9" s="26" t="s">
        <v>21</v>
      </c>
      <c r="R9" s="10"/>
      <c r="S9" s="10"/>
      <c r="T9" s="10"/>
      <c r="U9" s="10"/>
      <c r="V9" s="11"/>
      <c r="W9" s="19"/>
      <c r="X9" s="26" t="s">
        <v>21</v>
      </c>
      <c r="Y9" s="10"/>
      <c r="Z9" s="10"/>
      <c r="AA9" s="10"/>
      <c r="AB9" s="10"/>
      <c r="AC9" s="22"/>
      <c r="AD9" s="19"/>
      <c r="AE9" s="26" t="s">
        <v>21</v>
      </c>
      <c r="AF9" s="10"/>
      <c r="AG9" s="10"/>
      <c r="AH9" s="10"/>
      <c r="AI9" s="10"/>
      <c r="AJ9" s="11"/>
      <c r="AL9" s="19"/>
      <c r="AM9" s="26" t="s">
        <v>21</v>
      </c>
      <c r="AN9" s="10">
        <f t="shared" ref="AN9:AP9" si="9">D9+K9+R9+Y9+AF9</f>
        <v>0</v>
      </c>
      <c r="AO9" s="10">
        <f t="shared" si="9"/>
        <v>0</v>
      </c>
      <c r="AP9" s="10">
        <f t="shared" si="9"/>
        <v>0</v>
      </c>
      <c r="AQ9" s="11">
        <f t="shared" si="3"/>
        <v>0</v>
      </c>
    </row>
    <row r="10">
      <c r="B10" s="19"/>
      <c r="C10" s="28" t="s">
        <v>23</v>
      </c>
      <c r="D10" s="61">
        <f t="shared" ref="D10:H10" si="10">D2+D3+D4+D5+D6+D7+D8+D9</f>
        <v>0</v>
      </c>
      <c r="E10" s="40">
        <f t="shared" si="10"/>
        <v>0</v>
      </c>
      <c r="F10" s="31">
        <f t="shared" si="10"/>
        <v>0</v>
      </c>
      <c r="G10" s="37">
        <f t="shared" si="10"/>
        <v>0</v>
      </c>
      <c r="H10" s="33">
        <f t="shared" si="10"/>
        <v>0</v>
      </c>
      <c r="I10" s="19"/>
      <c r="J10" s="28" t="s">
        <v>23</v>
      </c>
      <c r="K10" s="61">
        <f t="shared" ref="K10:O10" si="11">K2+K3+K4+K5+K6+K7+K8+K9</f>
        <v>0</v>
      </c>
      <c r="L10" s="37">
        <f t="shared" si="11"/>
        <v>0</v>
      </c>
      <c r="M10" s="36">
        <f t="shared" si="11"/>
        <v>0</v>
      </c>
      <c r="N10" s="319">
        <f t="shared" si="11"/>
        <v>0</v>
      </c>
      <c r="O10" s="33">
        <f t="shared" si="11"/>
        <v>0</v>
      </c>
      <c r="P10" s="19"/>
      <c r="Q10" s="28" t="s">
        <v>23</v>
      </c>
      <c r="R10" s="29">
        <f t="shared" ref="R10:V10" si="12">R2+R3+R4+R5+R6+R7+R8+R9</f>
        <v>0</v>
      </c>
      <c r="S10" s="35">
        <f t="shared" si="12"/>
        <v>0</v>
      </c>
      <c r="T10" s="36">
        <f t="shared" si="12"/>
        <v>0</v>
      </c>
      <c r="U10" s="40">
        <f t="shared" si="12"/>
        <v>0</v>
      </c>
      <c r="V10" s="33">
        <f t="shared" si="12"/>
        <v>0</v>
      </c>
      <c r="W10" s="19"/>
      <c r="X10" s="28" t="s">
        <v>23</v>
      </c>
      <c r="Y10" s="29">
        <f t="shared" ref="Y10:AC10" si="13">Y2+Y3+Y4+Y5+Y6+Y7+Y8+Y9</f>
        <v>0</v>
      </c>
      <c r="Z10" s="35">
        <f t="shared" si="13"/>
        <v>0</v>
      </c>
      <c r="AA10" s="36">
        <f t="shared" si="13"/>
        <v>0</v>
      </c>
      <c r="AB10" s="37">
        <f t="shared" si="13"/>
        <v>0</v>
      </c>
      <c r="AC10" s="294">
        <f t="shared" si="13"/>
        <v>0</v>
      </c>
      <c r="AD10" s="19"/>
      <c r="AE10" s="28" t="s">
        <v>23</v>
      </c>
      <c r="AF10" s="61">
        <f t="shared" ref="AF10:AJ10" si="14">AF2+AF3+AF4+AF5+AF6+AF7+AF8+AF9</f>
        <v>0</v>
      </c>
      <c r="AG10" s="40">
        <f t="shared" si="14"/>
        <v>0</v>
      </c>
      <c r="AH10" s="31">
        <f t="shared" si="14"/>
        <v>0</v>
      </c>
      <c r="AI10" s="37">
        <f t="shared" si="14"/>
        <v>0</v>
      </c>
      <c r="AJ10" s="33">
        <f t="shared" si="14"/>
        <v>0</v>
      </c>
      <c r="AL10" s="19"/>
      <c r="AM10" s="28" t="s">
        <v>23</v>
      </c>
      <c r="AN10" s="41">
        <f t="shared" ref="AN10:AQ10" si="15">AN2+AN3+AN4+AN5+AN6+AN7+AN8+AN9</f>
        <v>0</v>
      </c>
      <c r="AO10" s="42">
        <f t="shared" si="15"/>
        <v>0</v>
      </c>
      <c r="AP10" s="43">
        <f t="shared" si="15"/>
        <v>0</v>
      </c>
      <c r="AQ10" s="44">
        <f t="shared" si="15"/>
        <v>0</v>
      </c>
    </row>
    <row r="11" hidden="1">
      <c r="B11" s="19"/>
      <c r="C11" s="45" t="s">
        <v>24</v>
      </c>
      <c r="D11" s="46">
        <f>D10-E10</f>
        <v>0</v>
      </c>
      <c r="E11" s="47"/>
      <c r="F11" s="48"/>
      <c r="G11" s="49"/>
      <c r="H11" s="49"/>
      <c r="I11" s="19"/>
      <c r="J11" s="45" t="s">
        <v>24</v>
      </c>
      <c r="K11" s="50">
        <f>K10-L10</f>
        <v>0</v>
      </c>
      <c r="L11" s="47"/>
      <c r="M11" s="48"/>
      <c r="N11" s="51"/>
      <c r="O11" s="52"/>
      <c r="P11" s="19"/>
      <c r="Q11" s="45" t="s">
        <v>24</v>
      </c>
      <c r="R11" s="50">
        <f>R10-S10</f>
        <v>0</v>
      </c>
      <c r="S11" s="47"/>
      <c r="T11" s="48"/>
      <c r="U11" s="51"/>
      <c r="V11" s="52"/>
      <c r="W11" s="19"/>
      <c r="X11" s="45" t="s">
        <v>24</v>
      </c>
      <c r="Y11" s="50">
        <f>Y10-Z10</f>
        <v>0</v>
      </c>
      <c r="Z11" s="47"/>
      <c r="AA11" s="48"/>
      <c r="AB11" s="51"/>
      <c r="AC11" s="52"/>
      <c r="AD11" s="19"/>
      <c r="AE11" s="45" t="s">
        <v>24</v>
      </c>
      <c r="AF11" s="50">
        <f>AF10-AG10</f>
        <v>0</v>
      </c>
      <c r="AG11" s="47"/>
      <c r="AH11" s="48"/>
      <c r="AI11" s="51"/>
      <c r="AJ11" s="52"/>
      <c r="AL11" s="53"/>
      <c r="AM11" s="45" t="s">
        <v>25</v>
      </c>
      <c r="AN11" s="50">
        <f>AN10-AO10</f>
        <v>0</v>
      </c>
      <c r="AO11" s="48"/>
      <c r="AP11" s="54"/>
      <c r="AQ11" s="55"/>
      <c r="AR11" s="55"/>
      <c r="AS11" s="55"/>
    </row>
    <row r="12" hidden="1">
      <c r="B12" s="53"/>
      <c r="C12" s="56" t="s">
        <v>26</v>
      </c>
      <c r="D12" s="57">
        <f>F10-E10</f>
        <v>0</v>
      </c>
      <c r="E12" s="47"/>
      <c r="F12" s="48"/>
      <c r="G12" s="49"/>
      <c r="H12" s="49"/>
      <c r="I12" s="53"/>
      <c r="J12" s="56" t="s">
        <v>26</v>
      </c>
      <c r="K12" s="57">
        <f>M10-L10</f>
        <v>0</v>
      </c>
      <c r="L12" s="47"/>
      <c r="M12" s="48"/>
      <c r="N12" s="51"/>
      <c r="O12" s="52"/>
      <c r="P12" s="53"/>
      <c r="Q12" s="56" t="s">
        <v>26</v>
      </c>
      <c r="R12" s="57">
        <f>T10-S10</f>
        <v>0</v>
      </c>
      <c r="S12" s="47"/>
      <c r="T12" s="48"/>
      <c r="U12" s="51"/>
      <c r="V12" s="52"/>
      <c r="W12" s="53"/>
      <c r="X12" s="56" t="s">
        <v>26</v>
      </c>
      <c r="Y12" s="57">
        <f>AA10-Z10</f>
        <v>0</v>
      </c>
      <c r="Z12" s="47"/>
      <c r="AA12" s="48"/>
      <c r="AB12" s="51"/>
      <c r="AC12" s="52"/>
      <c r="AD12" s="53"/>
      <c r="AE12" s="56" t="s">
        <v>26</v>
      </c>
      <c r="AF12" s="57">
        <f>AH10-AG10</f>
        <v>0</v>
      </c>
      <c r="AG12" s="47"/>
      <c r="AH12" s="48"/>
      <c r="AI12" s="51"/>
      <c r="AJ12" s="52"/>
      <c r="AL12" s="58"/>
      <c r="AM12" s="45"/>
      <c r="AN12" s="59"/>
      <c r="AO12" s="59"/>
      <c r="AP12" s="54"/>
      <c r="AQ12" s="55"/>
      <c r="AR12" s="55"/>
      <c r="AS12" s="55"/>
    </row>
    <row r="13">
      <c r="A13" s="1"/>
      <c r="B13" s="2" t="s">
        <v>0</v>
      </c>
      <c r="C13" s="2" t="s">
        <v>1</v>
      </c>
      <c r="D13" s="3" t="s">
        <v>2</v>
      </c>
      <c r="E13" s="2" t="s">
        <v>3</v>
      </c>
      <c r="F13" s="2" t="s">
        <v>4</v>
      </c>
      <c r="G13" s="2" t="s">
        <v>5</v>
      </c>
      <c r="H13" s="5" t="s">
        <v>6</v>
      </c>
      <c r="I13" s="2" t="s">
        <v>0</v>
      </c>
      <c r="J13" s="2" t="s">
        <v>1</v>
      </c>
      <c r="K13" s="4" t="s">
        <v>7</v>
      </c>
      <c r="L13" s="2" t="s">
        <v>3</v>
      </c>
      <c r="M13" s="2" t="s">
        <v>4</v>
      </c>
      <c r="N13" s="2" t="s">
        <v>5</v>
      </c>
      <c r="O13" s="5" t="s">
        <v>6</v>
      </c>
      <c r="P13" s="2" t="s">
        <v>0</v>
      </c>
      <c r="Q13" s="2" t="s">
        <v>1</v>
      </c>
      <c r="R13" s="4" t="s">
        <v>7</v>
      </c>
      <c r="S13" s="2" t="s">
        <v>3</v>
      </c>
      <c r="T13" s="2" t="s">
        <v>4</v>
      </c>
      <c r="U13" s="2" t="s">
        <v>5</v>
      </c>
      <c r="V13" s="5" t="s">
        <v>6</v>
      </c>
      <c r="W13" s="2" t="s">
        <v>0</v>
      </c>
      <c r="X13" s="2" t="s">
        <v>1</v>
      </c>
      <c r="Y13" s="4" t="s">
        <v>7</v>
      </c>
      <c r="Z13" s="2" t="s">
        <v>3</v>
      </c>
      <c r="AA13" s="2" t="s">
        <v>4</v>
      </c>
      <c r="AB13" s="2" t="s">
        <v>5</v>
      </c>
      <c r="AC13" s="5" t="s">
        <v>6</v>
      </c>
      <c r="AD13" s="2" t="s">
        <v>0</v>
      </c>
      <c r="AE13" s="2" t="s">
        <v>1</v>
      </c>
      <c r="AF13" s="4" t="s">
        <v>7</v>
      </c>
      <c r="AG13" s="2" t="s">
        <v>3</v>
      </c>
      <c r="AH13" s="2" t="s">
        <v>4</v>
      </c>
      <c r="AI13" s="2" t="s">
        <v>5</v>
      </c>
      <c r="AJ13" s="5" t="s">
        <v>6</v>
      </c>
      <c r="AM13" s="2" t="s">
        <v>1</v>
      </c>
      <c r="AN13" s="4" t="s">
        <v>7</v>
      </c>
      <c r="AO13" s="2" t="s">
        <v>3</v>
      </c>
      <c r="AP13" s="6" t="s">
        <v>8</v>
      </c>
      <c r="AQ13" s="5" t="s">
        <v>6</v>
      </c>
    </row>
    <row r="14">
      <c r="A14" s="60" t="s">
        <v>27</v>
      </c>
      <c r="B14" s="12">
        <v>45993.0</v>
      </c>
      <c r="C14" s="9" t="s">
        <v>10</v>
      </c>
      <c r="D14" s="10"/>
      <c r="E14" s="10"/>
      <c r="F14" s="10"/>
      <c r="G14" s="10"/>
      <c r="H14" s="11"/>
      <c r="I14" s="12">
        <v>46000.0</v>
      </c>
      <c r="J14" s="9" t="s">
        <v>10</v>
      </c>
      <c r="K14" s="10"/>
      <c r="L14" s="10"/>
      <c r="M14" s="10"/>
      <c r="N14" s="10"/>
      <c r="O14" s="11"/>
      <c r="P14" s="8">
        <v>46007.0</v>
      </c>
      <c r="Q14" s="9" t="s">
        <v>10</v>
      </c>
      <c r="R14" s="10"/>
      <c r="S14" s="10"/>
      <c r="T14" s="10"/>
      <c r="U14" s="10"/>
      <c r="V14" s="11"/>
      <c r="W14" s="8">
        <v>46014.0</v>
      </c>
      <c r="X14" s="9" t="s">
        <v>10</v>
      </c>
      <c r="Y14" s="10"/>
      <c r="Z14" s="10"/>
      <c r="AA14" s="10"/>
      <c r="AB14" s="10"/>
      <c r="AC14" s="11"/>
      <c r="AD14" s="8">
        <v>46021.0</v>
      </c>
      <c r="AE14" s="9" t="s">
        <v>10</v>
      </c>
      <c r="AF14" s="10"/>
      <c r="AG14" s="10"/>
      <c r="AH14" s="10"/>
      <c r="AI14" s="10"/>
      <c r="AJ14" s="11"/>
      <c r="AL14" s="18" t="s">
        <v>28</v>
      </c>
      <c r="AM14" s="9" t="s">
        <v>10</v>
      </c>
      <c r="AN14" s="10">
        <f t="shared" ref="AN14:AP14" si="16">D14+K14+R14+Y14+AF14</f>
        <v>0</v>
      </c>
      <c r="AO14" s="10">
        <f t="shared" si="16"/>
        <v>0</v>
      </c>
      <c r="AP14" s="10">
        <f t="shared" si="16"/>
        <v>0</v>
      </c>
      <c r="AQ14" s="11">
        <f t="shared" ref="AQ14:AQ21" si="18">H14+O14+V14+AC14+AJ14</f>
        <v>0</v>
      </c>
    </row>
    <row r="15">
      <c r="A15" s="19"/>
      <c r="B15" s="19"/>
      <c r="C15" s="9" t="s">
        <v>12</v>
      </c>
      <c r="D15" s="10"/>
      <c r="E15" s="10"/>
      <c r="F15" s="10"/>
      <c r="G15" s="10"/>
      <c r="H15" s="11"/>
      <c r="I15" s="19"/>
      <c r="J15" s="9" t="s">
        <v>12</v>
      </c>
      <c r="K15" s="10"/>
      <c r="L15" s="10"/>
      <c r="M15" s="10"/>
      <c r="N15" s="10"/>
      <c r="O15" s="11"/>
      <c r="P15" s="19"/>
      <c r="Q15" s="9" t="s">
        <v>12</v>
      </c>
      <c r="R15" s="10"/>
      <c r="S15" s="10"/>
      <c r="T15" s="10"/>
      <c r="U15" s="10"/>
      <c r="V15" s="11"/>
      <c r="W15" s="19"/>
      <c r="X15" s="9" t="s">
        <v>12</v>
      </c>
      <c r="Y15" s="10"/>
      <c r="Z15" s="10"/>
      <c r="AA15" s="10"/>
      <c r="AB15" s="10"/>
      <c r="AC15" s="11"/>
      <c r="AD15" s="19"/>
      <c r="AE15" s="9" t="s">
        <v>12</v>
      </c>
      <c r="AF15" s="10"/>
      <c r="AG15" s="10"/>
      <c r="AH15" s="10"/>
      <c r="AI15" s="10"/>
      <c r="AJ15" s="11"/>
      <c r="AL15" s="19"/>
      <c r="AM15" s="9" t="s">
        <v>12</v>
      </c>
      <c r="AN15" s="10">
        <f t="shared" ref="AN15:AP15" si="17">D15+K15+R15+Y15+AF15</f>
        <v>0</v>
      </c>
      <c r="AO15" s="10">
        <f t="shared" si="17"/>
        <v>0</v>
      </c>
      <c r="AP15" s="10">
        <f t="shared" si="17"/>
        <v>0</v>
      </c>
      <c r="AQ15" s="11">
        <f t="shared" si="18"/>
        <v>0</v>
      </c>
    </row>
    <row r="16">
      <c r="A16" s="19"/>
      <c r="B16" s="19"/>
      <c r="C16" s="314" t="s">
        <v>276</v>
      </c>
      <c r="D16" s="291"/>
      <c r="E16" s="10"/>
      <c r="F16" s="10"/>
      <c r="G16" s="10"/>
      <c r="H16" s="11"/>
      <c r="I16" s="19"/>
      <c r="J16" s="9" t="s">
        <v>276</v>
      </c>
      <c r="K16" s="291"/>
      <c r="L16" s="10"/>
      <c r="M16" s="10"/>
      <c r="N16" s="10"/>
      <c r="O16" s="11"/>
      <c r="P16" s="19"/>
      <c r="Q16" s="9" t="s">
        <v>276</v>
      </c>
      <c r="R16" s="10"/>
      <c r="S16" s="10"/>
      <c r="T16" s="10"/>
      <c r="U16" s="10"/>
      <c r="V16" s="11"/>
      <c r="W16" s="19"/>
      <c r="X16" s="314" t="s">
        <v>276</v>
      </c>
      <c r="Y16" s="10"/>
      <c r="Z16" s="10"/>
      <c r="AA16" s="10"/>
      <c r="AB16" s="10"/>
      <c r="AC16" s="11"/>
      <c r="AD16" s="19"/>
      <c r="AE16" s="314" t="s">
        <v>276</v>
      </c>
      <c r="AF16" s="10"/>
      <c r="AG16" s="10"/>
      <c r="AH16" s="10"/>
      <c r="AI16" s="10"/>
      <c r="AJ16" s="11"/>
      <c r="AL16" s="19"/>
      <c r="AM16" s="9" t="s">
        <v>14</v>
      </c>
      <c r="AN16" s="10">
        <f t="shared" ref="AN16:AP16" si="19">D16+K16+R16+Y16+AF16</f>
        <v>0</v>
      </c>
      <c r="AO16" s="10">
        <f t="shared" si="19"/>
        <v>0</v>
      </c>
      <c r="AP16" s="10">
        <f t="shared" si="19"/>
        <v>0</v>
      </c>
      <c r="AQ16" s="11">
        <f t="shared" si="18"/>
        <v>0</v>
      </c>
    </row>
    <row r="17">
      <c r="A17" s="19"/>
      <c r="B17" s="19"/>
      <c r="C17" s="9" t="s">
        <v>16</v>
      </c>
      <c r="D17" s="10"/>
      <c r="E17" s="10"/>
      <c r="F17" s="10"/>
      <c r="G17" s="10"/>
      <c r="H17" s="11"/>
      <c r="I17" s="19"/>
      <c r="J17" s="9" t="s">
        <v>16</v>
      </c>
      <c r="K17" s="10"/>
      <c r="L17" s="10"/>
      <c r="M17" s="10"/>
      <c r="N17" s="10"/>
      <c r="O17" s="11"/>
      <c r="P17" s="19"/>
      <c r="Q17" s="9" t="s">
        <v>15</v>
      </c>
      <c r="R17" s="10"/>
      <c r="S17" s="10"/>
      <c r="T17" s="10"/>
      <c r="U17" s="310"/>
      <c r="V17" s="11"/>
      <c r="W17" s="19"/>
      <c r="X17" s="9" t="s">
        <v>16</v>
      </c>
      <c r="Y17" s="10"/>
      <c r="Z17" s="10"/>
      <c r="AA17" s="10"/>
      <c r="AB17" s="10"/>
      <c r="AC17" s="11"/>
      <c r="AD17" s="19"/>
      <c r="AE17" s="9" t="s">
        <v>16</v>
      </c>
      <c r="AF17" s="10"/>
      <c r="AG17" s="10"/>
      <c r="AH17" s="10"/>
      <c r="AI17" s="10"/>
      <c r="AJ17" s="11"/>
      <c r="AL17" s="19"/>
      <c r="AM17" s="9" t="s">
        <v>16</v>
      </c>
      <c r="AN17" s="10">
        <f t="shared" ref="AN17:AP17" si="20">D17+K17+R17+Y17+AF17</f>
        <v>0</v>
      </c>
      <c r="AO17" s="10">
        <f t="shared" si="20"/>
        <v>0</v>
      </c>
      <c r="AP17" s="10">
        <f t="shared" si="20"/>
        <v>0</v>
      </c>
      <c r="AQ17" s="11">
        <f t="shared" si="18"/>
        <v>0</v>
      </c>
    </row>
    <row r="18">
      <c r="A18" s="19"/>
      <c r="B18" s="19"/>
      <c r="C18" s="9" t="s">
        <v>17</v>
      </c>
      <c r="D18" s="10"/>
      <c r="E18" s="10"/>
      <c r="F18" s="10"/>
      <c r="G18" s="10"/>
      <c r="H18" s="11"/>
      <c r="I18" s="19"/>
      <c r="J18" s="9" t="s">
        <v>17</v>
      </c>
      <c r="K18" s="10"/>
      <c r="L18" s="10"/>
      <c r="M18" s="10"/>
      <c r="N18" s="10"/>
      <c r="O18" s="11"/>
      <c r="P18" s="19"/>
      <c r="Q18" s="9" t="s">
        <v>17</v>
      </c>
      <c r="R18" s="10"/>
      <c r="S18" s="10"/>
      <c r="T18" s="10"/>
      <c r="U18" s="10"/>
      <c r="V18" s="11"/>
      <c r="W18" s="19"/>
      <c r="X18" s="9" t="s">
        <v>17</v>
      </c>
      <c r="Y18" s="10"/>
      <c r="Z18" s="10"/>
      <c r="AA18" s="10"/>
      <c r="AB18" s="10"/>
      <c r="AC18" s="11"/>
      <c r="AD18" s="19"/>
      <c r="AE18" s="9" t="s">
        <v>17</v>
      </c>
      <c r="AF18" s="10"/>
      <c r="AG18" s="10"/>
      <c r="AH18" s="10"/>
      <c r="AI18" s="10"/>
      <c r="AJ18" s="11"/>
      <c r="AL18" s="19"/>
      <c r="AM18" s="9" t="s">
        <v>17</v>
      </c>
      <c r="AN18" s="10">
        <f t="shared" ref="AN18:AP18" si="21">D18+K18+R18+Y18+AF18</f>
        <v>0</v>
      </c>
      <c r="AO18" s="10">
        <f t="shared" si="21"/>
        <v>0</v>
      </c>
      <c r="AP18" s="10">
        <f t="shared" si="21"/>
        <v>0</v>
      </c>
      <c r="AQ18" s="11">
        <f t="shared" si="18"/>
        <v>0</v>
      </c>
    </row>
    <row r="19">
      <c r="A19" s="19"/>
      <c r="B19" s="19"/>
      <c r="C19" s="9" t="s">
        <v>18</v>
      </c>
      <c r="D19" s="10"/>
      <c r="E19" s="10"/>
      <c r="F19" s="10"/>
      <c r="G19" s="10"/>
      <c r="H19" s="11"/>
      <c r="I19" s="19"/>
      <c r="J19" s="9" t="s">
        <v>18</v>
      </c>
      <c r="K19" s="10"/>
      <c r="L19" s="10"/>
      <c r="M19" s="10"/>
      <c r="N19" s="10"/>
      <c r="O19" s="11"/>
      <c r="P19" s="19"/>
      <c r="Q19" s="9" t="s">
        <v>290</v>
      </c>
      <c r="R19" s="10"/>
      <c r="S19" s="10"/>
      <c r="T19" s="10"/>
      <c r="U19" s="10"/>
      <c r="V19" s="11"/>
      <c r="W19" s="19"/>
      <c r="X19" s="9" t="s">
        <v>18</v>
      </c>
      <c r="Y19" s="10"/>
      <c r="Z19" s="10"/>
      <c r="AA19" s="10"/>
      <c r="AB19" s="10"/>
      <c r="AC19" s="11"/>
      <c r="AD19" s="19"/>
      <c r="AE19" s="9" t="s">
        <v>18</v>
      </c>
      <c r="AF19" s="10"/>
      <c r="AG19" s="10"/>
      <c r="AH19" s="10"/>
      <c r="AI19" s="10"/>
      <c r="AJ19" s="11"/>
      <c r="AL19" s="19"/>
      <c r="AM19" s="9" t="s">
        <v>18</v>
      </c>
      <c r="AN19" s="10">
        <f t="shared" ref="AN19:AP19" si="22">D19+K19+R19+Y19+AF19</f>
        <v>0</v>
      </c>
      <c r="AO19" s="10">
        <f t="shared" si="22"/>
        <v>0</v>
      </c>
      <c r="AP19" s="10">
        <f t="shared" si="22"/>
        <v>0</v>
      </c>
      <c r="AQ19" s="11">
        <f t="shared" si="18"/>
        <v>0</v>
      </c>
    </row>
    <row r="20">
      <c r="A20" s="19"/>
      <c r="B20" s="19"/>
      <c r="C20" s="9" t="s">
        <v>20</v>
      </c>
      <c r="D20" s="10"/>
      <c r="E20" s="10"/>
      <c r="F20" s="10"/>
      <c r="G20" s="10"/>
      <c r="H20" s="11"/>
      <c r="I20" s="19"/>
      <c r="J20" s="9" t="s">
        <v>19</v>
      </c>
      <c r="K20" s="10"/>
      <c r="L20" s="10"/>
      <c r="M20" s="10"/>
      <c r="N20" s="10"/>
      <c r="O20" s="11"/>
      <c r="P20" s="19"/>
      <c r="Q20" s="9" t="s">
        <v>19</v>
      </c>
      <c r="R20" s="10"/>
      <c r="S20" s="10"/>
      <c r="T20" s="10"/>
      <c r="U20" s="10"/>
      <c r="V20" s="11"/>
      <c r="W20" s="19"/>
      <c r="X20" s="9" t="s">
        <v>19</v>
      </c>
      <c r="Y20" s="10"/>
      <c r="Z20" s="10"/>
      <c r="AA20" s="10"/>
      <c r="AB20" s="10"/>
      <c r="AC20" s="11"/>
      <c r="AD20" s="19"/>
      <c r="AE20" s="9" t="s">
        <v>19</v>
      </c>
      <c r="AF20" s="10"/>
      <c r="AG20" s="10"/>
      <c r="AH20" s="10"/>
      <c r="AI20" s="10"/>
      <c r="AJ20" s="11"/>
      <c r="AL20" s="19"/>
      <c r="AM20" s="9" t="s">
        <v>19</v>
      </c>
      <c r="AN20" s="10">
        <f t="shared" ref="AN20:AP20" si="23">D20+K20+R20+Y20+AF20</f>
        <v>0</v>
      </c>
      <c r="AO20" s="10">
        <f t="shared" si="23"/>
        <v>0</v>
      </c>
      <c r="AP20" s="10">
        <f t="shared" si="23"/>
        <v>0</v>
      </c>
      <c r="AQ20" s="11">
        <f t="shared" si="18"/>
        <v>0</v>
      </c>
    </row>
    <row r="21">
      <c r="A21" s="19"/>
      <c r="B21" s="19"/>
      <c r="C21" s="26" t="s">
        <v>21</v>
      </c>
      <c r="D21" s="10"/>
      <c r="E21" s="10"/>
      <c r="F21" s="10"/>
      <c r="G21" s="10"/>
      <c r="H21" s="11"/>
      <c r="I21" s="19"/>
      <c r="J21" s="26" t="s">
        <v>22</v>
      </c>
      <c r="K21" s="10"/>
      <c r="L21" s="10"/>
      <c r="M21" s="10"/>
      <c r="N21" s="10"/>
      <c r="O21" s="11"/>
      <c r="P21" s="19"/>
      <c r="Q21" s="26" t="s">
        <v>21</v>
      </c>
      <c r="R21" s="10"/>
      <c r="S21" s="10"/>
      <c r="T21" s="10"/>
      <c r="U21" s="310"/>
      <c r="V21" s="11"/>
      <c r="W21" s="19"/>
      <c r="X21" s="26" t="s">
        <v>21</v>
      </c>
      <c r="Y21" s="10"/>
      <c r="Z21" s="10"/>
      <c r="AA21" s="10"/>
      <c r="AB21" s="10"/>
      <c r="AC21" s="11"/>
      <c r="AD21" s="19"/>
      <c r="AE21" s="26" t="s">
        <v>21</v>
      </c>
      <c r="AF21" s="10"/>
      <c r="AG21" s="10"/>
      <c r="AH21" s="10"/>
      <c r="AI21" s="10"/>
      <c r="AJ21" s="11"/>
      <c r="AL21" s="19"/>
      <c r="AM21" s="26" t="s">
        <v>21</v>
      </c>
      <c r="AN21" s="10">
        <f t="shared" ref="AN21:AP21" si="24">D21+K21+R21+Y21+AF21</f>
        <v>0</v>
      </c>
      <c r="AO21" s="10">
        <f t="shared" si="24"/>
        <v>0</v>
      </c>
      <c r="AP21" s="10">
        <f t="shared" si="24"/>
        <v>0</v>
      </c>
      <c r="AQ21" s="11">
        <f t="shared" si="18"/>
        <v>0</v>
      </c>
    </row>
    <row r="22">
      <c r="A22" s="19"/>
      <c r="B22" s="19"/>
      <c r="C22" s="28" t="s">
        <v>23</v>
      </c>
      <c r="D22" s="29">
        <f t="shared" ref="D22:H22" si="25">D14+D15+D16+D17+D18+D19+D20+D21</f>
        <v>0</v>
      </c>
      <c r="E22" s="35">
        <f t="shared" si="25"/>
        <v>0</v>
      </c>
      <c r="F22" s="31">
        <f t="shared" si="25"/>
        <v>0</v>
      </c>
      <c r="G22" s="37">
        <f t="shared" si="25"/>
        <v>0</v>
      </c>
      <c r="H22" s="33">
        <f t="shared" si="25"/>
        <v>0</v>
      </c>
      <c r="I22" s="19"/>
      <c r="J22" s="28" t="s">
        <v>23</v>
      </c>
      <c r="K22" s="61">
        <f t="shared" ref="K22:O22" si="26">K14+K15+K16+K17+K18+K19+K20+K21</f>
        <v>0</v>
      </c>
      <c r="L22" s="35">
        <f t="shared" si="26"/>
        <v>0</v>
      </c>
      <c r="M22" s="31">
        <f t="shared" si="26"/>
        <v>0</v>
      </c>
      <c r="N22" s="319">
        <f t="shared" si="26"/>
        <v>0</v>
      </c>
      <c r="O22" s="33">
        <f t="shared" si="26"/>
        <v>0</v>
      </c>
      <c r="P22" s="19"/>
      <c r="Q22" s="28" t="s">
        <v>23</v>
      </c>
      <c r="R22" s="29">
        <f t="shared" ref="R22:V22" si="27">R14+R15+R16+R17+R18+R19+R20+R21</f>
        <v>0</v>
      </c>
      <c r="S22" s="35">
        <f t="shared" si="27"/>
        <v>0</v>
      </c>
      <c r="T22" s="31">
        <f t="shared" si="27"/>
        <v>0</v>
      </c>
      <c r="U22" s="40">
        <f t="shared" si="27"/>
        <v>0</v>
      </c>
      <c r="V22" s="294">
        <f t="shared" si="27"/>
        <v>0</v>
      </c>
      <c r="W22" s="19"/>
      <c r="X22" s="28" t="s">
        <v>23</v>
      </c>
      <c r="Y22" s="29">
        <f t="shared" ref="Y22:AC22" si="28">Y14+Y15+Y16+Y17+Y18+Y19+Y20+Y21</f>
        <v>0</v>
      </c>
      <c r="Z22" s="30">
        <f t="shared" si="28"/>
        <v>0</v>
      </c>
      <c r="AA22" s="36">
        <f t="shared" si="28"/>
        <v>0</v>
      </c>
      <c r="AB22" s="37">
        <f t="shared" si="28"/>
        <v>0</v>
      </c>
      <c r="AC22" s="294">
        <f t="shared" si="28"/>
        <v>0</v>
      </c>
      <c r="AD22" s="19"/>
      <c r="AE22" s="28" t="s">
        <v>23</v>
      </c>
      <c r="AF22" s="29">
        <f t="shared" ref="AF22:AJ22" si="29">AF14+AF15+AF16+AF17+AF18+AF19+AF20+AF21</f>
        <v>0</v>
      </c>
      <c r="AG22" s="30">
        <f t="shared" si="29"/>
        <v>0</v>
      </c>
      <c r="AH22" s="31">
        <f t="shared" si="29"/>
        <v>0</v>
      </c>
      <c r="AI22" s="32">
        <f t="shared" si="29"/>
        <v>0</v>
      </c>
      <c r="AJ22" s="33">
        <f t="shared" si="29"/>
        <v>0</v>
      </c>
      <c r="AL22" s="19"/>
      <c r="AM22" s="28" t="s">
        <v>23</v>
      </c>
      <c r="AN22" s="41">
        <f t="shared" ref="AN22:AQ22" si="30">AN14+AN15+AN16+AN17+AN18+AN19+AN20+AN21</f>
        <v>0</v>
      </c>
      <c r="AO22" s="42">
        <f t="shared" si="30"/>
        <v>0</v>
      </c>
      <c r="AP22" s="43">
        <f t="shared" si="30"/>
        <v>0</v>
      </c>
      <c r="AQ22" s="44">
        <f t="shared" si="30"/>
        <v>0</v>
      </c>
    </row>
    <row r="23" hidden="1">
      <c r="A23" s="19"/>
      <c r="B23" s="19"/>
      <c r="C23" s="45" t="s">
        <v>24</v>
      </c>
      <c r="D23" s="50">
        <f>D22-E22</f>
        <v>0</v>
      </c>
      <c r="E23" s="47"/>
      <c r="F23" s="48"/>
      <c r="G23" s="51"/>
      <c r="H23" s="51"/>
      <c r="I23" s="19"/>
      <c r="J23" s="45" t="s">
        <v>24</v>
      </c>
      <c r="K23" s="50">
        <f>K22-L22</f>
        <v>0</v>
      </c>
      <c r="L23" s="47"/>
      <c r="M23" s="48"/>
      <c r="N23" s="51"/>
      <c r="O23" s="51"/>
      <c r="P23" s="19"/>
      <c r="Q23" s="45" t="s">
        <v>24</v>
      </c>
      <c r="R23" s="50">
        <f>R22-S22</f>
        <v>0</v>
      </c>
      <c r="S23" s="47"/>
      <c r="T23" s="48"/>
      <c r="U23" s="51"/>
      <c r="V23" s="51"/>
      <c r="W23" s="19"/>
      <c r="X23" s="45" t="s">
        <v>24</v>
      </c>
      <c r="Y23" s="50">
        <f>Y22-Z22</f>
        <v>0</v>
      </c>
      <c r="Z23" s="47"/>
      <c r="AA23" s="48"/>
      <c r="AB23" s="51"/>
      <c r="AC23" s="51"/>
      <c r="AD23" s="19"/>
      <c r="AE23" s="45" t="s">
        <v>24</v>
      </c>
      <c r="AF23" s="50">
        <f>AF22-AG22</f>
        <v>0</v>
      </c>
      <c r="AG23" s="47"/>
      <c r="AH23" s="48"/>
      <c r="AI23" s="51"/>
      <c r="AJ23" s="51"/>
      <c r="AL23" s="53"/>
      <c r="AM23" s="45" t="s">
        <v>25</v>
      </c>
      <c r="AN23" s="50">
        <f>AN22-AO22</f>
        <v>0</v>
      </c>
      <c r="AO23" s="48"/>
      <c r="AP23" s="54"/>
    </row>
    <row r="24" hidden="1">
      <c r="A24" s="53"/>
      <c r="B24" s="53"/>
      <c r="C24" s="56" t="s">
        <v>26</v>
      </c>
      <c r="D24" s="57">
        <f>F22-E22</f>
        <v>0</v>
      </c>
      <c r="E24" s="47"/>
      <c r="F24" s="48"/>
      <c r="G24" s="59"/>
      <c r="H24" s="51"/>
      <c r="I24" s="53"/>
      <c r="J24" s="56" t="s">
        <v>26</v>
      </c>
      <c r="K24" s="57">
        <f>M22-L22</f>
        <v>0</v>
      </c>
      <c r="L24" s="47"/>
      <c r="M24" s="48"/>
      <c r="N24" s="51"/>
      <c r="O24" s="51"/>
      <c r="P24" s="53"/>
      <c r="Q24" s="56" t="s">
        <v>26</v>
      </c>
      <c r="R24" s="57">
        <f>T22-S22</f>
        <v>0</v>
      </c>
      <c r="S24" s="47"/>
      <c r="T24" s="48"/>
      <c r="U24" s="51"/>
      <c r="V24" s="51"/>
      <c r="W24" s="53"/>
      <c r="X24" s="56" t="s">
        <v>26</v>
      </c>
      <c r="Y24" s="57">
        <f>AA22-Z22</f>
        <v>0</v>
      </c>
      <c r="Z24" s="47"/>
      <c r="AA24" s="48"/>
      <c r="AB24" s="51"/>
      <c r="AC24" s="51"/>
      <c r="AD24" s="53"/>
      <c r="AE24" s="56" t="s">
        <v>26</v>
      </c>
      <c r="AF24" s="57">
        <f>AH22-AG22</f>
        <v>0</v>
      </c>
      <c r="AG24" s="47"/>
      <c r="AH24" s="48"/>
      <c r="AI24" s="51"/>
      <c r="AJ24" s="51"/>
      <c r="AL24" s="58"/>
      <c r="AM24" s="45"/>
      <c r="AN24" s="59"/>
      <c r="AO24" s="59"/>
      <c r="AP24" s="54"/>
    </row>
    <row r="25">
      <c r="A25" s="1"/>
      <c r="B25" s="2" t="s">
        <v>0</v>
      </c>
      <c r="C25" s="2" t="s">
        <v>1</v>
      </c>
      <c r="D25" s="3" t="s">
        <v>2</v>
      </c>
      <c r="E25" s="2" t="s">
        <v>3</v>
      </c>
      <c r="F25" s="2" t="s">
        <v>4</v>
      </c>
      <c r="G25" s="2" t="s">
        <v>5</v>
      </c>
      <c r="H25" s="5" t="s">
        <v>6</v>
      </c>
      <c r="I25" s="2" t="s">
        <v>0</v>
      </c>
      <c r="J25" s="2" t="s">
        <v>1</v>
      </c>
      <c r="K25" s="4" t="s">
        <v>7</v>
      </c>
      <c r="L25" s="2" t="s">
        <v>3</v>
      </c>
      <c r="M25" s="2" t="s">
        <v>4</v>
      </c>
      <c r="N25" s="2" t="s">
        <v>5</v>
      </c>
      <c r="O25" s="5" t="s">
        <v>6</v>
      </c>
      <c r="P25" s="2" t="s">
        <v>0</v>
      </c>
      <c r="Q25" s="1" t="s">
        <v>1</v>
      </c>
      <c r="R25" s="307" t="s">
        <v>7</v>
      </c>
      <c r="S25" s="1" t="s">
        <v>3</v>
      </c>
      <c r="T25" s="1" t="s">
        <v>4</v>
      </c>
      <c r="U25" s="1" t="s">
        <v>5</v>
      </c>
      <c r="V25" s="308" t="s">
        <v>6</v>
      </c>
      <c r="W25" s="2" t="s">
        <v>0</v>
      </c>
      <c r="X25" s="2" t="s">
        <v>1</v>
      </c>
      <c r="Y25" s="4" t="s">
        <v>7</v>
      </c>
      <c r="Z25" s="2" t="s">
        <v>3</v>
      </c>
      <c r="AA25" s="2" t="s">
        <v>4</v>
      </c>
      <c r="AB25" s="2" t="s">
        <v>5</v>
      </c>
      <c r="AC25" s="5" t="s">
        <v>6</v>
      </c>
      <c r="AD25" s="2" t="s">
        <v>0</v>
      </c>
      <c r="AE25" s="2" t="s">
        <v>1</v>
      </c>
      <c r="AF25" s="4" t="s">
        <v>7</v>
      </c>
      <c r="AG25" s="2" t="s">
        <v>3</v>
      </c>
      <c r="AH25" s="2" t="s">
        <v>4</v>
      </c>
      <c r="AI25" s="2" t="s">
        <v>5</v>
      </c>
      <c r="AJ25" s="5" t="s">
        <v>6</v>
      </c>
      <c r="AM25" s="2" t="s">
        <v>1</v>
      </c>
      <c r="AN25" s="4" t="s">
        <v>7</v>
      </c>
      <c r="AO25" s="2" t="s">
        <v>3</v>
      </c>
      <c r="AP25" s="6" t="s">
        <v>8</v>
      </c>
      <c r="AQ25" s="5" t="s">
        <v>6</v>
      </c>
    </row>
    <row r="26">
      <c r="A26" s="60" t="s">
        <v>30</v>
      </c>
      <c r="B26" s="168">
        <v>45994.0</v>
      </c>
      <c r="C26" s="9" t="s">
        <v>10</v>
      </c>
      <c r="D26" s="10"/>
      <c r="E26" s="10"/>
      <c r="F26" s="10"/>
      <c r="G26" s="10"/>
      <c r="H26" s="11"/>
      <c r="I26" s="12">
        <v>46001.0</v>
      </c>
      <c r="J26" s="9" t="s">
        <v>10</v>
      </c>
      <c r="K26" s="10"/>
      <c r="L26" s="10"/>
      <c r="M26" s="10"/>
      <c r="N26" s="10"/>
      <c r="O26" s="11"/>
      <c r="P26" s="8">
        <v>46008.0</v>
      </c>
      <c r="Q26" s="9" t="s">
        <v>10</v>
      </c>
      <c r="R26" s="10"/>
      <c r="S26" s="10"/>
      <c r="T26" s="10"/>
      <c r="U26" s="10"/>
      <c r="V26" s="11"/>
      <c r="W26" s="320" t="s">
        <v>291</v>
      </c>
      <c r="X26" s="9" t="s">
        <v>10</v>
      </c>
      <c r="Y26" s="10"/>
      <c r="Z26" s="10"/>
      <c r="AA26" s="10"/>
      <c r="AB26" s="10"/>
      <c r="AC26" s="11"/>
      <c r="AD26" s="321">
        <v>46022.0</v>
      </c>
      <c r="AE26" s="9" t="s">
        <v>10</v>
      </c>
      <c r="AF26" s="10"/>
      <c r="AG26" s="10"/>
      <c r="AH26" s="10"/>
      <c r="AI26" s="10"/>
      <c r="AJ26" s="11"/>
      <c r="AL26" s="18" t="s">
        <v>31</v>
      </c>
      <c r="AM26" s="9" t="s">
        <v>10</v>
      </c>
      <c r="AN26" s="10">
        <f t="shared" ref="AN26:AP26" si="31">D26+K26+R26+Y26+AF26</f>
        <v>0</v>
      </c>
      <c r="AO26" s="10">
        <f t="shared" si="31"/>
        <v>0</v>
      </c>
      <c r="AP26" s="10">
        <f t="shared" si="31"/>
        <v>0</v>
      </c>
      <c r="AQ26" s="11">
        <f t="shared" ref="AQ26:AQ33" si="33">H26+O26+V26+AC26+AJ26</f>
        <v>0</v>
      </c>
    </row>
    <row r="27">
      <c r="A27" s="19"/>
      <c r="B27" s="19"/>
      <c r="C27" s="9" t="s">
        <v>12</v>
      </c>
      <c r="D27" s="10"/>
      <c r="E27" s="10"/>
      <c r="F27" s="10"/>
      <c r="G27" s="10"/>
      <c r="H27" s="11"/>
      <c r="I27" s="19"/>
      <c r="J27" s="9" t="s">
        <v>32</v>
      </c>
      <c r="K27" s="10"/>
      <c r="L27" s="10"/>
      <c r="M27" s="10"/>
      <c r="N27" s="10"/>
      <c r="O27" s="11"/>
      <c r="P27" s="19"/>
      <c r="Q27" s="9" t="s">
        <v>12</v>
      </c>
      <c r="R27" s="10"/>
      <c r="S27" s="10"/>
      <c r="T27" s="10"/>
      <c r="U27" s="10"/>
      <c r="V27" s="11"/>
      <c r="W27" s="19"/>
      <c r="X27" s="9" t="s">
        <v>12</v>
      </c>
      <c r="Y27" s="10"/>
      <c r="Z27" s="10"/>
      <c r="AA27" s="10"/>
      <c r="AB27" s="10"/>
      <c r="AC27" s="11"/>
      <c r="AD27" s="19"/>
      <c r="AE27" s="9" t="s">
        <v>12</v>
      </c>
      <c r="AF27" s="10"/>
      <c r="AG27" s="10"/>
      <c r="AH27" s="10"/>
      <c r="AI27" s="10"/>
      <c r="AJ27" s="11"/>
      <c r="AL27" s="19"/>
      <c r="AM27" s="9" t="s">
        <v>12</v>
      </c>
      <c r="AN27" s="10">
        <f t="shared" ref="AN27:AP27" si="32">D27+K27+R27+Y27+AF27</f>
        <v>0</v>
      </c>
      <c r="AO27" s="10">
        <f t="shared" si="32"/>
        <v>0</v>
      </c>
      <c r="AP27" s="10">
        <f t="shared" si="32"/>
        <v>0</v>
      </c>
      <c r="AQ27" s="11">
        <f t="shared" si="33"/>
        <v>0</v>
      </c>
    </row>
    <row r="28">
      <c r="A28" s="19"/>
      <c r="B28" s="19"/>
      <c r="C28" s="314" t="s">
        <v>276</v>
      </c>
      <c r="D28" s="291"/>
      <c r="E28" s="10"/>
      <c r="F28" s="10"/>
      <c r="G28" s="10"/>
      <c r="H28" s="11"/>
      <c r="I28" s="19"/>
      <c r="J28" s="9" t="s">
        <v>276</v>
      </c>
      <c r="K28" s="291"/>
      <c r="L28" s="10"/>
      <c r="M28" s="10"/>
      <c r="N28" s="10"/>
      <c r="O28" s="11"/>
      <c r="P28" s="19"/>
      <c r="Q28" s="9" t="s">
        <v>276</v>
      </c>
      <c r="R28" s="10"/>
      <c r="S28" s="10"/>
      <c r="T28" s="10"/>
      <c r="U28" s="10"/>
      <c r="V28" s="11"/>
      <c r="W28" s="19"/>
      <c r="X28" s="314" t="s">
        <v>276</v>
      </c>
      <c r="Y28" s="10"/>
      <c r="Z28" s="10"/>
      <c r="AA28" s="10"/>
      <c r="AB28" s="10"/>
      <c r="AC28" s="11"/>
      <c r="AD28" s="19"/>
      <c r="AE28" s="314" t="s">
        <v>276</v>
      </c>
      <c r="AF28" s="10"/>
      <c r="AG28" s="10"/>
      <c r="AH28" s="10"/>
      <c r="AI28" s="10"/>
      <c r="AJ28" s="11"/>
      <c r="AL28" s="19"/>
      <c r="AM28" s="9" t="s">
        <v>14</v>
      </c>
      <c r="AN28" s="10">
        <f t="shared" ref="AN28:AP28" si="34">D28+K28+R28+Y28+AF28</f>
        <v>0</v>
      </c>
      <c r="AO28" s="10">
        <f t="shared" si="34"/>
        <v>0</v>
      </c>
      <c r="AP28" s="10">
        <f t="shared" si="34"/>
        <v>0</v>
      </c>
      <c r="AQ28" s="11">
        <f t="shared" si="33"/>
        <v>0</v>
      </c>
    </row>
    <row r="29">
      <c r="A29" s="19"/>
      <c r="B29" s="19"/>
      <c r="C29" s="9" t="s">
        <v>15</v>
      </c>
      <c r="D29" s="10"/>
      <c r="E29" s="10"/>
      <c r="F29" s="10"/>
      <c r="G29" s="10"/>
      <c r="H29" s="11"/>
      <c r="I29" s="19"/>
      <c r="J29" s="9" t="s">
        <v>15</v>
      </c>
      <c r="K29" s="10"/>
      <c r="L29" s="10"/>
      <c r="M29" s="10"/>
      <c r="N29" s="10"/>
      <c r="O29" s="11"/>
      <c r="P29" s="19"/>
      <c r="Q29" s="9" t="s">
        <v>15</v>
      </c>
      <c r="R29" s="10"/>
      <c r="S29" s="10"/>
      <c r="T29" s="10"/>
      <c r="U29" s="310"/>
      <c r="V29" s="11"/>
      <c r="W29" s="19"/>
      <c r="X29" s="9" t="s">
        <v>16</v>
      </c>
      <c r="Y29" s="10"/>
      <c r="Z29" s="10"/>
      <c r="AA29" s="10"/>
      <c r="AB29" s="10"/>
      <c r="AC29" s="11"/>
      <c r="AD29" s="19"/>
      <c r="AE29" s="9" t="s">
        <v>16</v>
      </c>
      <c r="AF29" s="10"/>
      <c r="AG29" s="10"/>
      <c r="AH29" s="10"/>
      <c r="AI29" s="10"/>
      <c r="AJ29" s="11"/>
      <c r="AL29" s="19"/>
      <c r="AM29" s="9" t="s">
        <v>16</v>
      </c>
      <c r="AN29" s="10">
        <f t="shared" ref="AN29:AP29" si="35">D29+K29+R29+Y29+AF29</f>
        <v>0</v>
      </c>
      <c r="AO29" s="10">
        <f t="shared" si="35"/>
        <v>0</v>
      </c>
      <c r="AP29" s="10">
        <f t="shared" si="35"/>
        <v>0</v>
      </c>
      <c r="AQ29" s="11">
        <f t="shared" si="33"/>
        <v>0</v>
      </c>
    </row>
    <row r="30">
      <c r="A30" s="19"/>
      <c r="B30" s="19"/>
      <c r="C30" s="9" t="s">
        <v>17</v>
      </c>
      <c r="D30" s="10"/>
      <c r="E30" s="10"/>
      <c r="F30" s="10"/>
      <c r="G30" s="10"/>
      <c r="H30" s="11"/>
      <c r="I30" s="19"/>
      <c r="J30" s="9" t="s">
        <v>17</v>
      </c>
      <c r="K30" s="10"/>
      <c r="L30" s="10"/>
      <c r="M30" s="10"/>
      <c r="N30" s="10"/>
      <c r="O30" s="11"/>
      <c r="P30" s="19"/>
      <c r="Q30" s="9" t="s">
        <v>17</v>
      </c>
      <c r="R30" s="10"/>
      <c r="S30" s="10"/>
      <c r="T30" s="10"/>
      <c r="U30" s="10"/>
      <c r="V30" s="11"/>
      <c r="W30" s="19"/>
      <c r="X30" s="9" t="s">
        <v>17</v>
      </c>
      <c r="Y30" s="10"/>
      <c r="Z30" s="10"/>
      <c r="AA30" s="10"/>
      <c r="AB30" s="10"/>
      <c r="AC30" s="11"/>
      <c r="AD30" s="19"/>
      <c r="AE30" s="9" t="s">
        <v>17</v>
      </c>
      <c r="AF30" s="10"/>
      <c r="AG30" s="10"/>
      <c r="AH30" s="10"/>
      <c r="AI30" s="10"/>
      <c r="AJ30" s="11"/>
      <c r="AL30" s="19"/>
      <c r="AM30" s="9" t="s">
        <v>17</v>
      </c>
      <c r="AN30" s="10">
        <f t="shared" ref="AN30:AP30" si="36">D30+K30+R30+Y30+AF30</f>
        <v>0</v>
      </c>
      <c r="AO30" s="10">
        <f t="shared" si="36"/>
        <v>0</v>
      </c>
      <c r="AP30" s="10">
        <f t="shared" si="36"/>
        <v>0</v>
      </c>
      <c r="AQ30" s="11">
        <f t="shared" si="33"/>
        <v>0</v>
      </c>
    </row>
    <row r="31">
      <c r="A31" s="19"/>
      <c r="B31" s="19"/>
      <c r="C31" s="9" t="s">
        <v>18</v>
      </c>
      <c r="D31" s="10"/>
      <c r="E31" s="10"/>
      <c r="F31" s="10"/>
      <c r="G31" s="10"/>
      <c r="H31" s="11"/>
      <c r="I31" s="19"/>
      <c r="J31" s="9" t="s">
        <v>29</v>
      </c>
      <c r="K31" s="10"/>
      <c r="L31" s="10"/>
      <c r="M31" s="10"/>
      <c r="N31" s="10"/>
      <c r="O31" s="11"/>
      <c r="P31" s="19"/>
      <c r="Q31" s="9" t="s">
        <v>18</v>
      </c>
      <c r="R31" s="10"/>
      <c r="S31" s="10"/>
      <c r="T31" s="10"/>
      <c r="U31" s="10"/>
      <c r="V31" s="11"/>
      <c r="W31" s="19"/>
      <c r="X31" s="9" t="s">
        <v>29</v>
      </c>
      <c r="Y31" s="10"/>
      <c r="Z31" s="10"/>
      <c r="AA31" s="10"/>
      <c r="AB31" s="10"/>
      <c r="AC31" s="11"/>
      <c r="AD31" s="19"/>
      <c r="AE31" s="9" t="s">
        <v>18</v>
      </c>
      <c r="AF31" s="10"/>
      <c r="AG31" s="10"/>
      <c r="AH31" s="10"/>
      <c r="AI31" s="10"/>
      <c r="AJ31" s="11"/>
      <c r="AL31" s="19"/>
      <c r="AM31" s="9" t="s">
        <v>18</v>
      </c>
      <c r="AN31" s="10">
        <f t="shared" ref="AN31:AP31" si="37">D31+K31+R31+Y31+AF31</f>
        <v>0</v>
      </c>
      <c r="AO31" s="10">
        <f t="shared" si="37"/>
        <v>0</v>
      </c>
      <c r="AP31" s="10">
        <f t="shared" si="37"/>
        <v>0</v>
      </c>
      <c r="AQ31" s="11">
        <f t="shared" si="33"/>
        <v>0</v>
      </c>
    </row>
    <row r="32">
      <c r="A32" s="19"/>
      <c r="B32" s="19"/>
      <c r="C32" s="9" t="s">
        <v>20</v>
      </c>
      <c r="D32" s="10"/>
      <c r="E32" s="10"/>
      <c r="F32" s="10"/>
      <c r="G32" s="10"/>
      <c r="H32" s="11"/>
      <c r="I32" s="19"/>
      <c r="J32" s="9" t="s">
        <v>19</v>
      </c>
      <c r="K32" s="10"/>
      <c r="L32" s="10"/>
      <c r="M32" s="10"/>
      <c r="N32" s="10"/>
      <c r="O32" s="11"/>
      <c r="P32" s="19"/>
      <c r="Q32" s="9" t="s">
        <v>19</v>
      </c>
      <c r="R32" s="10"/>
      <c r="S32" s="10"/>
      <c r="T32" s="10"/>
      <c r="U32" s="10"/>
      <c r="V32" s="11"/>
      <c r="W32" s="19"/>
      <c r="X32" s="9" t="s">
        <v>19</v>
      </c>
      <c r="Y32" s="10"/>
      <c r="Z32" s="10"/>
      <c r="AA32" s="10"/>
      <c r="AB32" s="10"/>
      <c r="AC32" s="11"/>
      <c r="AD32" s="19"/>
      <c r="AE32" s="9" t="s">
        <v>19</v>
      </c>
      <c r="AF32" s="10"/>
      <c r="AG32" s="10"/>
      <c r="AH32" s="10"/>
      <c r="AI32" s="10"/>
      <c r="AJ32" s="11"/>
      <c r="AL32" s="19"/>
      <c r="AM32" s="9" t="s">
        <v>19</v>
      </c>
      <c r="AN32" s="10">
        <f t="shared" ref="AN32:AP32" si="38">D32+K32+R32+Y32+AF32</f>
        <v>0</v>
      </c>
      <c r="AO32" s="10">
        <f t="shared" si="38"/>
        <v>0</v>
      </c>
      <c r="AP32" s="10">
        <f t="shared" si="38"/>
        <v>0</v>
      </c>
      <c r="AQ32" s="11">
        <f t="shared" si="33"/>
        <v>0</v>
      </c>
    </row>
    <row r="33">
      <c r="A33" s="19"/>
      <c r="B33" s="19"/>
      <c r="C33" s="26" t="s">
        <v>21</v>
      </c>
      <c r="D33" s="10"/>
      <c r="E33" s="10"/>
      <c r="F33" s="10"/>
      <c r="G33" s="10"/>
      <c r="H33" s="11"/>
      <c r="I33" s="19"/>
      <c r="J33" s="26" t="s">
        <v>21</v>
      </c>
      <c r="K33" s="10"/>
      <c r="L33" s="10"/>
      <c r="M33" s="10"/>
      <c r="N33" s="10"/>
      <c r="O33" s="11"/>
      <c r="P33" s="19"/>
      <c r="Q33" s="26" t="s">
        <v>22</v>
      </c>
      <c r="R33" s="10"/>
      <c r="S33" s="10"/>
      <c r="T33" s="10"/>
      <c r="U33" s="310"/>
      <c r="V33" s="11"/>
      <c r="W33" s="19"/>
      <c r="X33" s="26" t="s">
        <v>21</v>
      </c>
      <c r="Y33" s="10"/>
      <c r="Z33" s="10"/>
      <c r="AA33" s="10"/>
      <c r="AB33" s="10"/>
      <c r="AC33" s="11"/>
      <c r="AD33" s="19"/>
      <c r="AE33" s="26" t="s">
        <v>21</v>
      </c>
      <c r="AF33" s="10"/>
      <c r="AG33" s="10"/>
      <c r="AH33" s="10"/>
      <c r="AI33" s="10"/>
      <c r="AJ33" s="11"/>
      <c r="AL33" s="19"/>
      <c r="AM33" s="26" t="s">
        <v>21</v>
      </c>
      <c r="AN33" s="10">
        <f t="shared" ref="AN33:AP33" si="39">D33+K33+R33+Y33+AF33</f>
        <v>0</v>
      </c>
      <c r="AO33" s="10">
        <f t="shared" si="39"/>
        <v>0</v>
      </c>
      <c r="AP33" s="10">
        <f t="shared" si="39"/>
        <v>0</v>
      </c>
      <c r="AQ33" s="11">
        <f t="shared" si="33"/>
        <v>0</v>
      </c>
    </row>
    <row r="34">
      <c r="A34" s="19"/>
      <c r="B34" s="19"/>
      <c r="C34" s="28" t="s">
        <v>23</v>
      </c>
      <c r="D34" s="29">
        <f t="shared" ref="D34:H34" si="40">D26+D27+D28+D29+D30+D31+D32+D33</f>
        <v>0</v>
      </c>
      <c r="E34" s="30">
        <f t="shared" si="40"/>
        <v>0</v>
      </c>
      <c r="F34" s="36">
        <f t="shared" si="40"/>
        <v>0</v>
      </c>
      <c r="G34" s="40">
        <f t="shared" si="40"/>
        <v>0</v>
      </c>
      <c r="H34" s="33">
        <f t="shared" si="40"/>
        <v>0</v>
      </c>
      <c r="I34" s="19"/>
      <c r="J34" s="28" t="s">
        <v>23</v>
      </c>
      <c r="K34" s="61">
        <f t="shared" ref="K34:O34" si="41">K26+K27+K28+K29+K30+K31+K32+K33</f>
        <v>0</v>
      </c>
      <c r="L34" s="35">
        <f t="shared" si="41"/>
        <v>0</v>
      </c>
      <c r="M34" s="31">
        <f t="shared" si="41"/>
        <v>0</v>
      </c>
      <c r="N34" s="319">
        <f t="shared" si="41"/>
        <v>0</v>
      </c>
      <c r="O34" s="38">
        <f t="shared" si="41"/>
        <v>0</v>
      </c>
      <c r="P34" s="19"/>
      <c r="Q34" s="28" t="s">
        <v>23</v>
      </c>
      <c r="R34" s="29">
        <f t="shared" ref="R34:V34" si="42">R26+R27+R28+R29+R30+R31+R32+R33</f>
        <v>0</v>
      </c>
      <c r="S34" s="35">
        <f t="shared" si="42"/>
        <v>0</v>
      </c>
      <c r="T34" s="36">
        <f t="shared" si="42"/>
        <v>0</v>
      </c>
      <c r="U34" s="37">
        <f t="shared" si="42"/>
        <v>0</v>
      </c>
      <c r="V34" s="294">
        <f t="shared" si="42"/>
        <v>0</v>
      </c>
      <c r="W34" s="19"/>
      <c r="X34" s="28" t="s">
        <v>23</v>
      </c>
      <c r="Y34" s="29">
        <f t="shared" ref="Y34:AC34" si="43">Y26+Y27+Y28+Y29+Y30+Y31+Y32+Y33</f>
        <v>0</v>
      </c>
      <c r="Z34" s="30">
        <f t="shared" si="43"/>
        <v>0</v>
      </c>
      <c r="AA34" s="31">
        <f t="shared" si="43"/>
        <v>0</v>
      </c>
      <c r="AB34" s="37">
        <f t="shared" si="43"/>
        <v>0</v>
      </c>
      <c r="AC34" s="33">
        <f t="shared" si="43"/>
        <v>0</v>
      </c>
      <c r="AD34" s="19"/>
      <c r="AE34" s="28" t="s">
        <v>23</v>
      </c>
      <c r="AF34" s="29">
        <f t="shared" ref="AF34:AJ34" si="44">AF26+AF27+AF28+AF29+AF30+AF31+AF32+AF33</f>
        <v>0</v>
      </c>
      <c r="AG34" s="30">
        <f t="shared" si="44"/>
        <v>0</v>
      </c>
      <c r="AH34" s="31">
        <f t="shared" si="44"/>
        <v>0</v>
      </c>
      <c r="AI34" s="32">
        <f t="shared" si="44"/>
        <v>0</v>
      </c>
      <c r="AJ34" s="33">
        <f t="shared" si="44"/>
        <v>0</v>
      </c>
      <c r="AL34" s="19"/>
      <c r="AM34" s="28" t="s">
        <v>23</v>
      </c>
      <c r="AN34" s="41">
        <f t="shared" ref="AN34:AQ34" si="45">AN26+AN27+AN28+AN29+AN30+AN31+AN32+AN33</f>
        <v>0</v>
      </c>
      <c r="AO34" s="42">
        <f t="shared" si="45"/>
        <v>0</v>
      </c>
      <c r="AP34" s="43">
        <f t="shared" si="45"/>
        <v>0</v>
      </c>
      <c r="AQ34" s="44">
        <f t="shared" si="45"/>
        <v>0</v>
      </c>
    </row>
    <row r="35" hidden="1">
      <c r="A35" s="19"/>
      <c r="B35" s="19"/>
      <c r="C35" s="45" t="s">
        <v>24</v>
      </c>
      <c r="D35" s="50">
        <f>D34-E34</f>
        <v>0</v>
      </c>
      <c r="E35" s="47"/>
      <c r="F35" s="48"/>
      <c r="G35" s="51"/>
      <c r="H35" s="51"/>
      <c r="I35" s="19"/>
      <c r="J35" s="45" t="s">
        <v>24</v>
      </c>
      <c r="K35" s="50">
        <f>K34-L34</f>
        <v>0</v>
      </c>
      <c r="L35" s="47"/>
      <c r="M35" s="48"/>
      <c r="N35" s="51"/>
      <c r="O35" s="51"/>
      <c r="P35" s="19"/>
      <c r="Q35" s="45" t="s">
        <v>24</v>
      </c>
      <c r="R35" s="50">
        <f>R34-S34</f>
        <v>0</v>
      </c>
      <c r="S35" s="47"/>
      <c r="T35" s="48"/>
      <c r="U35" s="51"/>
      <c r="V35" s="51"/>
      <c r="W35" s="19"/>
      <c r="X35" s="45" t="s">
        <v>24</v>
      </c>
      <c r="Y35" s="50">
        <f>Y34-Z34</f>
        <v>0</v>
      </c>
      <c r="Z35" s="47"/>
      <c r="AA35" s="48"/>
      <c r="AB35" s="51"/>
      <c r="AC35" s="51"/>
      <c r="AD35" s="19"/>
      <c r="AE35" s="45" t="s">
        <v>24</v>
      </c>
      <c r="AF35" s="50">
        <f>AF34-AG34</f>
        <v>0</v>
      </c>
      <c r="AG35" s="47"/>
      <c r="AH35" s="48"/>
      <c r="AI35" s="51"/>
      <c r="AJ35" s="51"/>
      <c r="AL35" s="53"/>
      <c r="AM35" s="45" t="s">
        <v>25</v>
      </c>
      <c r="AN35" s="50">
        <f>AN34-AO34</f>
        <v>0</v>
      </c>
      <c r="AO35" s="48"/>
      <c r="AP35" s="54"/>
    </row>
    <row r="36" hidden="1">
      <c r="A36" s="53"/>
      <c r="B36" s="53"/>
      <c r="C36" s="56" t="s">
        <v>26</v>
      </c>
      <c r="D36" s="57">
        <f>F34-E34</f>
        <v>0</v>
      </c>
      <c r="E36" s="47"/>
      <c r="F36" s="48"/>
      <c r="G36" s="59"/>
      <c r="H36" s="51"/>
      <c r="I36" s="53"/>
      <c r="J36" s="56" t="s">
        <v>26</v>
      </c>
      <c r="K36" s="57">
        <f>M34-L34</f>
        <v>0</v>
      </c>
      <c r="L36" s="47"/>
      <c r="M36" s="48"/>
      <c r="N36" s="51"/>
      <c r="O36" s="51"/>
      <c r="P36" s="53"/>
      <c r="Q36" s="56" t="s">
        <v>26</v>
      </c>
      <c r="R36" s="57">
        <f>T34-S34</f>
        <v>0</v>
      </c>
      <c r="S36" s="47"/>
      <c r="T36" s="48"/>
      <c r="U36" s="51"/>
      <c r="V36" s="51"/>
      <c r="W36" s="53"/>
      <c r="X36" s="56" t="s">
        <v>26</v>
      </c>
      <c r="Y36" s="57">
        <f>AA34-Z34</f>
        <v>0</v>
      </c>
      <c r="Z36" s="47"/>
      <c r="AA36" s="48"/>
      <c r="AB36" s="51"/>
      <c r="AC36" s="51"/>
      <c r="AD36" s="53"/>
      <c r="AE36" s="56" t="s">
        <v>26</v>
      </c>
      <c r="AF36" s="57">
        <f>AH34-AG34</f>
        <v>0</v>
      </c>
      <c r="AG36" s="47"/>
      <c r="AH36" s="48"/>
      <c r="AI36" s="51"/>
      <c r="AJ36" s="51"/>
      <c r="AL36" s="58"/>
      <c r="AM36" s="45"/>
      <c r="AN36" s="59"/>
      <c r="AO36" s="59"/>
      <c r="AP36" s="54"/>
    </row>
    <row r="37">
      <c r="A37" s="1"/>
      <c r="B37" s="2" t="s">
        <v>0</v>
      </c>
      <c r="C37" s="2" t="s">
        <v>1</v>
      </c>
      <c r="D37" s="3" t="s">
        <v>2</v>
      </c>
      <c r="E37" s="2" t="s">
        <v>3</v>
      </c>
      <c r="F37" s="2" t="s">
        <v>4</v>
      </c>
      <c r="G37" s="2" t="s">
        <v>5</v>
      </c>
      <c r="H37" s="5" t="s">
        <v>6</v>
      </c>
      <c r="I37" s="2" t="s">
        <v>0</v>
      </c>
      <c r="J37" s="2" t="s">
        <v>1</v>
      </c>
      <c r="K37" s="4" t="s">
        <v>7</v>
      </c>
      <c r="L37" s="2" t="s">
        <v>3</v>
      </c>
      <c r="M37" s="2" t="s">
        <v>4</v>
      </c>
      <c r="N37" s="2" t="s">
        <v>5</v>
      </c>
      <c r="O37" s="5" t="s">
        <v>6</v>
      </c>
      <c r="P37" s="2" t="s">
        <v>0</v>
      </c>
      <c r="Q37" s="2" t="s">
        <v>1</v>
      </c>
      <c r="R37" s="4" t="s">
        <v>7</v>
      </c>
      <c r="S37" s="2" t="s">
        <v>3</v>
      </c>
      <c r="T37" s="2" t="s">
        <v>4</v>
      </c>
      <c r="U37" s="2" t="s">
        <v>5</v>
      </c>
      <c r="V37" s="5" t="s">
        <v>6</v>
      </c>
      <c r="W37" s="2" t="s">
        <v>0</v>
      </c>
      <c r="X37" s="2" t="s">
        <v>1</v>
      </c>
      <c r="Y37" s="4" t="s">
        <v>7</v>
      </c>
      <c r="Z37" s="2" t="s">
        <v>3</v>
      </c>
      <c r="AA37" s="2" t="s">
        <v>4</v>
      </c>
      <c r="AB37" s="2" t="s">
        <v>5</v>
      </c>
      <c r="AC37" s="5" t="s">
        <v>6</v>
      </c>
      <c r="AD37" s="2" t="s">
        <v>0</v>
      </c>
      <c r="AE37" s="2" t="s">
        <v>1</v>
      </c>
      <c r="AF37" s="4" t="s">
        <v>7</v>
      </c>
      <c r="AG37" s="2" t="s">
        <v>3</v>
      </c>
      <c r="AH37" s="2" t="s">
        <v>4</v>
      </c>
      <c r="AI37" s="2" t="s">
        <v>5</v>
      </c>
      <c r="AJ37" s="5" t="s">
        <v>6</v>
      </c>
      <c r="AM37" s="2" t="s">
        <v>1</v>
      </c>
      <c r="AN37" s="4" t="s">
        <v>7</v>
      </c>
      <c r="AO37" s="2" t="s">
        <v>3</v>
      </c>
      <c r="AP37" s="6" t="s">
        <v>8</v>
      </c>
      <c r="AQ37" s="5" t="s">
        <v>6</v>
      </c>
    </row>
    <row r="38">
      <c r="A38" s="60" t="s">
        <v>34</v>
      </c>
      <c r="B38" s="12">
        <v>45995.0</v>
      </c>
      <c r="C38" s="9" t="s">
        <v>10</v>
      </c>
      <c r="D38" s="10"/>
      <c r="E38" s="10"/>
      <c r="F38" s="10"/>
      <c r="G38" s="10"/>
      <c r="H38" s="11"/>
      <c r="I38" s="12">
        <v>46002.0</v>
      </c>
      <c r="J38" s="9" t="s">
        <v>10</v>
      </c>
      <c r="K38" s="10"/>
      <c r="L38" s="10"/>
      <c r="M38" s="10"/>
      <c r="N38" s="10"/>
      <c r="O38" s="11"/>
      <c r="P38" s="8">
        <v>46009.0</v>
      </c>
      <c r="Q38" s="9" t="s">
        <v>10</v>
      </c>
      <c r="R38" s="10"/>
      <c r="S38" s="10"/>
      <c r="T38" s="10"/>
      <c r="U38" s="10"/>
      <c r="V38" s="11"/>
      <c r="W38" s="167">
        <v>46016.0</v>
      </c>
      <c r="X38" s="287" t="s">
        <v>10</v>
      </c>
      <c r="Y38" s="288"/>
      <c r="Z38" s="288"/>
      <c r="AA38" s="288"/>
      <c r="AB38" s="288"/>
      <c r="AC38" s="289"/>
      <c r="AD38" s="8"/>
      <c r="AE38" s="9" t="s">
        <v>10</v>
      </c>
      <c r="AF38" s="10"/>
      <c r="AG38" s="10"/>
      <c r="AH38" s="10"/>
      <c r="AI38" s="10"/>
      <c r="AJ38" s="11"/>
      <c r="AL38" s="18" t="s">
        <v>36</v>
      </c>
      <c r="AM38" s="9" t="s">
        <v>10</v>
      </c>
      <c r="AN38" s="10">
        <f t="shared" ref="AN38:AP38" si="46">D38+K38+R38+Y38+AF38</f>
        <v>0</v>
      </c>
      <c r="AO38" s="10">
        <f t="shared" si="46"/>
        <v>0</v>
      </c>
      <c r="AP38" s="10">
        <f t="shared" si="46"/>
        <v>0</v>
      </c>
      <c r="AQ38" s="11">
        <f t="shared" ref="AQ38:AQ45" si="48">H38+O38+V38+AC38+AJ38</f>
        <v>0</v>
      </c>
    </row>
    <row r="39">
      <c r="A39" s="19"/>
      <c r="B39" s="19"/>
      <c r="C39" s="9" t="s">
        <v>12</v>
      </c>
      <c r="D39" s="10"/>
      <c r="E39" s="10"/>
      <c r="F39" s="10"/>
      <c r="G39" s="10"/>
      <c r="H39" s="11"/>
      <c r="I39" s="19"/>
      <c r="J39" s="9" t="s">
        <v>12</v>
      </c>
      <c r="K39" s="10"/>
      <c r="L39" s="10"/>
      <c r="M39" s="10"/>
      <c r="N39" s="10"/>
      <c r="O39" s="11"/>
      <c r="P39" s="19"/>
      <c r="Q39" s="9" t="s">
        <v>12</v>
      </c>
      <c r="R39" s="10"/>
      <c r="S39" s="10"/>
      <c r="T39" s="10"/>
      <c r="U39" s="10"/>
      <c r="V39" s="11"/>
      <c r="W39" s="19"/>
      <c r="X39" s="287" t="s">
        <v>280</v>
      </c>
      <c r="Y39" s="288"/>
      <c r="Z39" s="288"/>
      <c r="AA39" s="288"/>
      <c r="AB39" s="288"/>
      <c r="AC39" s="289"/>
      <c r="AD39" s="19"/>
      <c r="AE39" s="9" t="s">
        <v>12</v>
      </c>
      <c r="AF39" s="10"/>
      <c r="AG39" s="10"/>
      <c r="AH39" s="10"/>
      <c r="AI39" s="10"/>
      <c r="AJ39" s="11"/>
      <c r="AL39" s="19"/>
      <c r="AM39" s="9" t="s">
        <v>12</v>
      </c>
      <c r="AN39" s="10">
        <f t="shared" ref="AN39:AP39" si="47">D39+K39+R39+Y39+AF39</f>
        <v>0</v>
      </c>
      <c r="AO39" s="10">
        <f t="shared" si="47"/>
        <v>0</v>
      </c>
      <c r="AP39" s="10">
        <f t="shared" si="47"/>
        <v>0</v>
      </c>
      <c r="AQ39" s="11">
        <f t="shared" si="48"/>
        <v>0</v>
      </c>
    </row>
    <row r="40">
      <c r="A40" s="19"/>
      <c r="B40" s="19"/>
      <c r="C40" s="314" t="s">
        <v>276</v>
      </c>
      <c r="D40" s="291"/>
      <c r="E40" s="10"/>
      <c r="F40" s="10"/>
      <c r="G40" s="10"/>
      <c r="H40" s="11"/>
      <c r="I40" s="19"/>
      <c r="J40" s="9" t="s">
        <v>276</v>
      </c>
      <c r="K40" s="10"/>
      <c r="L40" s="10"/>
      <c r="M40" s="10"/>
      <c r="N40" s="10"/>
      <c r="O40" s="11"/>
      <c r="P40" s="19"/>
      <c r="Q40" s="9" t="s">
        <v>276</v>
      </c>
      <c r="R40" s="10"/>
      <c r="S40" s="10"/>
      <c r="T40" s="10"/>
      <c r="U40" s="10"/>
      <c r="V40" s="11"/>
      <c r="W40" s="19"/>
      <c r="X40" s="287" t="s">
        <v>276</v>
      </c>
      <c r="Y40" s="288"/>
      <c r="Z40" s="288"/>
      <c r="AA40" s="288"/>
      <c r="AB40" s="288"/>
      <c r="AC40" s="289"/>
      <c r="AD40" s="19"/>
      <c r="AE40" s="9" t="s">
        <v>14</v>
      </c>
      <c r="AF40" s="10"/>
      <c r="AG40" s="10"/>
      <c r="AH40" s="10"/>
      <c r="AI40" s="10"/>
      <c r="AJ40" s="11"/>
      <c r="AL40" s="19"/>
      <c r="AM40" s="9" t="s">
        <v>14</v>
      </c>
      <c r="AN40" s="10">
        <f t="shared" ref="AN40:AP40" si="49">D40+K40+R40+Y40+AF40</f>
        <v>0</v>
      </c>
      <c r="AO40" s="10">
        <f t="shared" si="49"/>
        <v>0</v>
      </c>
      <c r="AP40" s="10">
        <f t="shared" si="49"/>
        <v>0</v>
      </c>
      <c r="AQ40" s="11">
        <f t="shared" si="48"/>
        <v>0</v>
      </c>
    </row>
    <row r="41">
      <c r="A41" s="19"/>
      <c r="B41" s="19"/>
      <c r="C41" s="9" t="s">
        <v>16</v>
      </c>
      <c r="D41" s="10"/>
      <c r="E41" s="10"/>
      <c r="F41" s="10"/>
      <c r="G41" s="10"/>
      <c r="H41" s="11"/>
      <c r="I41" s="19"/>
      <c r="J41" s="9" t="s">
        <v>16</v>
      </c>
      <c r="K41" s="10"/>
      <c r="L41" s="10"/>
      <c r="M41" s="10"/>
      <c r="N41" s="10"/>
      <c r="O41" s="11"/>
      <c r="P41" s="19"/>
      <c r="Q41" s="9" t="s">
        <v>16</v>
      </c>
      <c r="R41" s="10"/>
      <c r="S41" s="10"/>
      <c r="T41" s="10"/>
      <c r="U41" s="10"/>
      <c r="V41" s="11"/>
      <c r="W41" s="19"/>
      <c r="X41" s="287" t="s">
        <v>16</v>
      </c>
      <c r="Y41" s="288"/>
      <c r="Z41" s="288"/>
      <c r="AA41" s="288"/>
      <c r="AB41" s="288"/>
      <c r="AC41" s="289"/>
      <c r="AD41" s="19"/>
      <c r="AE41" s="9" t="s">
        <v>16</v>
      </c>
      <c r="AF41" s="10"/>
      <c r="AG41" s="10"/>
      <c r="AH41" s="10"/>
      <c r="AI41" s="10"/>
      <c r="AJ41" s="11"/>
      <c r="AL41" s="19"/>
      <c r="AM41" s="9" t="s">
        <v>16</v>
      </c>
      <c r="AN41" s="10">
        <f t="shared" ref="AN41:AP41" si="50">D41+K41+R41+Y41+AF41</f>
        <v>0</v>
      </c>
      <c r="AO41" s="10">
        <f t="shared" si="50"/>
        <v>0</v>
      </c>
      <c r="AP41" s="10">
        <f t="shared" si="50"/>
        <v>0</v>
      </c>
      <c r="AQ41" s="11">
        <f t="shared" si="48"/>
        <v>0</v>
      </c>
    </row>
    <row r="42">
      <c r="A42" s="19"/>
      <c r="B42" s="19"/>
      <c r="C42" s="9" t="s">
        <v>17</v>
      </c>
      <c r="D42" s="10"/>
      <c r="E42" s="10"/>
      <c r="F42" s="10"/>
      <c r="G42" s="10"/>
      <c r="H42" s="11"/>
      <c r="I42" s="19"/>
      <c r="J42" s="9" t="s">
        <v>17</v>
      </c>
      <c r="K42" s="10"/>
      <c r="L42" s="10"/>
      <c r="M42" s="10"/>
      <c r="N42" s="10"/>
      <c r="O42" s="11"/>
      <c r="P42" s="19"/>
      <c r="Q42" s="9" t="s">
        <v>17</v>
      </c>
      <c r="R42" s="10"/>
      <c r="S42" s="10"/>
      <c r="T42" s="10"/>
      <c r="U42" s="10"/>
      <c r="V42" s="11"/>
      <c r="W42" s="19"/>
      <c r="X42" s="287" t="s">
        <v>17</v>
      </c>
      <c r="Y42" s="288"/>
      <c r="Z42" s="288"/>
      <c r="AA42" s="288"/>
      <c r="AB42" s="288"/>
      <c r="AC42" s="289"/>
      <c r="AD42" s="19"/>
      <c r="AE42" s="9" t="s">
        <v>17</v>
      </c>
      <c r="AF42" s="10"/>
      <c r="AG42" s="10"/>
      <c r="AH42" s="10"/>
      <c r="AI42" s="10"/>
      <c r="AJ42" s="11"/>
      <c r="AL42" s="19"/>
      <c r="AM42" s="9" t="s">
        <v>17</v>
      </c>
      <c r="AN42" s="10">
        <f t="shared" ref="AN42:AP42" si="51">D42+K42+R42+Y42+AF42</f>
        <v>0</v>
      </c>
      <c r="AO42" s="10">
        <f t="shared" si="51"/>
        <v>0</v>
      </c>
      <c r="AP42" s="10">
        <f t="shared" si="51"/>
        <v>0</v>
      </c>
      <c r="AQ42" s="11">
        <f t="shared" si="48"/>
        <v>0</v>
      </c>
    </row>
    <row r="43">
      <c r="A43" s="19"/>
      <c r="B43" s="19"/>
      <c r="C43" s="9" t="s">
        <v>18</v>
      </c>
      <c r="D43" s="10"/>
      <c r="E43" s="10"/>
      <c r="F43" s="10"/>
      <c r="G43" s="10"/>
      <c r="H43" s="11"/>
      <c r="I43" s="19"/>
      <c r="J43" s="9" t="s">
        <v>18</v>
      </c>
      <c r="K43" s="10"/>
      <c r="L43" s="10"/>
      <c r="M43" s="10"/>
      <c r="N43" s="10"/>
      <c r="O43" s="11"/>
      <c r="P43" s="19"/>
      <c r="Q43" s="9" t="s">
        <v>18</v>
      </c>
      <c r="R43" s="10"/>
      <c r="S43" s="10"/>
      <c r="T43" s="10"/>
      <c r="U43" s="10"/>
      <c r="V43" s="11"/>
      <c r="W43" s="19"/>
      <c r="X43" s="287" t="s">
        <v>18</v>
      </c>
      <c r="Y43" s="288"/>
      <c r="Z43" s="288"/>
      <c r="AA43" s="288"/>
      <c r="AB43" s="288"/>
      <c r="AC43" s="289"/>
      <c r="AD43" s="19"/>
      <c r="AE43" s="9" t="s">
        <v>18</v>
      </c>
      <c r="AF43" s="10"/>
      <c r="AG43" s="10"/>
      <c r="AH43" s="10"/>
      <c r="AI43" s="10"/>
      <c r="AJ43" s="11"/>
      <c r="AL43" s="19"/>
      <c r="AM43" s="9" t="s">
        <v>18</v>
      </c>
      <c r="AN43" s="10">
        <f t="shared" ref="AN43:AP43" si="52">D43+K43+R43+Y43+AF43</f>
        <v>0</v>
      </c>
      <c r="AO43" s="10">
        <f t="shared" si="52"/>
        <v>0</v>
      </c>
      <c r="AP43" s="10">
        <f t="shared" si="52"/>
        <v>0</v>
      </c>
      <c r="AQ43" s="11">
        <f t="shared" si="48"/>
        <v>0</v>
      </c>
    </row>
    <row r="44">
      <c r="A44" s="19"/>
      <c r="B44" s="19"/>
      <c r="C44" s="9" t="s">
        <v>20</v>
      </c>
      <c r="D44" s="10"/>
      <c r="E44" s="10"/>
      <c r="F44" s="10"/>
      <c r="G44" s="10"/>
      <c r="H44" s="11"/>
      <c r="I44" s="19"/>
      <c r="J44" s="9" t="s">
        <v>19</v>
      </c>
      <c r="K44" s="10"/>
      <c r="L44" s="10"/>
      <c r="M44" s="10"/>
      <c r="N44" s="10"/>
      <c r="O44" s="11"/>
      <c r="P44" s="19"/>
      <c r="Q44" s="9" t="s">
        <v>19</v>
      </c>
      <c r="R44" s="10"/>
      <c r="S44" s="10"/>
      <c r="T44" s="10"/>
      <c r="U44" s="10"/>
      <c r="V44" s="11"/>
      <c r="W44" s="19"/>
      <c r="X44" s="287" t="s">
        <v>19</v>
      </c>
      <c r="Y44" s="288"/>
      <c r="Z44" s="288"/>
      <c r="AA44" s="288"/>
      <c r="AB44" s="288"/>
      <c r="AC44" s="289"/>
      <c r="AD44" s="19"/>
      <c r="AE44" s="9" t="s">
        <v>19</v>
      </c>
      <c r="AF44" s="10"/>
      <c r="AG44" s="10"/>
      <c r="AH44" s="10"/>
      <c r="AI44" s="10"/>
      <c r="AJ44" s="11"/>
      <c r="AL44" s="19"/>
      <c r="AM44" s="9" t="s">
        <v>19</v>
      </c>
      <c r="AN44" s="10">
        <f t="shared" ref="AN44:AP44" si="53">D44+K44+R44+Y44+AF44</f>
        <v>0</v>
      </c>
      <c r="AO44" s="10">
        <f t="shared" si="53"/>
        <v>0</v>
      </c>
      <c r="AP44" s="10">
        <f t="shared" si="53"/>
        <v>0</v>
      </c>
      <c r="AQ44" s="11">
        <f t="shared" si="48"/>
        <v>0</v>
      </c>
    </row>
    <row r="45">
      <c r="A45" s="19"/>
      <c r="B45" s="19"/>
      <c r="C45" s="26" t="s">
        <v>21</v>
      </c>
      <c r="D45" s="10"/>
      <c r="E45" s="10"/>
      <c r="F45" s="10"/>
      <c r="G45" s="10"/>
      <c r="H45" s="11"/>
      <c r="I45" s="19"/>
      <c r="J45" s="26" t="s">
        <v>21</v>
      </c>
      <c r="K45" s="10"/>
      <c r="L45" s="10"/>
      <c r="M45" s="10"/>
      <c r="N45" s="310"/>
      <c r="O45" s="11"/>
      <c r="P45" s="19"/>
      <c r="Q45" s="26" t="s">
        <v>21</v>
      </c>
      <c r="R45" s="10"/>
      <c r="S45" s="10"/>
      <c r="T45" s="10"/>
      <c r="U45" s="10"/>
      <c r="V45" s="11"/>
      <c r="W45" s="19"/>
      <c r="X45" s="293" t="s">
        <v>22</v>
      </c>
      <c r="Y45" s="288"/>
      <c r="Z45" s="288"/>
      <c r="AA45" s="288"/>
      <c r="AB45" s="288"/>
      <c r="AC45" s="289"/>
      <c r="AD45" s="19"/>
      <c r="AE45" s="26" t="s">
        <v>21</v>
      </c>
      <c r="AF45" s="10"/>
      <c r="AG45" s="10"/>
      <c r="AH45" s="10"/>
      <c r="AI45" s="10"/>
      <c r="AJ45" s="11"/>
      <c r="AL45" s="19"/>
      <c r="AM45" s="26" t="s">
        <v>21</v>
      </c>
      <c r="AN45" s="10">
        <f t="shared" ref="AN45:AP45" si="54">D45+K45+R45+Y45+AF45</f>
        <v>0</v>
      </c>
      <c r="AO45" s="10">
        <f t="shared" si="54"/>
        <v>0</v>
      </c>
      <c r="AP45" s="10">
        <f t="shared" si="54"/>
        <v>0</v>
      </c>
      <c r="AQ45" s="11">
        <f t="shared" si="48"/>
        <v>0</v>
      </c>
    </row>
    <row r="46">
      <c r="A46" s="19"/>
      <c r="B46" s="19"/>
      <c r="C46" s="28" t="s">
        <v>23</v>
      </c>
      <c r="D46" s="61">
        <f t="shared" ref="D46:H46" si="55">D38+D39+D40+D41+D42+D43+D44+D45</f>
        <v>0</v>
      </c>
      <c r="E46" s="30">
        <f t="shared" si="55"/>
        <v>0</v>
      </c>
      <c r="F46" s="36">
        <f t="shared" si="55"/>
        <v>0</v>
      </c>
      <c r="G46" s="40">
        <f t="shared" si="55"/>
        <v>0</v>
      </c>
      <c r="H46" s="33">
        <f t="shared" si="55"/>
        <v>0</v>
      </c>
      <c r="I46" s="19"/>
      <c r="J46" s="28" t="s">
        <v>23</v>
      </c>
      <c r="K46" s="61">
        <f t="shared" ref="K46:O46" si="56">K38+K39+K40+K41+K42+K43+K44+K45</f>
        <v>0</v>
      </c>
      <c r="L46" s="35">
        <f t="shared" si="56"/>
        <v>0</v>
      </c>
      <c r="M46" s="31">
        <f t="shared" si="56"/>
        <v>0</v>
      </c>
      <c r="N46" s="37">
        <f t="shared" si="56"/>
        <v>0</v>
      </c>
      <c r="O46" s="38">
        <f t="shared" si="56"/>
        <v>0</v>
      </c>
      <c r="P46" s="19"/>
      <c r="Q46" s="28" t="s">
        <v>23</v>
      </c>
      <c r="R46" s="29">
        <f t="shared" ref="R46:V46" si="57">R38+R39+R40+R41+R42+R43+R44+R45</f>
        <v>0</v>
      </c>
      <c r="S46" s="35">
        <f t="shared" si="57"/>
        <v>0</v>
      </c>
      <c r="T46" s="31">
        <f t="shared" si="57"/>
        <v>0</v>
      </c>
      <c r="U46" s="37">
        <f t="shared" si="57"/>
        <v>0</v>
      </c>
      <c r="V46" s="33">
        <f t="shared" si="57"/>
        <v>0</v>
      </c>
      <c r="W46" s="19"/>
      <c r="X46" s="66" t="s">
        <v>23</v>
      </c>
      <c r="Y46" s="61">
        <f t="shared" ref="Y46:AC46" si="58">Y38+Y39+Y40+Y41+Y42+Y43+Y44+Y45</f>
        <v>0</v>
      </c>
      <c r="Z46" s="40">
        <f t="shared" si="58"/>
        <v>0</v>
      </c>
      <c r="AA46" s="31">
        <f t="shared" si="58"/>
        <v>0</v>
      </c>
      <c r="AB46" s="37">
        <f t="shared" si="58"/>
        <v>0</v>
      </c>
      <c r="AC46" s="33">
        <f t="shared" si="58"/>
        <v>0</v>
      </c>
      <c r="AD46" s="19"/>
      <c r="AE46" s="28" t="s">
        <v>23</v>
      </c>
      <c r="AF46" s="29">
        <f t="shared" ref="AF46:AJ46" si="59">AF38+AF39+AF40+AF41+AF42+AF43+AF44+AF45</f>
        <v>0</v>
      </c>
      <c r="AG46" s="30">
        <f t="shared" si="59"/>
        <v>0</v>
      </c>
      <c r="AH46" s="31">
        <f t="shared" si="59"/>
        <v>0</v>
      </c>
      <c r="AI46" s="32">
        <f t="shared" si="59"/>
        <v>0</v>
      </c>
      <c r="AJ46" s="33">
        <f t="shared" si="59"/>
        <v>0</v>
      </c>
      <c r="AL46" s="19"/>
      <c r="AM46" s="28" t="s">
        <v>23</v>
      </c>
      <c r="AN46" s="41">
        <f t="shared" ref="AN46:AQ46" si="60">AN38+AN39+AN40+AN41+AN42+AN43+AN44+AN45</f>
        <v>0</v>
      </c>
      <c r="AO46" s="42">
        <f t="shared" si="60"/>
        <v>0</v>
      </c>
      <c r="AP46" s="43">
        <f t="shared" si="60"/>
        <v>0</v>
      </c>
      <c r="AQ46" s="44">
        <f t="shared" si="60"/>
        <v>0</v>
      </c>
    </row>
    <row r="47" hidden="1">
      <c r="A47" s="19"/>
      <c r="B47" s="19"/>
      <c r="C47" s="45" t="s">
        <v>24</v>
      </c>
      <c r="D47" s="50">
        <f>D46-E46</f>
        <v>0</v>
      </c>
      <c r="E47" s="47"/>
      <c r="F47" s="48"/>
      <c r="G47" s="51"/>
      <c r="H47" s="51"/>
      <c r="I47" s="19"/>
      <c r="J47" s="45" t="s">
        <v>24</v>
      </c>
      <c r="K47" s="50">
        <f>K46-L46</f>
        <v>0</v>
      </c>
      <c r="L47" s="47"/>
      <c r="M47" s="48"/>
      <c r="N47" s="51"/>
      <c r="O47" s="51"/>
      <c r="P47" s="19"/>
      <c r="Q47" s="45" t="s">
        <v>24</v>
      </c>
      <c r="R47" s="50">
        <f>R46-S46</f>
        <v>0</v>
      </c>
      <c r="S47" s="47"/>
      <c r="T47" s="48"/>
      <c r="U47" s="51"/>
      <c r="V47" s="51"/>
      <c r="W47" s="19"/>
      <c r="X47" s="45" t="s">
        <v>24</v>
      </c>
      <c r="Y47" s="50">
        <f>Y46-Z46</f>
        <v>0</v>
      </c>
      <c r="Z47" s="47"/>
      <c r="AA47" s="48"/>
      <c r="AB47" s="51"/>
      <c r="AC47" s="51"/>
      <c r="AD47" s="19"/>
      <c r="AE47" s="45" t="s">
        <v>24</v>
      </c>
      <c r="AF47" s="50">
        <f>AF46-AG46</f>
        <v>0</v>
      </c>
      <c r="AG47" s="47"/>
      <c r="AH47" s="48"/>
      <c r="AI47" s="51"/>
      <c r="AJ47" s="51"/>
      <c r="AL47" s="53"/>
      <c r="AM47" s="45" t="s">
        <v>25</v>
      </c>
      <c r="AN47" s="50">
        <f>AN46-AO46</f>
        <v>0</v>
      </c>
      <c r="AO47" s="48"/>
      <c r="AP47" s="54"/>
    </row>
    <row r="48" hidden="1">
      <c r="A48" s="53"/>
      <c r="B48" s="53"/>
      <c r="C48" s="56" t="s">
        <v>26</v>
      </c>
      <c r="D48" s="57">
        <f>F46-E46</f>
        <v>0</v>
      </c>
      <c r="E48" s="47"/>
      <c r="F48" s="48"/>
      <c r="G48" s="67"/>
      <c r="H48" s="51"/>
      <c r="I48" s="53"/>
      <c r="J48" s="56" t="s">
        <v>26</v>
      </c>
      <c r="K48" s="57">
        <f>M46-L46</f>
        <v>0</v>
      </c>
      <c r="L48" s="47"/>
      <c r="M48" s="48"/>
      <c r="N48" s="51"/>
      <c r="O48" s="51"/>
      <c r="P48" s="53"/>
      <c r="Q48" s="56" t="s">
        <v>26</v>
      </c>
      <c r="R48" s="57">
        <f>T46-S46</f>
        <v>0</v>
      </c>
      <c r="S48" s="47"/>
      <c r="T48" s="48"/>
      <c r="U48" s="51"/>
      <c r="V48" s="51"/>
      <c r="W48" s="53"/>
      <c r="X48" s="56" t="s">
        <v>26</v>
      </c>
      <c r="Y48" s="57">
        <f>AA46-Z46</f>
        <v>0</v>
      </c>
      <c r="Z48" s="47"/>
      <c r="AA48" s="48"/>
      <c r="AB48" s="51"/>
      <c r="AC48" s="51"/>
      <c r="AD48" s="53"/>
      <c r="AE48" s="56" t="s">
        <v>26</v>
      </c>
      <c r="AF48" s="57">
        <f>AH46-AG46</f>
        <v>0</v>
      </c>
      <c r="AG48" s="47"/>
      <c r="AH48" s="48"/>
      <c r="AI48" s="51"/>
      <c r="AJ48" s="51"/>
      <c r="AL48" s="58"/>
      <c r="AM48" s="45"/>
      <c r="AN48" s="59"/>
      <c r="AO48" s="59"/>
      <c r="AP48" s="54"/>
    </row>
    <row r="49">
      <c r="A49" s="1"/>
      <c r="B49" s="2" t="s">
        <v>0</v>
      </c>
      <c r="C49" s="2" t="s">
        <v>1</v>
      </c>
      <c r="D49" s="3" t="s">
        <v>2</v>
      </c>
      <c r="E49" s="2" t="s">
        <v>3</v>
      </c>
      <c r="F49" s="2" t="s">
        <v>4</v>
      </c>
      <c r="G49" s="2" t="s">
        <v>5</v>
      </c>
      <c r="H49" s="5" t="s">
        <v>6</v>
      </c>
      <c r="I49" s="2" t="s">
        <v>0</v>
      </c>
      <c r="J49" s="2" t="s">
        <v>1</v>
      </c>
      <c r="K49" s="4" t="s">
        <v>7</v>
      </c>
      <c r="L49" s="2" t="s">
        <v>3</v>
      </c>
      <c r="M49" s="2" t="s">
        <v>4</v>
      </c>
      <c r="N49" s="2" t="s">
        <v>5</v>
      </c>
      <c r="O49" s="5" t="s">
        <v>6</v>
      </c>
      <c r="P49" s="2" t="s">
        <v>0</v>
      </c>
      <c r="Q49" s="2" t="s">
        <v>1</v>
      </c>
      <c r="R49" s="4" t="s">
        <v>7</v>
      </c>
      <c r="S49" s="2" t="s">
        <v>3</v>
      </c>
      <c r="T49" s="2" t="s">
        <v>4</v>
      </c>
      <c r="U49" s="2" t="s">
        <v>5</v>
      </c>
      <c r="V49" s="5" t="s">
        <v>6</v>
      </c>
      <c r="W49" s="68" t="s">
        <v>0</v>
      </c>
      <c r="X49" s="2" t="s">
        <v>1</v>
      </c>
      <c r="Y49" s="4" t="s">
        <v>7</v>
      </c>
      <c r="Z49" s="2" t="s">
        <v>3</v>
      </c>
      <c r="AA49" s="2" t="s">
        <v>4</v>
      </c>
      <c r="AB49" s="2" t="s">
        <v>5</v>
      </c>
      <c r="AC49" s="5" t="s">
        <v>6</v>
      </c>
      <c r="AD49" s="2" t="s">
        <v>0</v>
      </c>
      <c r="AE49" s="2" t="s">
        <v>1</v>
      </c>
      <c r="AF49" s="4" t="s">
        <v>7</v>
      </c>
      <c r="AG49" s="2" t="s">
        <v>3</v>
      </c>
      <c r="AH49" s="2" t="s">
        <v>4</v>
      </c>
      <c r="AI49" s="2" t="s">
        <v>5</v>
      </c>
      <c r="AJ49" s="5" t="s">
        <v>6</v>
      </c>
      <c r="AM49" s="2" t="s">
        <v>1</v>
      </c>
      <c r="AN49" s="4" t="s">
        <v>7</v>
      </c>
      <c r="AO49" s="2" t="s">
        <v>3</v>
      </c>
      <c r="AP49" s="6" t="s">
        <v>8</v>
      </c>
      <c r="AQ49" s="5" t="s">
        <v>6</v>
      </c>
    </row>
    <row r="50">
      <c r="A50" s="60" t="s">
        <v>37</v>
      </c>
      <c r="B50" s="12">
        <v>45996.0</v>
      </c>
      <c r="C50" s="9" t="s">
        <v>10</v>
      </c>
      <c r="D50" s="10"/>
      <c r="E50" s="10"/>
      <c r="F50" s="10"/>
      <c r="G50" s="10"/>
      <c r="H50" s="11"/>
      <c r="I50" s="12">
        <v>46003.0</v>
      </c>
      <c r="J50" s="9" t="s">
        <v>10</v>
      </c>
      <c r="K50" s="10"/>
      <c r="L50" s="10"/>
      <c r="M50" s="10"/>
      <c r="N50" s="10"/>
      <c r="O50" s="11"/>
      <c r="P50" s="8">
        <v>46010.0</v>
      </c>
      <c r="Q50" s="9" t="s">
        <v>10</v>
      </c>
      <c r="R50" s="10"/>
      <c r="S50" s="10"/>
      <c r="T50" s="10"/>
      <c r="U50" s="10"/>
      <c r="V50" s="11"/>
      <c r="W50" s="8">
        <v>46017.0</v>
      </c>
      <c r="X50" s="9" t="s">
        <v>10</v>
      </c>
      <c r="Y50" s="10"/>
      <c r="Z50" s="10"/>
      <c r="AA50" s="10"/>
      <c r="AB50" s="10"/>
      <c r="AC50" s="11"/>
      <c r="AD50" s="8"/>
      <c r="AE50" s="9" t="s">
        <v>10</v>
      </c>
      <c r="AF50" s="10"/>
      <c r="AG50" s="10"/>
      <c r="AH50" s="10"/>
      <c r="AI50" s="10"/>
      <c r="AJ50" s="11"/>
      <c r="AL50" s="18" t="s">
        <v>38</v>
      </c>
      <c r="AM50" s="9" t="s">
        <v>10</v>
      </c>
      <c r="AN50" s="10">
        <f t="shared" ref="AN50:AP50" si="61">D50+K50+R50+Y50+AF50</f>
        <v>0</v>
      </c>
      <c r="AO50" s="10">
        <f t="shared" si="61"/>
        <v>0</v>
      </c>
      <c r="AP50" s="10">
        <f t="shared" si="61"/>
        <v>0</v>
      </c>
      <c r="AQ50" s="11">
        <f t="shared" ref="AQ50:AQ57" si="63">H50+O50+V50+AC50+AJ50</f>
        <v>0</v>
      </c>
    </row>
    <row r="51">
      <c r="A51" s="19"/>
      <c r="B51" s="19"/>
      <c r="C51" s="9" t="s">
        <v>12</v>
      </c>
      <c r="D51" s="10"/>
      <c r="E51" s="10"/>
      <c r="F51" s="10"/>
      <c r="G51" s="10"/>
      <c r="H51" s="11"/>
      <c r="I51" s="19"/>
      <c r="J51" s="9" t="s">
        <v>12</v>
      </c>
      <c r="K51" s="10"/>
      <c r="L51" s="10"/>
      <c r="M51" s="10"/>
      <c r="N51" s="10"/>
      <c r="O51" s="11"/>
      <c r="P51" s="19"/>
      <c r="Q51" s="9" t="s">
        <v>32</v>
      </c>
      <c r="R51" s="10"/>
      <c r="S51" s="10"/>
      <c r="T51" s="10"/>
      <c r="U51" s="10"/>
      <c r="V51" s="11"/>
      <c r="W51" s="19"/>
      <c r="X51" s="9" t="s">
        <v>12</v>
      </c>
      <c r="Y51" s="10"/>
      <c r="Z51" s="10"/>
      <c r="AA51" s="10"/>
      <c r="AB51" s="10"/>
      <c r="AC51" s="11"/>
      <c r="AD51" s="19"/>
      <c r="AE51" s="9" t="s">
        <v>12</v>
      </c>
      <c r="AF51" s="10"/>
      <c r="AG51" s="10"/>
      <c r="AH51" s="10"/>
      <c r="AI51" s="10"/>
      <c r="AJ51" s="11"/>
      <c r="AL51" s="19"/>
      <c r="AM51" s="9" t="s">
        <v>12</v>
      </c>
      <c r="AN51" s="10">
        <f t="shared" ref="AN51:AP51" si="62">D51+K51+R51+Y51+AF51</f>
        <v>0</v>
      </c>
      <c r="AO51" s="10">
        <f t="shared" si="62"/>
        <v>0</v>
      </c>
      <c r="AP51" s="10">
        <f t="shared" si="62"/>
        <v>0</v>
      </c>
      <c r="AQ51" s="11">
        <f t="shared" si="63"/>
        <v>0</v>
      </c>
    </row>
    <row r="52">
      <c r="A52" s="19"/>
      <c r="B52" s="19"/>
      <c r="C52" s="314" t="s">
        <v>276</v>
      </c>
      <c r="D52" s="10"/>
      <c r="E52" s="10"/>
      <c r="F52" s="10"/>
      <c r="G52" s="10"/>
      <c r="H52" s="11"/>
      <c r="I52" s="19"/>
      <c r="J52" s="9" t="s">
        <v>276</v>
      </c>
      <c r="K52" s="291"/>
      <c r="L52" s="10"/>
      <c r="M52" s="10"/>
      <c r="N52" s="10"/>
      <c r="O52" s="11"/>
      <c r="P52" s="19"/>
      <c r="Q52" s="9" t="s">
        <v>276</v>
      </c>
      <c r="R52" s="10"/>
      <c r="S52" s="10"/>
      <c r="T52" s="10"/>
      <c r="U52" s="10"/>
      <c r="V52" s="11"/>
      <c r="W52" s="19"/>
      <c r="X52" s="9" t="s">
        <v>276</v>
      </c>
      <c r="Y52" s="10"/>
      <c r="Z52" s="10"/>
      <c r="AA52" s="10"/>
      <c r="AB52" s="10"/>
      <c r="AC52" s="11"/>
      <c r="AD52" s="19"/>
      <c r="AE52" s="9" t="s">
        <v>14</v>
      </c>
      <c r="AF52" s="10"/>
      <c r="AG52" s="10"/>
      <c r="AH52" s="10"/>
      <c r="AI52" s="10"/>
      <c r="AJ52" s="11"/>
      <c r="AL52" s="19"/>
      <c r="AM52" s="9" t="s">
        <v>14</v>
      </c>
      <c r="AN52" s="10">
        <f t="shared" ref="AN52:AP52" si="64">D52+K52+R52+Y52+AF52</f>
        <v>0</v>
      </c>
      <c r="AO52" s="10">
        <f t="shared" si="64"/>
        <v>0</v>
      </c>
      <c r="AP52" s="10">
        <f t="shared" si="64"/>
        <v>0</v>
      </c>
      <c r="AQ52" s="11">
        <f t="shared" si="63"/>
        <v>0</v>
      </c>
    </row>
    <row r="53">
      <c r="A53" s="19"/>
      <c r="B53" s="19"/>
      <c r="C53" s="9" t="s">
        <v>16</v>
      </c>
      <c r="D53" s="10"/>
      <c r="E53" s="10"/>
      <c r="F53" s="10"/>
      <c r="G53" s="10"/>
      <c r="H53" s="11"/>
      <c r="I53" s="19"/>
      <c r="J53" s="9" t="s">
        <v>15</v>
      </c>
      <c r="K53" s="10"/>
      <c r="L53" s="10"/>
      <c r="M53" s="10"/>
      <c r="N53" s="10"/>
      <c r="O53" s="11"/>
      <c r="P53" s="19"/>
      <c r="Q53" s="9" t="s">
        <v>16</v>
      </c>
      <c r="R53" s="10"/>
      <c r="S53" s="10"/>
      <c r="T53" s="10"/>
      <c r="U53" s="10"/>
      <c r="V53" s="11"/>
      <c r="W53" s="19"/>
      <c r="X53" s="9" t="s">
        <v>16</v>
      </c>
      <c r="Y53" s="10"/>
      <c r="Z53" s="10"/>
      <c r="AA53" s="10"/>
      <c r="AB53" s="310"/>
      <c r="AC53" s="11"/>
      <c r="AD53" s="19"/>
      <c r="AE53" s="9" t="s">
        <v>16</v>
      </c>
      <c r="AF53" s="10"/>
      <c r="AG53" s="10"/>
      <c r="AH53" s="10"/>
      <c r="AI53" s="10"/>
      <c r="AJ53" s="11"/>
      <c r="AL53" s="19"/>
      <c r="AM53" s="9" t="s">
        <v>16</v>
      </c>
      <c r="AN53" s="10">
        <f t="shared" ref="AN53:AP53" si="65">D53+K53+R53+Y53+AF53</f>
        <v>0</v>
      </c>
      <c r="AO53" s="10">
        <f t="shared" si="65"/>
        <v>0</v>
      </c>
      <c r="AP53" s="10">
        <f t="shared" si="65"/>
        <v>0</v>
      </c>
      <c r="AQ53" s="11">
        <f t="shared" si="63"/>
        <v>0</v>
      </c>
    </row>
    <row r="54">
      <c r="A54" s="19"/>
      <c r="B54" s="19"/>
      <c r="C54" s="9" t="s">
        <v>17</v>
      </c>
      <c r="D54" s="10"/>
      <c r="E54" s="10"/>
      <c r="F54" s="10"/>
      <c r="G54" s="10"/>
      <c r="H54" s="11"/>
      <c r="I54" s="19"/>
      <c r="J54" s="9" t="s">
        <v>17</v>
      </c>
      <c r="K54" s="10"/>
      <c r="L54" s="10"/>
      <c r="M54" s="10"/>
      <c r="N54" s="10"/>
      <c r="O54" s="11"/>
      <c r="P54" s="19"/>
      <c r="Q54" s="9" t="s">
        <v>17</v>
      </c>
      <c r="R54" s="10"/>
      <c r="S54" s="10"/>
      <c r="T54" s="10"/>
      <c r="U54" s="10"/>
      <c r="V54" s="11"/>
      <c r="W54" s="19"/>
      <c r="X54" s="9" t="s">
        <v>17</v>
      </c>
      <c r="Y54" s="10"/>
      <c r="Z54" s="10"/>
      <c r="AA54" s="10"/>
      <c r="AB54" s="10"/>
      <c r="AC54" s="11"/>
      <c r="AD54" s="19"/>
      <c r="AE54" s="9" t="s">
        <v>17</v>
      </c>
      <c r="AF54" s="10"/>
      <c r="AG54" s="10"/>
      <c r="AH54" s="10"/>
      <c r="AI54" s="10"/>
      <c r="AJ54" s="11"/>
      <c r="AL54" s="19"/>
      <c r="AM54" s="9" t="s">
        <v>17</v>
      </c>
      <c r="AN54" s="10">
        <f t="shared" ref="AN54:AP54" si="66">D54+K54+R54+Y54+AF54</f>
        <v>0</v>
      </c>
      <c r="AO54" s="10">
        <f t="shared" si="66"/>
        <v>0</v>
      </c>
      <c r="AP54" s="10">
        <f t="shared" si="66"/>
        <v>0</v>
      </c>
      <c r="AQ54" s="11">
        <f t="shared" si="63"/>
        <v>0</v>
      </c>
    </row>
    <row r="55">
      <c r="A55" s="19"/>
      <c r="B55" s="19"/>
      <c r="C55" s="9" t="s">
        <v>18</v>
      </c>
      <c r="D55" s="10"/>
      <c r="E55" s="10"/>
      <c r="F55" s="10"/>
      <c r="G55" s="10"/>
      <c r="H55" s="11"/>
      <c r="I55" s="19"/>
      <c r="J55" s="9" t="s">
        <v>18</v>
      </c>
      <c r="K55" s="10"/>
      <c r="L55" s="10"/>
      <c r="M55" s="10"/>
      <c r="N55" s="10"/>
      <c r="O55" s="11"/>
      <c r="P55" s="19"/>
      <c r="Q55" s="9" t="s">
        <v>29</v>
      </c>
      <c r="R55" s="10"/>
      <c r="S55" s="10"/>
      <c r="T55" s="10"/>
      <c r="U55" s="10"/>
      <c r="V55" s="70"/>
      <c r="W55" s="19"/>
      <c r="X55" s="9" t="s">
        <v>18</v>
      </c>
      <c r="Y55" s="10"/>
      <c r="Z55" s="10"/>
      <c r="AA55" s="10"/>
      <c r="AB55" s="10"/>
      <c r="AC55" s="11"/>
      <c r="AD55" s="19"/>
      <c r="AE55" s="9" t="s">
        <v>18</v>
      </c>
      <c r="AF55" s="10"/>
      <c r="AG55" s="10"/>
      <c r="AH55" s="10"/>
      <c r="AI55" s="10"/>
      <c r="AJ55" s="11"/>
      <c r="AL55" s="19"/>
      <c r="AM55" s="9" t="s">
        <v>18</v>
      </c>
      <c r="AN55" s="10">
        <f t="shared" ref="AN55:AP55" si="67">D55+K55+R55+Y55+AF55</f>
        <v>0</v>
      </c>
      <c r="AO55" s="10">
        <f t="shared" si="67"/>
        <v>0</v>
      </c>
      <c r="AP55" s="10">
        <f t="shared" si="67"/>
        <v>0</v>
      </c>
      <c r="AQ55" s="11">
        <f t="shared" si="63"/>
        <v>0</v>
      </c>
    </row>
    <row r="56">
      <c r="A56" s="19"/>
      <c r="B56" s="19"/>
      <c r="C56" s="9" t="s">
        <v>20</v>
      </c>
      <c r="D56" s="10"/>
      <c r="E56" s="10"/>
      <c r="F56" s="10"/>
      <c r="G56" s="10"/>
      <c r="H56" s="11"/>
      <c r="I56" s="19"/>
      <c r="J56" s="9" t="s">
        <v>19</v>
      </c>
      <c r="K56" s="10"/>
      <c r="L56" s="10"/>
      <c r="M56" s="10"/>
      <c r="N56" s="10"/>
      <c r="O56" s="11"/>
      <c r="P56" s="19"/>
      <c r="Q56" s="9" t="s">
        <v>19</v>
      </c>
      <c r="R56" s="10"/>
      <c r="S56" s="10"/>
      <c r="T56" s="10"/>
      <c r="U56" s="10"/>
      <c r="V56" s="11"/>
      <c r="W56" s="19"/>
      <c r="X56" s="9" t="s">
        <v>19</v>
      </c>
      <c r="Y56" s="10"/>
      <c r="Z56" s="10"/>
      <c r="AA56" s="10"/>
      <c r="AB56" s="10"/>
      <c r="AC56" s="11"/>
      <c r="AD56" s="19"/>
      <c r="AE56" s="9" t="s">
        <v>19</v>
      </c>
      <c r="AF56" s="10"/>
      <c r="AG56" s="10"/>
      <c r="AH56" s="10"/>
      <c r="AI56" s="10"/>
      <c r="AJ56" s="11"/>
      <c r="AL56" s="19"/>
      <c r="AM56" s="9" t="s">
        <v>19</v>
      </c>
      <c r="AN56" s="10">
        <f t="shared" ref="AN56:AP56" si="68">D56+K56+R56+Y56+AF56</f>
        <v>0</v>
      </c>
      <c r="AO56" s="10">
        <f t="shared" si="68"/>
        <v>0</v>
      </c>
      <c r="AP56" s="10">
        <f t="shared" si="68"/>
        <v>0</v>
      </c>
      <c r="AQ56" s="11">
        <f t="shared" si="63"/>
        <v>0</v>
      </c>
    </row>
    <row r="57">
      <c r="A57" s="19"/>
      <c r="B57" s="19"/>
      <c r="C57" s="26" t="s">
        <v>21</v>
      </c>
      <c r="D57" s="10"/>
      <c r="E57" s="10"/>
      <c r="F57" s="10"/>
      <c r="G57" s="10"/>
      <c r="H57" s="11"/>
      <c r="I57" s="19"/>
      <c r="J57" s="26" t="s">
        <v>21</v>
      </c>
      <c r="K57" s="10"/>
      <c r="L57" s="10"/>
      <c r="M57" s="10"/>
      <c r="N57" s="10"/>
      <c r="O57" s="11"/>
      <c r="P57" s="19"/>
      <c r="Q57" s="26" t="s">
        <v>21</v>
      </c>
      <c r="R57" s="10"/>
      <c r="S57" s="10"/>
      <c r="T57" s="10"/>
      <c r="U57" s="10"/>
      <c r="V57" s="11"/>
      <c r="W57" s="19"/>
      <c r="X57" s="26" t="s">
        <v>21</v>
      </c>
      <c r="Y57" s="10"/>
      <c r="Z57" s="10"/>
      <c r="AA57" s="10"/>
      <c r="AB57" s="310"/>
      <c r="AC57" s="11"/>
      <c r="AD57" s="19"/>
      <c r="AE57" s="26" t="s">
        <v>21</v>
      </c>
      <c r="AF57" s="10"/>
      <c r="AG57" s="10"/>
      <c r="AH57" s="10"/>
      <c r="AI57" s="10"/>
      <c r="AJ57" s="11"/>
      <c r="AL57" s="19"/>
      <c r="AM57" s="26" t="s">
        <v>21</v>
      </c>
      <c r="AN57" s="10">
        <f t="shared" ref="AN57:AP57" si="69">D57+K57+R57+Y57+AF57</f>
        <v>0</v>
      </c>
      <c r="AO57" s="10">
        <f t="shared" si="69"/>
        <v>0</v>
      </c>
      <c r="AP57" s="10">
        <f t="shared" si="69"/>
        <v>0</v>
      </c>
      <c r="AQ57" s="11">
        <f t="shared" si="63"/>
        <v>0</v>
      </c>
    </row>
    <row r="58">
      <c r="A58" s="19"/>
      <c r="B58" s="19"/>
      <c r="C58" s="28" t="s">
        <v>23</v>
      </c>
      <c r="D58" s="29">
        <f t="shared" ref="D58:H58" si="70">D50+D51+D52+D53+D54+D55+D56+D57</f>
        <v>0</v>
      </c>
      <c r="E58" s="30">
        <f t="shared" si="70"/>
        <v>0</v>
      </c>
      <c r="F58" s="31">
        <f t="shared" si="70"/>
        <v>0</v>
      </c>
      <c r="G58" s="37">
        <f t="shared" si="70"/>
        <v>0</v>
      </c>
      <c r="H58" s="33">
        <f t="shared" si="70"/>
        <v>0</v>
      </c>
      <c r="I58" s="19"/>
      <c r="J58" s="28" t="s">
        <v>23</v>
      </c>
      <c r="K58" s="61">
        <f t="shared" ref="K58:O58" si="71">K50+K51+K52+K53+K54+K55+K56+K57</f>
        <v>0</v>
      </c>
      <c r="L58" s="30">
        <f t="shared" si="71"/>
        <v>0</v>
      </c>
      <c r="M58" s="36">
        <f t="shared" si="71"/>
        <v>0</v>
      </c>
      <c r="N58" s="40">
        <f t="shared" si="71"/>
        <v>0</v>
      </c>
      <c r="O58" s="33">
        <f t="shared" si="71"/>
        <v>0</v>
      </c>
      <c r="P58" s="19"/>
      <c r="Q58" s="28" t="s">
        <v>23</v>
      </c>
      <c r="R58" s="29">
        <f t="shared" ref="R58:V58" si="72">R50+R51+R52+R53+R54+R55+R56+R57</f>
        <v>0</v>
      </c>
      <c r="S58" s="30">
        <f t="shared" si="72"/>
        <v>0</v>
      </c>
      <c r="T58" s="36">
        <f t="shared" si="72"/>
        <v>0</v>
      </c>
      <c r="U58" s="37">
        <f t="shared" si="72"/>
        <v>0</v>
      </c>
      <c r="V58" s="33">
        <f t="shared" si="72"/>
        <v>0</v>
      </c>
      <c r="W58" s="19"/>
      <c r="X58" s="28" t="s">
        <v>23</v>
      </c>
      <c r="Y58" s="61">
        <f t="shared" ref="Y58:AC58" si="73">Y50+Y51+Y52+Y53+Y54+Y55+Y56+Y57</f>
        <v>0</v>
      </c>
      <c r="Z58" s="35">
        <f t="shared" si="73"/>
        <v>0</v>
      </c>
      <c r="AA58" s="36">
        <f t="shared" si="73"/>
        <v>0</v>
      </c>
      <c r="AB58" s="37">
        <f t="shared" si="73"/>
        <v>0</v>
      </c>
      <c r="AC58" s="33">
        <f t="shared" si="73"/>
        <v>0</v>
      </c>
      <c r="AD58" s="19"/>
      <c r="AE58" s="28" t="s">
        <v>23</v>
      </c>
      <c r="AF58" s="29">
        <f t="shared" ref="AF58:AJ58" si="74">AF50+AF51+AF52+AF53+AF54+AF55+AF56+AF57</f>
        <v>0</v>
      </c>
      <c r="AG58" s="30">
        <f t="shared" si="74"/>
        <v>0</v>
      </c>
      <c r="AH58" s="31">
        <f t="shared" si="74"/>
        <v>0</v>
      </c>
      <c r="AI58" s="32">
        <f t="shared" si="74"/>
        <v>0</v>
      </c>
      <c r="AJ58" s="33">
        <f t="shared" si="74"/>
        <v>0</v>
      </c>
      <c r="AL58" s="19"/>
      <c r="AM58" s="28" t="s">
        <v>23</v>
      </c>
      <c r="AN58" s="41">
        <f t="shared" ref="AN58:AQ58" si="75">AN50+AN51+AN52+AN53+AN54+AN55+AN56+AN57</f>
        <v>0</v>
      </c>
      <c r="AO58" s="42">
        <f t="shared" si="75"/>
        <v>0</v>
      </c>
      <c r="AP58" s="43">
        <f t="shared" si="75"/>
        <v>0</v>
      </c>
      <c r="AQ58" s="44">
        <f t="shared" si="75"/>
        <v>0</v>
      </c>
    </row>
    <row r="59" hidden="1">
      <c r="A59" s="19"/>
      <c r="B59" s="19"/>
      <c r="C59" s="45" t="s">
        <v>24</v>
      </c>
      <c r="D59" s="50">
        <f>D58-E58</f>
        <v>0</v>
      </c>
      <c r="E59" s="47"/>
      <c r="F59" s="48"/>
      <c r="G59" s="51"/>
      <c r="H59" s="51"/>
      <c r="I59" s="19"/>
      <c r="J59" s="45" t="s">
        <v>24</v>
      </c>
      <c r="K59" s="50">
        <f>K58-L58</f>
        <v>0</v>
      </c>
      <c r="L59" s="47"/>
      <c r="M59" s="48"/>
      <c r="N59" s="51"/>
      <c r="O59" s="51"/>
      <c r="P59" s="19"/>
      <c r="Q59" s="45" t="s">
        <v>24</v>
      </c>
      <c r="R59" s="50">
        <f>R58-S58</f>
        <v>0</v>
      </c>
      <c r="S59" s="47"/>
      <c r="T59" s="48"/>
      <c r="U59" s="51"/>
      <c r="V59" s="51"/>
      <c r="W59" s="19"/>
      <c r="X59" s="45" t="s">
        <v>24</v>
      </c>
      <c r="Y59" s="50">
        <f>Y58-Z58</f>
        <v>0</v>
      </c>
      <c r="Z59" s="47"/>
      <c r="AA59" s="48"/>
      <c r="AB59" s="51"/>
      <c r="AC59" s="51"/>
      <c r="AD59" s="19"/>
      <c r="AE59" s="45" t="s">
        <v>24</v>
      </c>
      <c r="AF59" s="50">
        <f>AF58-AG58</f>
        <v>0</v>
      </c>
      <c r="AG59" s="47"/>
      <c r="AH59" s="48"/>
      <c r="AI59" s="51"/>
      <c r="AJ59" s="51"/>
      <c r="AL59" s="53"/>
      <c r="AM59" s="45" t="s">
        <v>25</v>
      </c>
      <c r="AN59" s="50">
        <f>AN58-AO58</f>
        <v>0</v>
      </c>
      <c r="AO59" s="48"/>
      <c r="AP59" s="54"/>
    </row>
    <row r="60" hidden="1">
      <c r="A60" s="53"/>
      <c r="B60" s="53"/>
      <c r="C60" s="56" t="s">
        <v>26</v>
      </c>
      <c r="D60" s="57">
        <f>F58-E58</f>
        <v>0</v>
      </c>
      <c r="E60" s="47"/>
      <c r="F60" s="48"/>
      <c r="G60" s="67"/>
      <c r="H60" s="51"/>
      <c r="I60" s="53"/>
      <c r="J60" s="56" t="s">
        <v>26</v>
      </c>
      <c r="K60" s="57">
        <f>M58-L58</f>
        <v>0</v>
      </c>
      <c r="L60" s="47"/>
      <c r="M60" s="48"/>
      <c r="N60" s="51"/>
      <c r="O60" s="51"/>
      <c r="P60" s="53"/>
      <c r="Q60" s="56" t="s">
        <v>26</v>
      </c>
      <c r="R60" s="57">
        <f>T58-S58</f>
        <v>0</v>
      </c>
      <c r="S60" s="47"/>
      <c r="T60" s="48"/>
      <c r="U60" s="51"/>
      <c r="V60" s="51"/>
      <c r="W60" s="53"/>
      <c r="X60" s="56" t="s">
        <v>26</v>
      </c>
      <c r="Y60" s="57">
        <f>AA58-Z58</f>
        <v>0</v>
      </c>
      <c r="Z60" s="47"/>
      <c r="AA60" s="48"/>
      <c r="AB60" s="51"/>
      <c r="AC60" s="51"/>
      <c r="AD60" s="53"/>
      <c r="AE60" s="56" t="s">
        <v>26</v>
      </c>
      <c r="AF60" s="57">
        <f>AH58-AG58</f>
        <v>0</v>
      </c>
      <c r="AG60" s="47"/>
      <c r="AH60" s="48"/>
      <c r="AI60" s="51"/>
      <c r="AJ60" s="51"/>
      <c r="AL60" s="58"/>
      <c r="AM60" s="45"/>
      <c r="AN60" s="59"/>
      <c r="AO60" s="59"/>
      <c r="AP60" s="54"/>
    </row>
    <row r="61">
      <c r="A61" s="1"/>
      <c r="B61" s="2" t="s">
        <v>0</v>
      </c>
      <c r="C61" s="2" t="s">
        <v>1</v>
      </c>
      <c r="D61" s="3" t="s">
        <v>2</v>
      </c>
      <c r="E61" s="2" t="s">
        <v>3</v>
      </c>
      <c r="F61" s="2" t="s">
        <v>4</v>
      </c>
      <c r="G61" s="2" t="s">
        <v>5</v>
      </c>
      <c r="H61" s="5" t="s">
        <v>6</v>
      </c>
      <c r="I61" s="2" t="s">
        <v>0</v>
      </c>
      <c r="J61" s="2" t="s">
        <v>1</v>
      </c>
      <c r="K61" s="4" t="s">
        <v>7</v>
      </c>
      <c r="L61" s="2" t="s">
        <v>3</v>
      </c>
      <c r="M61" s="2" t="s">
        <v>4</v>
      </c>
      <c r="N61" s="2" t="s">
        <v>5</v>
      </c>
      <c r="O61" s="5" t="s">
        <v>6</v>
      </c>
      <c r="P61" s="2" t="s">
        <v>0</v>
      </c>
      <c r="Q61" s="2" t="s">
        <v>1</v>
      </c>
      <c r="R61" s="4" t="s">
        <v>7</v>
      </c>
      <c r="S61" s="2" t="s">
        <v>3</v>
      </c>
      <c r="T61" s="2" t="s">
        <v>4</v>
      </c>
      <c r="U61" s="2" t="s">
        <v>5</v>
      </c>
      <c r="V61" s="5" t="s">
        <v>6</v>
      </c>
      <c r="W61" s="2" t="s">
        <v>0</v>
      </c>
      <c r="X61" s="2" t="s">
        <v>1</v>
      </c>
      <c r="Y61" s="4" t="s">
        <v>7</v>
      </c>
      <c r="Z61" s="2" t="s">
        <v>3</v>
      </c>
      <c r="AA61" s="2" t="s">
        <v>4</v>
      </c>
      <c r="AB61" s="2" t="s">
        <v>5</v>
      </c>
      <c r="AC61" s="5" t="s">
        <v>6</v>
      </c>
      <c r="AD61" s="2" t="s">
        <v>0</v>
      </c>
      <c r="AE61" s="2" t="s">
        <v>1</v>
      </c>
      <c r="AF61" s="4" t="s">
        <v>7</v>
      </c>
      <c r="AG61" s="2" t="s">
        <v>3</v>
      </c>
      <c r="AH61" s="2" t="s">
        <v>4</v>
      </c>
      <c r="AI61" s="2" t="s">
        <v>5</v>
      </c>
      <c r="AJ61" s="5" t="s">
        <v>6</v>
      </c>
      <c r="AM61" s="2" t="s">
        <v>1</v>
      </c>
      <c r="AN61" s="4" t="s">
        <v>7</v>
      </c>
      <c r="AO61" s="2" t="s">
        <v>3</v>
      </c>
      <c r="AP61" s="6" t="s">
        <v>8</v>
      </c>
      <c r="AQ61" s="5" t="s">
        <v>6</v>
      </c>
    </row>
    <row r="62">
      <c r="A62" s="60" t="s">
        <v>39</v>
      </c>
      <c r="B62" s="12">
        <v>45997.0</v>
      </c>
      <c r="C62" s="9" t="s">
        <v>10</v>
      </c>
      <c r="D62" s="10"/>
      <c r="E62" s="10"/>
      <c r="F62" s="10"/>
      <c r="G62" s="10"/>
      <c r="H62" s="11"/>
      <c r="I62" s="12">
        <v>46004.0</v>
      </c>
      <c r="J62" s="9" t="s">
        <v>10</v>
      </c>
      <c r="K62" s="10"/>
      <c r="L62" s="10"/>
      <c r="M62" s="10"/>
      <c r="N62" s="10"/>
      <c r="O62" s="11"/>
      <c r="P62" s="8">
        <v>46011.0</v>
      </c>
      <c r="Q62" s="9" t="s">
        <v>10</v>
      </c>
      <c r="R62" s="10"/>
      <c r="S62" s="10"/>
      <c r="T62" s="10"/>
      <c r="U62" s="10"/>
      <c r="V62" s="11"/>
      <c r="W62" s="8">
        <v>46018.0</v>
      </c>
      <c r="X62" s="9" t="s">
        <v>10</v>
      </c>
      <c r="Y62" s="10"/>
      <c r="Z62" s="10"/>
      <c r="AA62" s="10"/>
      <c r="AB62" s="10"/>
      <c r="AC62" s="11"/>
      <c r="AD62" s="12"/>
      <c r="AE62" s="9" t="s">
        <v>10</v>
      </c>
      <c r="AF62" s="10"/>
      <c r="AG62" s="10"/>
      <c r="AH62" s="10"/>
      <c r="AI62" s="10"/>
      <c r="AJ62" s="11"/>
      <c r="AL62" s="18" t="s">
        <v>40</v>
      </c>
      <c r="AM62" s="9" t="s">
        <v>10</v>
      </c>
      <c r="AN62" s="10">
        <f t="shared" ref="AN62:AP62" si="76">D62+K62+R62+Y62+AF62</f>
        <v>0</v>
      </c>
      <c r="AO62" s="10">
        <f t="shared" si="76"/>
        <v>0</v>
      </c>
      <c r="AP62" s="10">
        <f t="shared" si="76"/>
        <v>0</v>
      </c>
      <c r="AQ62" s="11">
        <f t="shared" ref="AQ62:AQ69" si="78">H62+O62+V62+AC62+AJ62</f>
        <v>0</v>
      </c>
    </row>
    <row r="63">
      <c r="A63" s="19"/>
      <c r="B63" s="19"/>
      <c r="C63" s="9" t="s">
        <v>12</v>
      </c>
      <c r="D63" s="10"/>
      <c r="E63" s="10"/>
      <c r="F63" s="10"/>
      <c r="G63" s="10"/>
      <c r="H63" s="11"/>
      <c r="I63" s="19"/>
      <c r="J63" s="9" t="s">
        <v>12</v>
      </c>
      <c r="K63" s="10"/>
      <c r="L63" s="10"/>
      <c r="M63" s="10"/>
      <c r="N63" s="10"/>
      <c r="O63" s="11"/>
      <c r="P63" s="19"/>
      <c r="Q63" s="9" t="s">
        <v>12</v>
      </c>
      <c r="R63" s="72"/>
      <c r="S63" s="10"/>
      <c r="T63" s="72"/>
      <c r="U63" s="10"/>
      <c r="V63" s="11"/>
      <c r="W63" s="19"/>
      <c r="X63" s="9" t="s">
        <v>12</v>
      </c>
      <c r="Y63" s="10"/>
      <c r="Z63" s="10"/>
      <c r="AA63" s="10"/>
      <c r="AB63" s="10"/>
      <c r="AC63" s="11"/>
      <c r="AD63" s="19"/>
      <c r="AE63" s="9" t="s">
        <v>12</v>
      </c>
      <c r="AF63" s="10"/>
      <c r="AG63" s="10"/>
      <c r="AH63" s="10"/>
      <c r="AI63" s="10"/>
      <c r="AJ63" s="11"/>
      <c r="AL63" s="19"/>
      <c r="AM63" s="9" t="s">
        <v>12</v>
      </c>
      <c r="AN63" s="10">
        <f t="shared" ref="AN63:AP63" si="77">D63+K63+R63+Y63+AF63</f>
        <v>0</v>
      </c>
      <c r="AO63" s="10">
        <f t="shared" si="77"/>
        <v>0</v>
      </c>
      <c r="AP63" s="10">
        <f t="shared" si="77"/>
        <v>0</v>
      </c>
      <c r="AQ63" s="11">
        <f t="shared" si="78"/>
        <v>0</v>
      </c>
    </row>
    <row r="64">
      <c r="A64" s="19"/>
      <c r="B64" s="19"/>
      <c r="C64" s="314" t="s">
        <v>276</v>
      </c>
      <c r="D64" s="291"/>
      <c r="E64" s="10"/>
      <c r="F64" s="10"/>
      <c r="G64" s="10"/>
      <c r="H64" s="11"/>
      <c r="I64" s="19"/>
      <c r="J64" s="9" t="s">
        <v>276</v>
      </c>
      <c r="K64" s="10"/>
      <c r="L64" s="10"/>
      <c r="M64" s="10"/>
      <c r="N64" s="10"/>
      <c r="O64" s="11"/>
      <c r="P64" s="19"/>
      <c r="Q64" s="314" t="s">
        <v>276</v>
      </c>
      <c r="R64" s="10"/>
      <c r="S64" s="10"/>
      <c r="T64" s="10"/>
      <c r="U64" s="10"/>
      <c r="V64" s="11"/>
      <c r="W64" s="19"/>
      <c r="X64" s="9" t="s">
        <v>276</v>
      </c>
      <c r="Y64" s="10"/>
      <c r="Z64" s="10"/>
      <c r="AA64" s="10"/>
      <c r="AB64" s="10"/>
      <c r="AC64" s="11"/>
      <c r="AD64" s="19"/>
      <c r="AE64" s="9" t="s">
        <v>14</v>
      </c>
      <c r="AF64" s="10"/>
      <c r="AG64" s="10"/>
      <c r="AH64" s="10"/>
      <c r="AI64" s="10"/>
      <c r="AJ64" s="11"/>
      <c r="AL64" s="19"/>
      <c r="AM64" s="9" t="s">
        <v>14</v>
      </c>
      <c r="AN64" s="10">
        <f t="shared" ref="AN64:AP64" si="79">D64+K64+R64+Y64+AF64</f>
        <v>0</v>
      </c>
      <c r="AO64" s="10">
        <f t="shared" si="79"/>
        <v>0</v>
      </c>
      <c r="AP64" s="10">
        <f t="shared" si="79"/>
        <v>0</v>
      </c>
      <c r="AQ64" s="11">
        <f t="shared" si="78"/>
        <v>0</v>
      </c>
    </row>
    <row r="65">
      <c r="A65" s="19"/>
      <c r="B65" s="19"/>
      <c r="C65" s="9" t="s">
        <v>16</v>
      </c>
      <c r="D65" s="10"/>
      <c r="E65" s="10"/>
      <c r="F65" s="10"/>
      <c r="G65" s="10"/>
      <c r="H65" s="11"/>
      <c r="I65" s="19"/>
      <c r="J65" s="9" t="s">
        <v>16</v>
      </c>
      <c r="K65" s="10"/>
      <c r="L65" s="10"/>
      <c r="M65" s="10"/>
      <c r="N65" s="10"/>
      <c r="O65" s="11"/>
      <c r="P65" s="19"/>
      <c r="Q65" s="9" t="s">
        <v>16</v>
      </c>
      <c r="R65" s="10"/>
      <c r="S65" s="10"/>
      <c r="T65" s="10"/>
      <c r="U65" s="10"/>
      <c r="V65" s="11"/>
      <c r="W65" s="19"/>
      <c r="X65" s="9" t="s">
        <v>16</v>
      </c>
      <c r="Y65" s="10"/>
      <c r="Z65" s="10"/>
      <c r="AA65" s="10"/>
      <c r="AB65" s="310"/>
      <c r="AC65" s="11"/>
      <c r="AD65" s="19"/>
      <c r="AE65" s="9" t="s">
        <v>16</v>
      </c>
      <c r="AF65" s="10"/>
      <c r="AG65" s="10"/>
      <c r="AH65" s="10"/>
      <c r="AI65" s="10"/>
      <c r="AJ65" s="11"/>
      <c r="AL65" s="19"/>
      <c r="AM65" s="9" t="s">
        <v>16</v>
      </c>
      <c r="AN65" s="10">
        <f t="shared" ref="AN65:AP65" si="80">D65+K65+R65+Y65+AF65</f>
        <v>0</v>
      </c>
      <c r="AO65" s="10">
        <f t="shared" si="80"/>
        <v>0</v>
      </c>
      <c r="AP65" s="10">
        <f t="shared" si="80"/>
        <v>0</v>
      </c>
      <c r="AQ65" s="11">
        <f t="shared" si="78"/>
        <v>0</v>
      </c>
    </row>
    <row r="66">
      <c r="A66" s="19"/>
      <c r="B66" s="19"/>
      <c r="C66" s="9" t="s">
        <v>17</v>
      </c>
      <c r="D66" s="10"/>
      <c r="E66" s="10"/>
      <c r="F66" s="10"/>
      <c r="G66" s="10"/>
      <c r="H66" s="11"/>
      <c r="I66" s="19"/>
      <c r="J66" s="9" t="s">
        <v>17</v>
      </c>
      <c r="K66" s="10"/>
      <c r="L66" s="10"/>
      <c r="M66" s="10"/>
      <c r="N66" s="10"/>
      <c r="O66" s="11"/>
      <c r="P66" s="19"/>
      <c r="Q66" s="9" t="s">
        <v>17</v>
      </c>
      <c r="R66" s="10"/>
      <c r="S66" s="10"/>
      <c r="T66" s="10"/>
      <c r="U66" s="10"/>
      <c r="V66" s="11"/>
      <c r="W66" s="19"/>
      <c r="X66" s="9" t="s">
        <v>17</v>
      </c>
      <c r="Y66" s="10"/>
      <c r="Z66" s="10"/>
      <c r="AA66" s="10"/>
      <c r="AB66" s="10"/>
      <c r="AC66" s="11"/>
      <c r="AD66" s="19"/>
      <c r="AE66" s="9" t="s">
        <v>17</v>
      </c>
      <c r="AF66" s="10"/>
      <c r="AG66" s="10"/>
      <c r="AH66" s="10"/>
      <c r="AI66" s="10"/>
      <c r="AJ66" s="11"/>
      <c r="AL66" s="19"/>
      <c r="AM66" s="9" t="s">
        <v>17</v>
      </c>
      <c r="AN66" s="10">
        <f t="shared" ref="AN66:AP66" si="81">D66+K66+R66+Y66+AF66</f>
        <v>0</v>
      </c>
      <c r="AO66" s="10">
        <f t="shared" si="81"/>
        <v>0</v>
      </c>
      <c r="AP66" s="10">
        <f t="shared" si="81"/>
        <v>0</v>
      </c>
      <c r="AQ66" s="11">
        <f t="shared" si="78"/>
        <v>0</v>
      </c>
    </row>
    <row r="67">
      <c r="A67" s="19"/>
      <c r="B67" s="19"/>
      <c r="C67" s="9" t="s">
        <v>18</v>
      </c>
      <c r="D67" s="10"/>
      <c r="E67" s="10"/>
      <c r="F67" s="10"/>
      <c r="G67" s="10"/>
      <c r="H67" s="11"/>
      <c r="I67" s="19"/>
      <c r="J67" s="9" t="s">
        <v>18</v>
      </c>
      <c r="K67" s="10"/>
      <c r="L67" s="10"/>
      <c r="M67" s="10"/>
      <c r="N67" s="10"/>
      <c r="O67" s="11"/>
      <c r="P67" s="19"/>
      <c r="Q67" s="9" t="s">
        <v>18</v>
      </c>
      <c r="R67" s="10"/>
      <c r="S67" s="10"/>
      <c r="T67" s="10"/>
      <c r="U67" s="10"/>
      <c r="V67" s="11"/>
      <c r="W67" s="19"/>
      <c r="X67" s="9" t="s">
        <v>18</v>
      </c>
      <c r="Y67" s="10"/>
      <c r="Z67" s="10"/>
      <c r="AA67" s="10"/>
      <c r="AB67" s="10"/>
      <c r="AC67" s="11"/>
      <c r="AD67" s="19"/>
      <c r="AE67" s="9" t="s">
        <v>18</v>
      </c>
      <c r="AF67" s="10"/>
      <c r="AG67" s="10"/>
      <c r="AH67" s="10"/>
      <c r="AI67" s="10"/>
      <c r="AJ67" s="11"/>
      <c r="AL67" s="19"/>
      <c r="AM67" s="9" t="s">
        <v>18</v>
      </c>
      <c r="AN67" s="10">
        <f t="shared" ref="AN67:AP67" si="82">D67+K67+R67+Y67+AF67</f>
        <v>0</v>
      </c>
      <c r="AO67" s="10">
        <f t="shared" si="82"/>
        <v>0</v>
      </c>
      <c r="AP67" s="10">
        <f t="shared" si="82"/>
        <v>0</v>
      </c>
      <c r="AQ67" s="11">
        <f t="shared" si="78"/>
        <v>0</v>
      </c>
    </row>
    <row r="68">
      <c r="A68" s="19"/>
      <c r="B68" s="19"/>
      <c r="C68" s="9" t="s">
        <v>20</v>
      </c>
      <c r="D68" s="10"/>
      <c r="E68" s="10"/>
      <c r="F68" s="10"/>
      <c r="G68" s="10"/>
      <c r="H68" s="11"/>
      <c r="I68" s="19"/>
      <c r="J68" s="9" t="s">
        <v>20</v>
      </c>
      <c r="K68" s="10"/>
      <c r="L68" s="10"/>
      <c r="M68" s="10"/>
      <c r="N68" s="10"/>
      <c r="O68" s="11"/>
      <c r="P68" s="19"/>
      <c r="Q68" s="9" t="s">
        <v>19</v>
      </c>
      <c r="R68" s="10"/>
      <c r="S68" s="10"/>
      <c r="T68" s="10"/>
      <c r="U68" s="10"/>
      <c r="V68" s="11"/>
      <c r="W68" s="19"/>
      <c r="X68" s="9" t="s">
        <v>19</v>
      </c>
      <c r="Y68" s="10"/>
      <c r="Z68" s="10"/>
      <c r="AA68" s="10"/>
      <c r="AB68" s="10"/>
      <c r="AC68" s="11"/>
      <c r="AD68" s="19"/>
      <c r="AE68" s="9" t="s">
        <v>19</v>
      </c>
      <c r="AF68" s="10"/>
      <c r="AG68" s="10"/>
      <c r="AH68" s="10"/>
      <c r="AI68" s="10"/>
      <c r="AJ68" s="11"/>
      <c r="AL68" s="19"/>
      <c r="AM68" s="9" t="s">
        <v>19</v>
      </c>
      <c r="AN68" s="10">
        <f t="shared" ref="AN68:AP68" si="83">D68+K68+R68+Y68+AF68</f>
        <v>0</v>
      </c>
      <c r="AO68" s="10">
        <f t="shared" si="83"/>
        <v>0</v>
      </c>
      <c r="AP68" s="10">
        <f t="shared" si="83"/>
        <v>0</v>
      </c>
      <c r="AQ68" s="11">
        <f t="shared" si="78"/>
        <v>0</v>
      </c>
    </row>
    <row r="69">
      <c r="A69" s="19"/>
      <c r="B69" s="19"/>
      <c r="C69" s="26" t="s">
        <v>21</v>
      </c>
      <c r="D69" s="10"/>
      <c r="E69" s="10"/>
      <c r="F69" s="10"/>
      <c r="G69" s="10"/>
      <c r="H69" s="11"/>
      <c r="I69" s="19"/>
      <c r="J69" s="26" t="s">
        <v>21</v>
      </c>
      <c r="K69" s="10"/>
      <c r="L69" s="10"/>
      <c r="M69" s="10"/>
      <c r="N69" s="10"/>
      <c r="O69" s="11"/>
      <c r="P69" s="19"/>
      <c r="Q69" s="26" t="s">
        <v>21</v>
      </c>
      <c r="R69" s="10"/>
      <c r="S69" s="10"/>
      <c r="T69" s="10"/>
      <c r="U69" s="10"/>
      <c r="V69" s="11"/>
      <c r="W69" s="19"/>
      <c r="X69" s="26" t="s">
        <v>21</v>
      </c>
      <c r="Y69" s="10"/>
      <c r="Z69" s="10"/>
      <c r="AA69" s="10"/>
      <c r="AB69" s="310"/>
      <c r="AC69" s="11"/>
      <c r="AD69" s="19"/>
      <c r="AE69" s="26" t="s">
        <v>21</v>
      </c>
      <c r="AF69" s="10"/>
      <c r="AG69" s="10"/>
      <c r="AH69" s="10"/>
      <c r="AI69" s="10"/>
      <c r="AJ69" s="11"/>
      <c r="AL69" s="19"/>
      <c r="AM69" s="26" t="s">
        <v>21</v>
      </c>
      <c r="AN69" s="10">
        <f t="shared" ref="AN69:AP69" si="84">D69+K69+R69+Y69+AF69</f>
        <v>0</v>
      </c>
      <c r="AO69" s="10">
        <f t="shared" si="84"/>
        <v>0</v>
      </c>
      <c r="AP69" s="10">
        <f t="shared" si="84"/>
        <v>0</v>
      </c>
      <c r="AQ69" s="11">
        <f t="shared" si="78"/>
        <v>0</v>
      </c>
    </row>
    <row r="70">
      <c r="A70" s="19"/>
      <c r="B70" s="19"/>
      <c r="C70" s="28" t="s">
        <v>23</v>
      </c>
      <c r="D70" s="61">
        <f t="shared" ref="D70:H70" si="85">D62+D63+D64+D65+D66+D67+D68+D69</f>
        <v>0</v>
      </c>
      <c r="E70" s="30">
        <f t="shared" si="85"/>
        <v>0</v>
      </c>
      <c r="F70" s="36">
        <f t="shared" si="85"/>
        <v>0</v>
      </c>
      <c r="G70" s="40">
        <f t="shared" si="85"/>
        <v>0</v>
      </c>
      <c r="H70" s="33">
        <f t="shared" si="85"/>
        <v>0</v>
      </c>
      <c r="I70" s="19"/>
      <c r="J70" s="28" t="s">
        <v>23</v>
      </c>
      <c r="K70" s="29">
        <f t="shared" ref="K70:O70" si="86">K62+K63+K64+K65+K66+K67+K68+K69</f>
        <v>0</v>
      </c>
      <c r="L70" s="30">
        <f t="shared" si="86"/>
        <v>0</v>
      </c>
      <c r="M70" s="36">
        <f t="shared" si="86"/>
        <v>0</v>
      </c>
      <c r="N70" s="40">
        <f t="shared" si="86"/>
        <v>0</v>
      </c>
      <c r="O70" s="38">
        <f t="shared" si="86"/>
        <v>0</v>
      </c>
      <c r="P70" s="19"/>
      <c r="Q70" s="28" t="s">
        <v>23</v>
      </c>
      <c r="R70" s="29">
        <f t="shared" ref="R70:V70" si="87">R62+R63+R64+R65+R66+R67+R68+R69</f>
        <v>0</v>
      </c>
      <c r="S70" s="30">
        <f t="shared" si="87"/>
        <v>0</v>
      </c>
      <c r="T70" s="31">
        <f t="shared" si="87"/>
        <v>0</v>
      </c>
      <c r="U70" s="37">
        <f t="shared" si="87"/>
        <v>0</v>
      </c>
      <c r="V70" s="33">
        <f t="shared" si="87"/>
        <v>0</v>
      </c>
      <c r="W70" s="19"/>
      <c r="X70" s="28" t="s">
        <v>23</v>
      </c>
      <c r="Y70" s="29">
        <f t="shared" ref="Y70:AC70" si="88">Y62+Y63+Y64+Y65+Y66+Y67+Y68+Y69</f>
        <v>0</v>
      </c>
      <c r="Z70" s="30">
        <f t="shared" si="88"/>
        <v>0</v>
      </c>
      <c r="AA70" s="31">
        <f t="shared" si="88"/>
        <v>0</v>
      </c>
      <c r="AB70" s="37">
        <f t="shared" si="88"/>
        <v>0</v>
      </c>
      <c r="AC70" s="33">
        <f t="shared" si="88"/>
        <v>0</v>
      </c>
      <c r="AD70" s="19"/>
      <c r="AE70" s="28" t="s">
        <v>23</v>
      </c>
      <c r="AF70" s="29">
        <f t="shared" ref="AF70:AJ70" si="89">AF62+AF63+AF64+AF65+AF66+AF67+AF68+AF69</f>
        <v>0</v>
      </c>
      <c r="AG70" s="30">
        <f t="shared" si="89"/>
        <v>0</v>
      </c>
      <c r="AH70" s="31">
        <f t="shared" si="89"/>
        <v>0</v>
      </c>
      <c r="AI70" s="32">
        <f t="shared" si="89"/>
        <v>0</v>
      </c>
      <c r="AJ70" s="33">
        <f t="shared" si="89"/>
        <v>0</v>
      </c>
      <c r="AL70" s="19"/>
      <c r="AM70" s="28" t="s">
        <v>23</v>
      </c>
      <c r="AN70" s="41">
        <f t="shared" ref="AN70:AQ70" si="90">AN62+AN63+AN64+AN65+AN66+AN67+AN68+AN69</f>
        <v>0</v>
      </c>
      <c r="AO70" s="42">
        <f t="shared" si="90"/>
        <v>0</v>
      </c>
      <c r="AP70" s="43">
        <f t="shared" si="90"/>
        <v>0</v>
      </c>
      <c r="AQ70" s="44">
        <f t="shared" si="90"/>
        <v>0</v>
      </c>
    </row>
    <row r="71" hidden="1">
      <c r="A71" s="19"/>
      <c r="B71" s="19"/>
      <c r="C71" s="45" t="s">
        <v>24</v>
      </c>
      <c r="D71" s="50">
        <f>D70-E70</f>
        <v>0</v>
      </c>
      <c r="E71" s="47"/>
      <c r="F71" s="48"/>
      <c r="G71" s="51"/>
      <c r="H71" s="51"/>
      <c r="I71" s="19"/>
      <c r="J71" s="45" t="s">
        <v>24</v>
      </c>
      <c r="K71" s="50">
        <f>K70-L70</f>
        <v>0</v>
      </c>
      <c r="L71" s="47"/>
      <c r="M71" s="48"/>
      <c r="N71" s="51"/>
      <c r="O71" s="51"/>
      <c r="P71" s="19"/>
      <c r="Q71" s="45" t="s">
        <v>24</v>
      </c>
      <c r="R71" s="50">
        <f>R70-S70</f>
        <v>0</v>
      </c>
      <c r="S71" s="47"/>
      <c r="T71" s="48"/>
      <c r="U71" s="51"/>
      <c r="V71" s="51"/>
      <c r="W71" s="19"/>
      <c r="X71" s="45" t="s">
        <v>24</v>
      </c>
      <c r="Y71" s="50">
        <f>Y70-Z70</f>
        <v>0</v>
      </c>
      <c r="Z71" s="47"/>
      <c r="AA71" s="48"/>
      <c r="AB71" s="51"/>
      <c r="AC71" s="51"/>
      <c r="AD71" s="19"/>
      <c r="AE71" s="45" t="s">
        <v>24</v>
      </c>
      <c r="AF71" s="50">
        <f>AF70-AG70</f>
        <v>0</v>
      </c>
      <c r="AG71" s="47"/>
      <c r="AH71" s="48"/>
      <c r="AI71" s="51"/>
      <c r="AJ71" s="51"/>
      <c r="AL71" s="53"/>
      <c r="AM71" s="45" t="s">
        <v>25</v>
      </c>
      <c r="AN71" s="50">
        <f>AN70-AO70</f>
        <v>0</v>
      </c>
      <c r="AO71" s="48"/>
      <c r="AP71" s="54"/>
    </row>
    <row r="72" hidden="1">
      <c r="A72" s="53"/>
      <c r="B72" s="53"/>
      <c r="C72" s="56" t="s">
        <v>26</v>
      </c>
      <c r="D72" s="57">
        <f>F70-E70</f>
        <v>0</v>
      </c>
      <c r="E72" s="47"/>
      <c r="F72" s="48"/>
      <c r="G72" s="59"/>
      <c r="H72" s="51"/>
      <c r="I72" s="53"/>
      <c r="J72" s="56" t="s">
        <v>26</v>
      </c>
      <c r="K72" s="57">
        <f>M70-L70</f>
        <v>0</v>
      </c>
      <c r="L72" s="47"/>
      <c r="M72" s="48"/>
      <c r="N72" s="51"/>
      <c r="O72" s="51"/>
      <c r="P72" s="53"/>
      <c r="Q72" s="56" t="s">
        <v>26</v>
      </c>
      <c r="R72" s="57">
        <f>T70-S70</f>
        <v>0</v>
      </c>
      <c r="S72" s="47"/>
      <c r="T72" s="48"/>
      <c r="U72" s="51"/>
      <c r="V72" s="51"/>
      <c r="W72" s="53"/>
      <c r="X72" s="56" t="s">
        <v>26</v>
      </c>
      <c r="Y72" s="57">
        <f>AA70-Z70</f>
        <v>0</v>
      </c>
      <c r="Z72" s="47"/>
      <c r="AA72" s="48"/>
      <c r="AB72" s="59"/>
      <c r="AC72" s="51"/>
      <c r="AD72" s="53"/>
      <c r="AE72" s="56" t="s">
        <v>26</v>
      </c>
      <c r="AF72" s="57">
        <f>AH70-AG70</f>
        <v>0</v>
      </c>
      <c r="AG72" s="47"/>
      <c r="AH72" s="48"/>
      <c r="AI72" s="51"/>
      <c r="AJ72" s="51"/>
      <c r="AL72" s="58"/>
      <c r="AM72" s="74"/>
      <c r="AN72" s="75"/>
      <c r="AO72" s="75"/>
      <c r="AP72" s="54"/>
    </row>
    <row r="73">
      <c r="B73" s="2" t="s">
        <v>0</v>
      </c>
      <c r="C73" s="2" t="s">
        <v>1</v>
      </c>
      <c r="D73" s="4" t="s">
        <v>7</v>
      </c>
      <c r="E73" s="2" t="s">
        <v>3</v>
      </c>
      <c r="F73" s="2" t="s">
        <v>4</v>
      </c>
      <c r="G73" s="2" t="s">
        <v>5</v>
      </c>
      <c r="H73" s="5" t="s">
        <v>6</v>
      </c>
      <c r="I73" s="2" t="s">
        <v>0</v>
      </c>
      <c r="J73" s="2" t="s">
        <v>1</v>
      </c>
      <c r="K73" s="4" t="s">
        <v>7</v>
      </c>
      <c r="L73" s="2" t="s">
        <v>3</v>
      </c>
      <c r="M73" s="2" t="s">
        <v>4</v>
      </c>
      <c r="N73" s="2" t="s">
        <v>5</v>
      </c>
      <c r="O73" s="5" t="s">
        <v>6</v>
      </c>
      <c r="P73" s="2" t="s">
        <v>0</v>
      </c>
      <c r="Q73" s="2" t="s">
        <v>1</v>
      </c>
      <c r="R73" s="4" t="s">
        <v>7</v>
      </c>
      <c r="S73" s="2" t="s">
        <v>3</v>
      </c>
      <c r="T73" s="2" t="s">
        <v>4</v>
      </c>
      <c r="U73" s="2" t="s">
        <v>5</v>
      </c>
      <c r="V73" s="5" t="s">
        <v>6</v>
      </c>
      <c r="W73" s="2" t="s">
        <v>0</v>
      </c>
      <c r="X73" s="2" t="s">
        <v>1</v>
      </c>
      <c r="Y73" s="4" t="s">
        <v>7</v>
      </c>
      <c r="Z73" s="2" t="s">
        <v>3</v>
      </c>
      <c r="AA73" s="2" t="s">
        <v>4</v>
      </c>
      <c r="AB73" s="2" t="s">
        <v>5</v>
      </c>
      <c r="AC73" s="5" t="s">
        <v>6</v>
      </c>
      <c r="AD73" s="2" t="s">
        <v>0</v>
      </c>
      <c r="AE73" s="2" t="s">
        <v>1</v>
      </c>
      <c r="AF73" s="4" t="s">
        <v>7</v>
      </c>
      <c r="AG73" s="2" t="s">
        <v>3</v>
      </c>
      <c r="AH73" s="2" t="s">
        <v>4</v>
      </c>
      <c r="AI73" s="2" t="s">
        <v>5</v>
      </c>
      <c r="AJ73" s="5" t="s">
        <v>6</v>
      </c>
      <c r="AM73" s="2" t="s">
        <v>1</v>
      </c>
      <c r="AN73" s="4" t="s">
        <v>7</v>
      </c>
      <c r="AO73" s="2" t="s">
        <v>3</v>
      </c>
      <c r="AP73" s="6" t="s">
        <v>8</v>
      </c>
      <c r="AQ73" s="5" t="s">
        <v>6</v>
      </c>
    </row>
    <row r="74">
      <c r="A74" s="60" t="s">
        <v>41</v>
      </c>
      <c r="B74" s="12">
        <v>45998.0</v>
      </c>
      <c r="C74" s="9" t="s">
        <v>10</v>
      </c>
      <c r="D74" s="10"/>
      <c r="E74" s="10"/>
      <c r="F74" s="10"/>
      <c r="G74" s="10"/>
      <c r="H74" s="11"/>
      <c r="I74" s="12">
        <v>46005.0</v>
      </c>
      <c r="J74" s="9"/>
      <c r="K74" s="10"/>
      <c r="L74" s="10"/>
      <c r="M74" s="10"/>
      <c r="N74" s="10"/>
      <c r="O74" s="11"/>
      <c r="P74" s="8">
        <v>46012.0</v>
      </c>
      <c r="Q74" s="9"/>
      <c r="R74" s="10"/>
      <c r="S74" s="10"/>
      <c r="T74" s="10"/>
      <c r="U74" s="10"/>
      <c r="V74" s="11"/>
      <c r="W74" s="8">
        <v>46019.0</v>
      </c>
      <c r="X74" s="9"/>
      <c r="Y74" s="10"/>
      <c r="Z74" s="10"/>
      <c r="AA74" s="10"/>
      <c r="AB74" s="10"/>
      <c r="AC74" s="11"/>
      <c r="AD74" s="12"/>
      <c r="AE74" s="9"/>
      <c r="AF74" s="10"/>
      <c r="AG74" s="10"/>
      <c r="AH74" s="10"/>
      <c r="AI74" s="10"/>
      <c r="AJ74" s="11"/>
      <c r="AL74" s="18" t="s">
        <v>42</v>
      </c>
      <c r="AM74" s="9"/>
      <c r="AN74" s="10"/>
      <c r="AO74" s="10"/>
      <c r="AP74" s="10"/>
      <c r="AQ74" s="11"/>
    </row>
    <row r="75">
      <c r="A75" s="19"/>
      <c r="B75" s="19"/>
      <c r="C75" s="9" t="s">
        <v>12</v>
      </c>
      <c r="D75" s="10"/>
      <c r="E75" s="10"/>
      <c r="F75" s="10"/>
      <c r="G75" s="10"/>
      <c r="H75" s="11"/>
      <c r="I75" s="19"/>
      <c r="J75" s="9"/>
      <c r="K75" s="10"/>
      <c r="L75" s="10"/>
      <c r="M75" s="10"/>
      <c r="N75" s="10"/>
      <c r="O75" s="11"/>
      <c r="P75" s="19"/>
      <c r="Q75" s="9"/>
      <c r="R75" s="10"/>
      <c r="S75" s="10"/>
      <c r="T75" s="10"/>
      <c r="U75" s="10"/>
      <c r="V75" s="11"/>
      <c r="W75" s="19"/>
      <c r="X75" s="9"/>
      <c r="Y75" s="10"/>
      <c r="Z75" s="10"/>
      <c r="AA75" s="10"/>
      <c r="AB75" s="10"/>
      <c r="AC75" s="11"/>
      <c r="AD75" s="19"/>
      <c r="AE75" s="9"/>
      <c r="AF75" s="10"/>
      <c r="AG75" s="10"/>
      <c r="AH75" s="10"/>
      <c r="AI75" s="10"/>
      <c r="AJ75" s="11"/>
      <c r="AL75" s="19"/>
      <c r="AM75" s="9"/>
      <c r="AN75" s="10"/>
      <c r="AO75" s="10"/>
      <c r="AP75" s="10"/>
      <c r="AQ75" s="11"/>
    </row>
    <row r="76">
      <c r="A76" s="19"/>
      <c r="B76" s="19"/>
      <c r="C76" s="314" t="s">
        <v>276</v>
      </c>
      <c r="D76" s="10"/>
      <c r="E76" s="10"/>
      <c r="F76" s="10"/>
      <c r="G76" s="10"/>
      <c r="H76" s="11"/>
      <c r="I76" s="19"/>
      <c r="J76" s="9"/>
      <c r="K76" s="10"/>
      <c r="L76" s="10"/>
      <c r="M76" s="10"/>
      <c r="N76" s="10"/>
      <c r="O76" s="11"/>
      <c r="P76" s="19"/>
      <c r="Q76" s="9"/>
      <c r="R76" s="10"/>
      <c r="S76" s="10"/>
      <c r="T76" s="10"/>
      <c r="U76" s="10"/>
      <c r="V76" s="11"/>
      <c r="W76" s="19"/>
      <c r="X76" s="9"/>
      <c r="Y76" s="10"/>
      <c r="Z76" s="10"/>
      <c r="AA76" s="10"/>
      <c r="AB76" s="10"/>
      <c r="AC76" s="11"/>
      <c r="AD76" s="19"/>
      <c r="AE76" s="9"/>
      <c r="AF76" s="10"/>
      <c r="AG76" s="10"/>
      <c r="AH76" s="10"/>
      <c r="AI76" s="10"/>
      <c r="AJ76" s="11"/>
      <c r="AL76" s="19"/>
      <c r="AM76" s="9"/>
      <c r="AN76" s="10"/>
      <c r="AO76" s="10"/>
      <c r="AP76" s="10"/>
      <c r="AQ76" s="11"/>
    </row>
    <row r="77">
      <c r="A77" s="19"/>
      <c r="B77" s="19"/>
      <c r="C77" s="9" t="s">
        <v>16</v>
      </c>
      <c r="D77" s="10"/>
      <c r="E77" s="10"/>
      <c r="F77" s="10"/>
      <c r="G77" s="10"/>
      <c r="H77" s="11"/>
      <c r="I77" s="19"/>
      <c r="J77" s="9"/>
      <c r="K77" s="10"/>
      <c r="L77" s="10"/>
      <c r="M77" s="10"/>
      <c r="N77" s="10"/>
      <c r="O77" s="11"/>
      <c r="P77" s="19"/>
      <c r="Q77" s="9"/>
      <c r="R77" s="10"/>
      <c r="S77" s="10"/>
      <c r="T77" s="10"/>
      <c r="U77" s="10"/>
      <c r="V77" s="11"/>
      <c r="W77" s="19"/>
      <c r="X77" s="9"/>
      <c r="Y77" s="10"/>
      <c r="Z77" s="10"/>
      <c r="AA77" s="10"/>
      <c r="AB77" s="10"/>
      <c r="AC77" s="11"/>
      <c r="AD77" s="19"/>
      <c r="AE77" s="9"/>
      <c r="AF77" s="10"/>
      <c r="AG77" s="10"/>
      <c r="AH77" s="10"/>
      <c r="AI77" s="10"/>
      <c r="AJ77" s="11"/>
      <c r="AL77" s="19"/>
      <c r="AM77" s="9"/>
      <c r="AN77" s="10"/>
      <c r="AO77" s="10"/>
      <c r="AP77" s="10"/>
      <c r="AQ77" s="11"/>
    </row>
    <row r="78">
      <c r="A78" s="19"/>
      <c r="B78" s="19"/>
      <c r="C78" s="9" t="s">
        <v>17</v>
      </c>
      <c r="D78" s="10"/>
      <c r="E78" s="10"/>
      <c r="F78" s="10"/>
      <c r="G78" s="10"/>
      <c r="H78" s="11"/>
      <c r="I78" s="19"/>
      <c r="J78" s="9"/>
      <c r="K78" s="10"/>
      <c r="L78" s="10"/>
      <c r="M78" s="10"/>
      <c r="N78" s="10"/>
      <c r="O78" s="11"/>
      <c r="P78" s="19"/>
      <c r="Q78" s="9"/>
      <c r="R78" s="10"/>
      <c r="S78" s="10"/>
      <c r="T78" s="10"/>
      <c r="U78" s="10"/>
      <c r="V78" s="11"/>
      <c r="W78" s="19"/>
      <c r="X78" s="9"/>
      <c r="Y78" s="10"/>
      <c r="Z78" s="10"/>
      <c r="AA78" s="10"/>
      <c r="AB78" s="10"/>
      <c r="AC78" s="11"/>
      <c r="AD78" s="19"/>
      <c r="AE78" s="9"/>
      <c r="AF78" s="10"/>
      <c r="AG78" s="10"/>
      <c r="AH78" s="10"/>
      <c r="AI78" s="10"/>
      <c r="AJ78" s="11"/>
      <c r="AL78" s="19"/>
      <c r="AM78" s="9"/>
      <c r="AN78" s="10"/>
      <c r="AO78" s="10"/>
      <c r="AP78" s="10"/>
      <c r="AQ78" s="11"/>
    </row>
    <row r="79">
      <c r="A79" s="19"/>
      <c r="B79" s="19"/>
      <c r="C79" s="9" t="s">
        <v>18</v>
      </c>
      <c r="D79" s="10"/>
      <c r="E79" s="10"/>
      <c r="F79" s="10"/>
      <c r="G79" s="10"/>
      <c r="H79" s="11"/>
      <c r="I79" s="19"/>
      <c r="J79" s="9"/>
      <c r="K79" s="10"/>
      <c r="L79" s="10"/>
      <c r="M79" s="10"/>
      <c r="N79" s="10"/>
      <c r="O79" s="11"/>
      <c r="P79" s="19"/>
      <c r="Q79" s="9"/>
      <c r="R79" s="10"/>
      <c r="S79" s="10"/>
      <c r="T79" s="10"/>
      <c r="U79" s="10"/>
      <c r="V79" s="11"/>
      <c r="W79" s="19"/>
      <c r="X79" s="9"/>
      <c r="Y79" s="10"/>
      <c r="Z79" s="10"/>
      <c r="AA79" s="10"/>
      <c r="AB79" s="10"/>
      <c r="AC79" s="11"/>
      <c r="AD79" s="19"/>
      <c r="AE79" s="9"/>
      <c r="AF79" s="10"/>
      <c r="AG79" s="10"/>
      <c r="AH79" s="10"/>
      <c r="AI79" s="10"/>
      <c r="AJ79" s="11"/>
      <c r="AL79" s="19"/>
      <c r="AM79" s="9"/>
      <c r="AN79" s="10"/>
      <c r="AO79" s="10"/>
      <c r="AP79" s="10"/>
      <c r="AQ79" s="11"/>
    </row>
    <row r="80">
      <c r="A80" s="19"/>
      <c r="B80" s="19"/>
      <c r="C80" s="9" t="s">
        <v>19</v>
      </c>
      <c r="D80" s="10"/>
      <c r="E80" s="10"/>
      <c r="F80" s="10"/>
      <c r="G80" s="10"/>
      <c r="H80" s="11"/>
      <c r="I80" s="19"/>
      <c r="J80" s="9"/>
      <c r="K80" s="10"/>
      <c r="L80" s="10"/>
      <c r="M80" s="10"/>
      <c r="N80" s="10"/>
      <c r="O80" s="11"/>
      <c r="P80" s="19"/>
      <c r="Q80" s="9"/>
      <c r="R80" s="10"/>
      <c r="S80" s="10"/>
      <c r="T80" s="10"/>
      <c r="U80" s="10"/>
      <c r="V80" s="11"/>
      <c r="W80" s="19"/>
      <c r="X80" s="9"/>
      <c r="Y80" s="10"/>
      <c r="Z80" s="10"/>
      <c r="AA80" s="10"/>
      <c r="AB80" s="10"/>
      <c r="AC80" s="11"/>
      <c r="AD80" s="19"/>
      <c r="AE80" s="9"/>
      <c r="AF80" s="10"/>
      <c r="AG80" s="10"/>
      <c r="AH80" s="10"/>
      <c r="AI80" s="10"/>
      <c r="AJ80" s="11"/>
      <c r="AL80" s="19"/>
      <c r="AM80" s="9"/>
      <c r="AN80" s="10"/>
      <c r="AO80" s="10"/>
      <c r="AP80" s="10"/>
      <c r="AQ80" s="11"/>
    </row>
    <row r="81">
      <c r="A81" s="19"/>
      <c r="B81" s="19"/>
      <c r="C81" s="26" t="s">
        <v>21</v>
      </c>
      <c r="D81" s="10"/>
      <c r="E81" s="10"/>
      <c r="F81" s="10"/>
      <c r="G81" s="10"/>
      <c r="H81" s="11"/>
      <c r="I81" s="19"/>
      <c r="J81" s="26" t="s">
        <v>22</v>
      </c>
      <c r="K81" s="10"/>
      <c r="L81" s="10"/>
      <c r="M81" s="10"/>
      <c r="N81" s="10"/>
      <c r="O81" s="11"/>
      <c r="P81" s="19"/>
      <c r="Q81" s="26" t="s">
        <v>21</v>
      </c>
      <c r="R81" s="10"/>
      <c r="S81" s="10"/>
      <c r="T81" s="10"/>
      <c r="U81" s="10"/>
      <c r="V81" s="11"/>
      <c r="W81" s="19"/>
      <c r="X81" s="26" t="s">
        <v>21</v>
      </c>
      <c r="Y81" s="10"/>
      <c r="Z81" s="10"/>
      <c r="AA81" s="10"/>
      <c r="AB81" s="10"/>
      <c r="AC81" s="11"/>
      <c r="AD81" s="19"/>
      <c r="AE81" s="26" t="s">
        <v>21</v>
      </c>
      <c r="AF81" s="10"/>
      <c r="AG81" s="10"/>
      <c r="AH81" s="10"/>
      <c r="AI81" s="10"/>
      <c r="AJ81" s="11"/>
      <c r="AL81" s="19"/>
      <c r="AM81" s="26" t="s">
        <v>21</v>
      </c>
      <c r="AN81" s="10">
        <f t="shared" ref="AN81:AP81" si="91">D81+K81+R81+Y81+AF81</f>
        <v>0</v>
      </c>
      <c r="AO81" s="10">
        <f t="shared" si="91"/>
        <v>0</v>
      </c>
      <c r="AP81" s="10">
        <f t="shared" si="91"/>
        <v>0</v>
      </c>
      <c r="AQ81" s="11">
        <f>H81+O81+V81+AC81+AJ81</f>
        <v>0</v>
      </c>
    </row>
    <row r="82">
      <c r="A82" s="19"/>
      <c r="B82" s="19"/>
      <c r="C82" s="28" t="s">
        <v>23</v>
      </c>
      <c r="D82" s="29">
        <f t="shared" ref="D82:H82" si="92">D74+D75+D76+D77+D78+D79+D80+D81</f>
        <v>0</v>
      </c>
      <c r="E82" s="30">
        <f t="shared" si="92"/>
        <v>0</v>
      </c>
      <c r="F82" s="31">
        <f t="shared" si="92"/>
        <v>0</v>
      </c>
      <c r="G82" s="32">
        <f t="shared" si="92"/>
        <v>0</v>
      </c>
      <c r="H82" s="33">
        <f t="shared" si="92"/>
        <v>0</v>
      </c>
      <c r="I82" s="19"/>
      <c r="J82" s="28" t="s">
        <v>23</v>
      </c>
      <c r="K82" s="29">
        <f t="shared" ref="K82:O82" si="93">K74+K75+K76+K77+K78+K79+K80+K81</f>
        <v>0</v>
      </c>
      <c r="L82" s="30">
        <f t="shared" si="93"/>
        <v>0</v>
      </c>
      <c r="M82" s="31">
        <f t="shared" si="93"/>
        <v>0</v>
      </c>
      <c r="N82" s="32">
        <f t="shared" si="93"/>
        <v>0</v>
      </c>
      <c r="O82" s="33">
        <f t="shared" si="93"/>
        <v>0</v>
      </c>
      <c r="P82" s="19"/>
      <c r="Q82" s="28" t="s">
        <v>23</v>
      </c>
      <c r="R82" s="29">
        <f t="shared" ref="R82:V82" si="94">R74+R75+R76+R77+R78+R79+R80+R81</f>
        <v>0</v>
      </c>
      <c r="S82" s="30">
        <f t="shared" si="94"/>
        <v>0</v>
      </c>
      <c r="T82" s="31">
        <f t="shared" si="94"/>
        <v>0</v>
      </c>
      <c r="U82" s="32">
        <f t="shared" si="94"/>
        <v>0</v>
      </c>
      <c r="V82" s="33">
        <f t="shared" si="94"/>
        <v>0</v>
      </c>
      <c r="W82" s="19"/>
      <c r="X82" s="28" t="s">
        <v>23</v>
      </c>
      <c r="Y82" s="29">
        <f t="shared" ref="Y82:AC82" si="95">Y74+Y75+Y76+Y77+Y78+Y79+Y80+Y81</f>
        <v>0</v>
      </c>
      <c r="Z82" s="30">
        <f t="shared" si="95"/>
        <v>0</v>
      </c>
      <c r="AA82" s="31">
        <f t="shared" si="95"/>
        <v>0</v>
      </c>
      <c r="AB82" s="32">
        <f t="shared" si="95"/>
        <v>0</v>
      </c>
      <c r="AC82" s="33">
        <f t="shared" si="95"/>
        <v>0</v>
      </c>
      <c r="AD82" s="19"/>
      <c r="AE82" s="28" t="s">
        <v>23</v>
      </c>
      <c r="AF82" s="29">
        <f t="shared" ref="AF82:AJ82" si="96">AF74+AF75+AF76+AF77+AF78+AF79+AF80+AF81</f>
        <v>0</v>
      </c>
      <c r="AG82" s="30">
        <f t="shared" si="96"/>
        <v>0</v>
      </c>
      <c r="AH82" s="31">
        <f t="shared" si="96"/>
        <v>0</v>
      </c>
      <c r="AI82" s="32">
        <f t="shared" si="96"/>
        <v>0</v>
      </c>
      <c r="AJ82" s="33">
        <f t="shared" si="96"/>
        <v>0</v>
      </c>
      <c r="AL82" s="19"/>
      <c r="AM82" s="28" t="s">
        <v>23</v>
      </c>
      <c r="AN82" s="41">
        <f t="shared" ref="AN82:AQ82" si="97">AN74+AN75+AN76+AN77+AN78+AN79+AN80+AN81</f>
        <v>0</v>
      </c>
      <c r="AO82" s="42">
        <f t="shared" si="97"/>
        <v>0</v>
      </c>
      <c r="AP82" s="43">
        <f t="shared" si="97"/>
        <v>0</v>
      </c>
      <c r="AQ82" s="44">
        <f t="shared" si="97"/>
        <v>0</v>
      </c>
    </row>
    <row r="83" hidden="1">
      <c r="A83" s="19"/>
      <c r="B83" s="19"/>
      <c r="C83" s="45" t="s">
        <v>24</v>
      </c>
      <c r="D83" s="50">
        <f>D82-E82</f>
        <v>0</v>
      </c>
      <c r="E83" s="47"/>
      <c r="F83" s="48"/>
      <c r="G83" s="51"/>
      <c r="H83" s="51"/>
      <c r="I83" s="19"/>
      <c r="J83" s="45" t="s">
        <v>24</v>
      </c>
      <c r="K83" s="50">
        <f>K82-L82</f>
        <v>0</v>
      </c>
      <c r="L83" s="47"/>
      <c r="M83" s="48"/>
      <c r="N83" s="51"/>
      <c r="O83" s="51"/>
      <c r="P83" s="19"/>
      <c r="Q83" s="45" t="s">
        <v>24</v>
      </c>
      <c r="R83" s="50">
        <f>R82-S82</f>
        <v>0</v>
      </c>
      <c r="S83" s="47"/>
      <c r="T83" s="48"/>
      <c r="U83" s="51"/>
      <c r="V83" s="51"/>
      <c r="W83" s="19"/>
      <c r="X83" s="45" t="s">
        <v>24</v>
      </c>
      <c r="Y83" s="50">
        <f>Y82-Z82</f>
        <v>0</v>
      </c>
      <c r="Z83" s="47"/>
      <c r="AA83" s="48"/>
      <c r="AB83" s="51"/>
      <c r="AC83" s="51"/>
      <c r="AD83" s="19"/>
      <c r="AE83" s="45" t="s">
        <v>24</v>
      </c>
      <c r="AF83" s="50">
        <f>AF82-AG82</f>
        <v>0</v>
      </c>
      <c r="AG83" s="47"/>
      <c r="AH83" s="48"/>
      <c r="AI83" s="51"/>
      <c r="AJ83" s="51"/>
      <c r="AL83" s="53"/>
      <c r="AM83" s="45" t="s">
        <v>25</v>
      </c>
      <c r="AN83" s="50">
        <f>AN82-AO82</f>
        <v>0</v>
      </c>
      <c r="AO83" s="48"/>
      <c r="AP83" s="54"/>
    </row>
    <row r="84" hidden="1">
      <c r="A84" s="53"/>
      <c r="B84" s="53"/>
      <c r="C84" s="56" t="s">
        <v>26</v>
      </c>
      <c r="D84" s="57">
        <f>F82-E82</f>
        <v>0</v>
      </c>
      <c r="E84" s="47"/>
      <c r="F84" s="48"/>
      <c r="G84" s="67"/>
      <c r="H84" s="51"/>
      <c r="I84" s="53"/>
      <c r="J84" s="56" t="s">
        <v>26</v>
      </c>
      <c r="K84" s="57">
        <f>M82-L82</f>
        <v>0</v>
      </c>
      <c r="L84" s="47"/>
      <c r="M84" s="48"/>
      <c r="N84" s="59"/>
      <c r="O84" s="51"/>
      <c r="P84" s="53"/>
      <c r="Q84" s="56" t="s">
        <v>26</v>
      </c>
      <c r="R84" s="57">
        <f>T82-S82</f>
        <v>0</v>
      </c>
      <c r="S84" s="47"/>
      <c r="T84" s="48"/>
      <c r="U84" s="59"/>
      <c r="V84" s="51"/>
      <c r="W84" s="53"/>
      <c r="X84" s="56" t="s">
        <v>26</v>
      </c>
      <c r="Y84" s="57">
        <f>AA82-Z82</f>
        <v>0</v>
      </c>
      <c r="Z84" s="47"/>
      <c r="AA84" s="48"/>
      <c r="AB84" s="59"/>
      <c r="AC84" s="51"/>
      <c r="AD84" s="53"/>
      <c r="AE84" s="56" t="s">
        <v>26</v>
      </c>
      <c r="AF84" s="57">
        <f>AH82-AG82</f>
        <v>0</v>
      </c>
      <c r="AG84" s="47"/>
      <c r="AH84" s="48"/>
      <c r="AI84" s="51"/>
      <c r="AJ84" s="51"/>
      <c r="AL84" s="58"/>
      <c r="AM84" s="74"/>
      <c r="AN84" s="75"/>
      <c r="AO84" s="75"/>
      <c r="AP84" s="54"/>
    </row>
    <row r="85">
      <c r="H85" s="55"/>
      <c r="O85" s="55"/>
      <c r="V85" s="55"/>
      <c r="AC85" s="55"/>
      <c r="AJ85" s="55"/>
    </row>
    <row r="86">
      <c r="H86" s="55"/>
      <c r="O86" s="55"/>
      <c r="V86" s="55"/>
      <c r="AC86" s="55"/>
      <c r="AJ86" s="55"/>
    </row>
    <row r="87">
      <c r="A87" s="54"/>
      <c r="B87" s="76"/>
      <c r="C87" s="77" t="s">
        <v>44</v>
      </c>
      <c r="D87" s="47"/>
      <c r="E87" s="47"/>
      <c r="F87" s="47"/>
      <c r="G87" s="47"/>
      <c r="H87" s="48"/>
      <c r="I87" s="76"/>
      <c r="J87" s="77" t="s">
        <v>44</v>
      </c>
      <c r="K87" s="47"/>
      <c r="L87" s="47"/>
      <c r="M87" s="47"/>
      <c r="N87" s="47"/>
      <c r="O87" s="48"/>
      <c r="P87" s="76"/>
      <c r="Q87" s="77" t="s">
        <v>44</v>
      </c>
      <c r="R87" s="47"/>
      <c r="S87" s="47"/>
      <c r="T87" s="47"/>
      <c r="U87" s="47"/>
      <c r="V87" s="48"/>
      <c r="W87" s="76"/>
      <c r="X87" s="77" t="s">
        <v>44</v>
      </c>
      <c r="Y87" s="47"/>
      <c r="Z87" s="47"/>
      <c r="AA87" s="47"/>
      <c r="AB87" s="47"/>
      <c r="AC87" s="48"/>
      <c r="AD87" s="76"/>
      <c r="AE87" s="77" t="s">
        <v>45</v>
      </c>
      <c r="AF87" s="47"/>
      <c r="AG87" s="47"/>
      <c r="AH87" s="47"/>
      <c r="AI87" s="47"/>
      <c r="AJ87" s="48"/>
      <c r="AK87" s="76"/>
      <c r="AL87" s="76"/>
      <c r="AM87" s="76"/>
      <c r="AN87" s="76"/>
      <c r="AO87" s="76"/>
      <c r="AP87" s="76"/>
      <c r="AQ87" s="76"/>
      <c r="AR87" s="76"/>
      <c r="AS87" s="76"/>
    </row>
    <row r="88">
      <c r="A88" s="78"/>
      <c r="C88" s="9" t="s">
        <v>7</v>
      </c>
      <c r="D88" s="79">
        <f>D10+D22+D34+D46+D58+D70+D82</f>
        <v>0</v>
      </c>
      <c r="E88" s="47"/>
      <c r="F88" s="47"/>
      <c r="G88" s="47"/>
      <c r="H88" s="48"/>
      <c r="J88" s="9" t="s">
        <v>7</v>
      </c>
      <c r="K88" s="79">
        <f>K10+K22+K34+K46+K58+K70+K82</f>
        <v>0</v>
      </c>
      <c r="L88" s="47"/>
      <c r="M88" s="47"/>
      <c r="N88" s="47"/>
      <c r="O88" s="48"/>
      <c r="Q88" s="9" t="s">
        <v>7</v>
      </c>
      <c r="R88" s="79">
        <f>R10+R22+R34+R46+R58+R70+R82</f>
        <v>0</v>
      </c>
      <c r="S88" s="47"/>
      <c r="T88" s="47"/>
      <c r="U88" s="47"/>
      <c r="V88" s="48"/>
      <c r="X88" s="9" t="s">
        <v>7</v>
      </c>
      <c r="Y88" s="79">
        <f>Y10+Y22+Y34+Y46+Y58+Y70+Y82</f>
        <v>0</v>
      </c>
      <c r="Z88" s="47"/>
      <c r="AA88" s="47"/>
      <c r="AB88" s="47"/>
      <c r="AC88" s="48"/>
      <c r="AE88" s="9" t="s">
        <v>7</v>
      </c>
      <c r="AF88" s="79">
        <f>AF10+AF22+AF34+AF46+AF58+AF70+AF82</f>
        <v>0</v>
      </c>
      <c r="AG88" s="47"/>
      <c r="AH88" s="47"/>
      <c r="AI88" s="47"/>
      <c r="AJ88" s="48"/>
      <c r="AN88" s="55">
        <f t="array" ref="AN88">AN10+AN22+AN34+AN46+AN58+AN70</f>
        <v>0</v>
      </c>
      <c r="AP88" s="55">
        <f t="array" ref="AP88">AP10+AP22+AP34+AP46+AP58+AP70</f>
        <v>0</v>
      </c>
    </row>
    <row r="89">
      <c r="A89" s="78"/>
      <c r="C89" s="9" t="s">
        <v>3</v>
      </c>
      <c r="D89" s="80">
        <f>E10+E22+E34+E46+E58+E70+E82</f>
        <v>0</v>
      </c>
      <c r="E89" s="47"/>
      <c r="F89" s="47"/>
      <c r="G89" s="47"/>
      <c r="H89" s="48"/>
      <c r="J89" s="9" t="s">
        <v>3</v>
      </c>
      <c r="K89" s="80">
        <f>L10+L22+L34+L46+L58+L70+L82</f>
        <v>0</v>
      </c>
      <c r="L89" s="47"/>
      <c r="M89" s="47"/>
      <c r="N89" s="47"/>
      <c r="O89" s="48"/>
      <c r="Q89" s="9" t="s">
        <v>3</v>
      </c>
      <c r="R89" s="80">
        <f>S10+S22+S34+S46+S58+S70+S82</f>
        <v>0</v>
      </c>
      <c r="S89" s="47"/>
      <c r="T89" s="47"/>
      <c r="U89" s="47"/>
      <c r="V89" s="48"/>
      <c r="X89" s="9" t="s">
        <v>3</v>
      </c>
      <c r="Y89" s="80">
        <f>Z10+Z22+Z34+Z46+Z58+Z70+Z82</f>
        <v>0</v>
      </c>
      <c r="Z89" s="47"/>
      <c r="AA89" s="47"/>
      <c r="AB89" s="47"/>
      <c r="AC89" s="48"/>
      <c r="AE89" s="9" t="s">
        <v>3</v>
      </c>
      <c r="AF89" s="80">
        <f>AG10+AG22+AG34+AG46+AG58+AG70+AG82</f>
        <v>0</v>
      </c>
      <c r="AG89" s="47"/>
      <c r="AH89" s="47"/>
      <c r="AI89" s="47"/>
      <c r="AJ89" s="48"/>
      <c r="AN89" s="78"/>
    </row>
    <row r="90">
      <c r="A90" s="78"/>
      <c r="C90" s="9" t="s">
        <v>46</v>
      </c>
      <c r="D90" s="81">
        <f>F10+F22+F34+F46+F58+F70+F82</f>
        <v>0</v>
      </c>
      <c r="E90" s="47"/>
      <c r="F90" s="47"/>
      <c r="G90" s="47"/>
      <c r="H90" s="48"/>
      <c r="J90" s="9" t="s">
        <v>46</v>
      </c>
      <c r="K90" s="81">
        <f>M10+M22+M34+M46+M58+M70+M82</f>
        <v>0</v>
      </c>
      <c r="L90" s="47"/>
      <c r="M90" s="47"/>
      <c r="N90" s="47"/>
      <c r="O90" s="48"/>
      <c r="Q90" s="9" t="s">
        <v>46</v>
      </c>
      <c r="R90" s="81">
        <f>T10+T22+T34+T46+T58+T70+T82</f>
        <v>0</v>
      </c>
      <c r="S90" s="47"/>
      <c r="T90" s="47"/>
      <c r="U90" s="47"/>
      <c r="V90" s="48"/>
      <c r="X90" s="9" t="s">
        <v>46</v>
      </c>
      <c r="Y90" s="81">
        <f>AA10+AA22+AA34+AA46+AA58+AA70+AA82</f>
        <v>0</v>
      </c>
      <c r="Z90" s="47"/>
      <c r="AA90" s="47"/>
      <c r="AB90" s="47"/>
      <c r="AC90" s="48"/>
      <c r="AE90" s="9" t="s">
        <v>46</v>
      </c>
      <c r="AF90" s="81">
        <f>AH10+AH22+AH34+AH46+AH58+AH70+AH82</f>
        <v>0</v>
      </c>
      <c r="AG90" s="47"/>
      <c r="AH90" s="47"/>
      <c r="AI90" s="47"/>
      <c r="AJ90" s="48"/>
    </row>
    <row r="91">
      <c r="A91" s="78"/>
      <c r="C91" s="9" t="s">
        <v>47</v>
      </c>
      <c r="D91" s="82">
        <f t="array" ref="D91:F91">D11:E11+D23:E23+D35:E35+D47:E47+D59:E59+D71:E71+D83:F83</f>
        <v>0</v>
      </c>
      <c r="E91" s="47"/>
      <c r="F91" s="47"/>
      <c r="G91" s="47"/>
      <c r="H91" s="48"/>
      <c r="J91" s="9" t="s">
        <v>47</v>
      </c>
      <c r="K91" s="82">
        <f t="array" ref="K91:M91">K11:L11+K23:L23+K35:L35+K47:L47+K59:L59+K71:L71+K83:M83</f>
        <v>0</v>
      </c>
      <c r="L91" s="47"/>
      <c r="M91" s="47"/>
      <c r="N91" s="47"/>
      <c r="O91" s="48"/>
      <c r="Q91" s="9" t="s">
        <v>47</v>
      </c>
      <c r="R91" s="82">
        <f t="array" ref="R91:T91">R11:S11+R23:S23+R35:S35+R47:S47+R59:S59+R71:S71+R83:T83</f>
        <v>0</v>
      </c>
      <c r="S91" s="47"/>
      <c r="T91" s="47"/>
      <c r="U91" s="47"/>
      <c r="V91" s="48"/>
      <c r="X91" s="9" t="s">
        <v>47</v>
      </c>
      <c r="Y91" s="82">
        <f t="array" ref="Y91:AA91">Y11:Z11+Y23:Z23+Y35:Z35+Y47:Z47+Y59:Z59+Y71:Z71+Y83:AA83</f>
        <v>0</v>
      </c>
      <c r="Z91" s="47"/>
      <c r="AA91" s="47"/>
      <c r="AB91" s="47"/>
      <c r="AC91" s="48"/>
      <c r="AE91" s="9" t="s">
        <v>47</v>
      </c>
      <c r="AF91" s="82">
        <f t="array" ref="AF91:AH91">AF11:AG11+AF23:AG23+AF35:AG35+AF47:AG47+AF59:AG59+AF71:AG71+AF83:AH83</f>
        <v>0</v>
      </c>
      <c r="AG91" s="47"/>
      <c r="AH91" s="47"/>
      <c r="AI91" s="47"/>
      <c r="AJ91" s="48"/>
    </row>
    <row r="92">
      <c r="C92" s="9" t="s">
        <v>48</v>
      </c>
      <c r="D92" s="83">
        <f t="array" ref="D92:F92">D12:F12+D24:F24+D36:F36+D48:F48+D60:F60+D72:F72+D84:F84</f>
        <v>0</v>
      </c>
      <c r="E92" s="47"/>
      <c r="F92" s="47"/>
      <c r="G92" s="47"/>
      <c r="H92" s="48"/>
      <c r="J92" s="9" t="s">
        <v>48</v>
      </c>
      <c r="K92" s="83">
        <f t="array" ref="K92:M92">K12:M12+K24:M24+K36:M36+K48:M48+K60:M60+K72:M72+K84:M84</f>
        <v>0</v>
      </c>
      <c r="L92" s="47"/>
      <c r="M92" s="47"/>
      <c r="N92" s="47"/>
      <c r="O92" s="48"/>
      <c r="Q92" s="9" t="s">
        <v>48</v>
      </c>
      <c r="R92" s="83">
        <f t="array" ref="R92:T92">R12:T12+R24:T24+R36:T36+R48:T48+R60:T60+R72:T72+R84:T84</f>
        <v>0</v>
      </c>
      <c r="S92" s="47"/>
      <c r="T92" s="47"/>
      <c r="U92" s="47"/>
      <c r="V92" s="48"/>
      <c r="X92" s="9" t="s">
        <v>48</v>
      </c>
      <c r="Y92" s="83">
        <f t="array" ref="Y92:AA92">Y12:AA12+Y24:AA24+Y36:AA36+Y48:AA48+Y60:AA60+Y72:AA72+Y84:AA84</f>
        <v>0</v>
      </c>
      <c r="Z92" s="47"/>
      <c r="AA92" s="47"/>
      <c r="AB92" s="47"/>
      <c r="AC92" s="48"/>
      <c r="AE92" s="9" t="s">
        <v>48</v>
      </c>
      <c r="AF92" s="83">
        <f t="array" ref="AF92:AH92">AF12:AH12+AF24:AH24+AF36:AH36+AF48:AH48+AF60:AH60+AF72:AH72+AF84:AH84</f>
        <v>0</v>
      </c>
      <c r="AG92" s="47"/>
      <c r="AH92" s="47"/>
      <c r="AI92" s="47"/>
      <c r="AJ92" s="48"/>
    </row>
    <row r="93">
      <c r="C93" s="9" t="s">
        <v>49</v>
      </c>
      <c r="D93" s="84">
        <f t="array" ref="D93">H10+H22+H34+H46+H58+H70+H82</f>
        <v>0</v>
      </c>
      <c r="E93" s="47"/>
      <c r="F93" s="47"/>
      <c r="G93" s="47"/>
      <c r="H93" s="48"/>
      <c r="J93" s="9" t="s">
        <v>49</v>
      </c>
      <c r="K93" s="84">
        <f t="array" ref="K93">O10+O22+O34+O46+O58+O70+O82</f>
        <v>0</v>
      </c>
      <c r="L93" s="47"/>
      <c r="M93" s="47"/>
      <c r="N93" s="47"/>
      <c r="O93" s="48"/>
      <c r="Q93" s="9" t="s">
        <v>49</v>
      </c>
      <c r="R93" s="84">
        <f t="array" ref="R93">V10+V22+V34+V46+V58+V70+V82</f>
        <v>0</v>
      </c>
      <c r="S93" s="47"/>
      <c r="T93" s="47"/>
      <c r="U93" s="47"/>
      <c r="V93" s="48"/>
      <c r="X93" s="9" t="s">
        <v>49</v>
      </c>
      <c r="Y93" s="84">
        <f t="array" ref="Y93">AC10+AC22+AC34+AC46+AC58+AC70+AC82</f>
        <v>0</v>
      </c>
      <c r="Z93" s="47"/>
      <c r="AA93" s="47"/>
      <c r="AB93" s="47"/>
      <c r="AC93" s="48"/>
      <c r="AE93" s="9" t="s">
        <v>49</v>
      </c>
      <c r="AF93" s="84">
        <f t="array" ref="AF93">AJ10+AJ22+AJ34+AJ46+AJ58+AJ70+AJ82</f>
        <v>0</v>
      </c>
      <c r="AG93" s="47"/>
      <c r="AH93" s="47"/>
      <c r="AI93" s="47"/>
      <c r="AJ93" s="48"/>
    </row>
    <row r="94">
      <c r="H94" s="55"/>
      <c r="O94" s="55"/>
      <c r="V94" s="55"/>
      <c r="AC94" s="55"/>
      <c r="AJ94" s="55"/>
    </row>
    <row r="95">
      <c r="H95" s="55"/>
      <c r="O95" s="55"/>
      <c r="V95" s="55"/>
      <c r="AC95" s="55"/>
      <c r="AJ95" s="55"/>
    </row>
    <row r="96">
      <c r="A96" s="76"/>
      <c r="B96" s="76"/>
      <c r="C96" s="77" t="s">
        <v>50</v>
      </c>
      <c r="D96" s="47"/>
      <c r="E96" s="47"/>
      <c r="F96" s="47"/>
      <c r="G96" s="47"/>
      <c r="H96" s="48"/>
      <c r="I96" s="76"/>
      <c r="J96" s="77" t="s">
        <v>51</v>
      </c>
      <c r="K96" s="47"/>
      <c r="L96" s="47"/>
      <c r="M96" s="47"/>
      <c r="N96" s="47"/>
      <c r="O96" s="48"/>
      <c r="P96" s="76"/>
      <c r="Q96" s="77" t="s">
        <v>52</v>
      </c>
      <c r="R96" s="47"/>
      <c r="S96" s="47"/>
      <c r="T96" s="47"/>
      <c r="U96" s="47"/>
      <c r="V96" s="48"/>
      <c r="W96" s="76"/>
      <c r="X96" s="77" t="s">
        <v>53</v>
      </c>
      <c r="Y96" s="47"/>
      <c r="Z96" s="47"/>
      <c r="AA96" s="47"/>
      <c r="AB96" s="47"/>
      <c r="AC96" s="48"/>
      <c r="AD96" s="76"/>
      <c r="AE96" s="77" t="s">
        <v>54</v>
      </c>
      <c r="AF96" s="47"/>
      <c r="AG96" s="47"/>
      <c r="AH96" s="47"/>
      <c r="AI96" s="47"/>
      <c r="AJ96" s="48"/>
      <c r="AK96" s="76"/>
      <c r="AL96" s="76"/>
      <c r="AM96" s="76"/>
      <c r="AN96" s="76"/>
      <c r="AO96" s="76"/>
      <c r="AP96" s="76"/>
      <c r="AQ96" s="76"/>
      <c r="AR96" s="76"/>
      <c r="AS96" s="76"/>
    </row>
    <row r="97">
      <c r="C97" s="2" t="s">
        <v>1</v>
      </c>
      <c r="D97" s="3" t="s">
        <v>7</v>
      </c>
      <c r="E97" s="2" t="s">
        <v>3</v>
      </c>
      <c r="F97" s="2" t="s">
        <v>55</v>
      </c>
      <c r="G97" s="2" t="s">
        <v>56</v>
      </c>
      <c r="H97" s="5" t="s">
        <v>6</v>
      </c>
      <c r="J97" s="2" t="s">
        <v>1</v>
      </c>
      <c r="K97" s="3" t="s">
        <v>7</v>
      </c>
      <c r="L97" s="2" t="s">
        <v>3</v>
      </c>
      <c r="M97" s="2" t="s">
        <v>55</v>
      </c>
      <c r="N97" s="2" t="s">
        <v>56</v>
      </c>
      <c r="O97" s="5" t="s">
        <v>6</v>
      </c>
      <c r="Q97" s="2" t="s">
        <v>1</v>
      </c>
      <c r="R97" s="3" t="s">
        <v>7</v>
      </c>
      <c r="S97" s="2" t="s">
        <v>3</v>
      </c>
      <c r="T97" s="2" t="s">
        <v>55</v>
      </c>
      <c r="U97" s="2" t="s">
        <v>56</v>
      </c>
      <c r="V97" s="5" t="s">
        <v>6</v>
      </c>
      <c r="X97" s="2" t="s">
        <v>1</v>
      </c>
      <c r="Y97" s="3" t="s">
        <v>7</v>
      </c>
      <c r="Z97" s="2" t="s">
        <v>3</v>
      </c>
      <c r="AA97" s="2" t="s">
        <v>55</v>
      </c>
      <c r="AB97" s="2" t="s">
        <v>56</v>
      </c>
      <c r="AC97" s="5" t="s">
        <v>6</v>
      </c>
      <c r="AE97" s="2" t="s">
        <v>1</v>
      </c>
      <c r="AF97" s="3" t="s">
        <v>7</v>
      </c>
      <c r="AG97" s="2" t="s">
        <v>3</v>
      </c>
      <c r="AH97" s="2" t="s">
        <v>55</v>
      </c>
      <c r="AI97" s="2" t="s">
        <v>56</v>
      </c>
      <c r="AJ97" s="5" t="s">
        <v>6</v>
      </c>
    </row>
    <row r="98">
      <c r="C98" s="9" t="s">
        <v>10</v>
      </c>
      <c r="D98" s="85">
        <f t="shared" ref="D98:F98" si="98">D2+D14+D26+D38+D50+D62</f>
        <v>0</v>
      </c>
      <c r="E98" s="10">
        <f t="shared" si="98"/>
        <v>0</v>
      </c>
      <c r="F98" s="10">
        <f t="shared" si="98"/>
        <v>0</v>
      </c>
      <c r="G98" s="86">
        <f t="shared" ref="G98:G105" si="104">F98-E98</f>
        <v>0</v>
      </c>
      <c r="H98" s="87">
        <f t="shared" ref="H98:H104" si="105">H2+H14+H26+H38+H50+H62</f>
        <v>0</v>
      </c>
      <c r="J98" s="9" t="s">
        <v>10</v>
      </c>
      <c r="K98" s="85">
        <f t="shared" ref="K98:M98" si="99">K2+K14+K26+K38+K50+K62</f>
        <v>0</v>
      </c>
      <c r="L98" s="10">
        <f t="shared" si="99"/>
        <v>0</v>
      </c>
      <c r="M98" s="10">
        <f t="shared" si="99"/>
        <v>0</v>
      </c>
      <c r="N98" s="86">
        <f t="shared" ref="N98:N105" si="107">M98-L98</f>
        <v>0</v>
      </c>
      <c r="O98" s="87">
        <f t="shared" ref="O98:O104" si="108">O2+O14+O26+O38+O50+O62</f>
        <v>0</v>
      </c>
      <c r="Q98" s="9" t="s">
        <v>10</v>
      </c>
      <c r="R98" s="85">
        <f t="shared" ref="R98:T98" si="100">R2+R14+R26+R38+R50+R62</f>
        <v>0</v>
      </c>
      <c r="S98" s="10">
        <f t="shared" si="100"/>
        <v>0</v>
      </c>
      <c r="T98" s="10">
        <f t="shared" si="100"/>
        <v>0</v>
      </c>
      <c r="U98" s="86">
        <f t="shared" ref="U98:U105" si="110">T98-S98</f>
        <v>0</v>
      </c>
      <c r="V98" s="87">
        <f t="shared" ref="V98:V104" si="111">V2+V14+V26+V38+V50+V62</f>
        <v>0</v>
      </c>
      <c r="X98" s="9" t="s">
        <v>10</v>
      </c>
      <c r="Y98" s="85">
        <f t="shared" ref="Y98:AA98" si="101">Y2+Y14+Y26+Y38+Y50+Y62</f>
        <v>0</v>
      </c>
      <c r="Z98" s="10">
        <f t="shared" si="101"/>
        <v>0</v>
      </c>
      <c r="AA98" s="10">
        <f t="shared" si="101"/>
        <v>0</v>
      </c>
      <c r="AB98" s="86">
        <f t="shared" ref="AB98:AB105" si="113">AA98-Z98</f>
        <v>0</v>
      </c>
      <c r="AC98" s="87">
        <f t="shared" ref="AC98:AC104" si="114">AC2+AC14+AC26+AC38+AC50+AC62</f>
        <v>0</v>
      </c>
      <c r="AE98" s="9" t="s">
        <v>10</v>
      </c>
      <c r="AF98" s="85">
        <f t="shared" ref="AF98:AH98" si="102">AF2+AF14+AF26+AF38+AF50+AF62</f>
        <v>0</v>
      </c>
      <c r="AG98" s="10">
        <f t="shared" si="102"/>
        <v>0</v>
      </c>
      <c r="AH98" s="10">
        <f t="shared" si="102"/>
        <v>0</v>
      </c>
      <c r="AI98" s="86">
        <f t="shared" ref="AI98:AI105" si="116">AH98-AG98</f>
        <v>0</v>
      </c>
      <c r="AJ98" s="87">
        <f t="shared" ref="AJ98:AJ104" si="117">AJ2+AJ14+AJ26+AJ38+AJ50+AJ62</f>
        <v>0</v>
      </c>
    </row>
    <row r="99">
      <c r="C99" s="9" t="s">
        <v>12</v>
      </c>
      <c r="D99" s="85">
        <f t="shared" ref="D99:F99" si="103">D3+D15+D27+D39+D51+D63</f>
        <v>0</v>
      </c>
      <c r="E99" s="10">
        <f t="shared" si="103"/>
        <v>0</v>
      </c>
      <c r="F99" s="10">
        <f t="shared" si="103"/>
        <v>0</v>
      </c>
      <c r="G99" s="86">
        <f t="shared" si="104"/>
        <v>0</v>
      </c>
      <c r="H99" s="87">
        <f t="shared" si="105"/>
        <v>0</v>
      </c>
      <c r="J99" s="9" t="s">
        <v>12</v>
      </c>
      <c r="K99" s="85">
        <f t="shared" ref="K99:M99" si="106">K3+K15+K27+K39+K51+K63</f>
        <v>0</v>
      </c>
      <c r="L99" s="10">
        <f t="shared" si="106"/>
        <v>0</v>
      </c>
      <c r="M99" s="10">
        <f t="shared" si="106"/>
        <v>0</v>
      </c>
      <c r="N99" s="86">
        <f t="shared" si="107"/>
        <v>0</v>
      </c>
      <c r="O99" s="87">
        <f t="shared" si="108"/>
        <v>0</v>
      </c>
      <c r="Q99" s="9" t="s">
        <v>12</v>
      </c>
      <c r="R99" s="85">
        <f t="shared" ref="R99:T99" si="109">R3+R15+R27+R39+R51+R63</f>
        <v>0</v>
      </c>
      <c r="S99" s="10">
        <f t="shared" si="109"/>
        <v>0</v>
      </c>
      <c r="T99" s="10">
        <f t="shared" si="109"/>
        <v>0</v>
      </c>
      <c r="U99" s="86">
        <f t="shared" si="110"/>
        <v>0</v>
      </c>
      <c r="V99" s="87">
        <f t="shared" si="111"/>
        <v>0</v>
      </c>
      <c r="X99" s="9" t="s">
        <v>12</v>
      </c>
      <c r="Y99" s="85">
        <f t="shared" ref="Y99:AA99" si="112">Y3+Y15+Y27+Y39+Y51+Y63</f>
        <v>0</v>
      </c>
      <c r="Z99" s="10">
        <f t="shared" si="112"/>
        <v>0</v>
      </c>
      <c r="AA99" s="10">
        <f t="shared" si="112"/>
        <v>0</v>
      </c>
      <c r="AB99" s="86">
        <f t="shared" si="113"/>
        <v>0</v>
      </c>
      <c r="AC99" s="87">
        <f t="shared" si="114"/>
        <v>0</v>
      </c>
      <c r="AE99" s="9" t="s">
        <v>12</v>
      </c>
      <c r="AF99" s="85">
        <f t="shared" ref="AF99:AH99" si="115">AF3+AF15+AF27+AF39+AF51+AF63</f>
        <v>0</v>
      </c>
      <c r="AG99" s="10">
        <f t="shared" si="115"/>
        <v>0</v>
      </c>
      <c r="AH99" s="10">
        <f t="shared" si="115"/>
        <v>0</v>
      </c>
      <c r="AI99" s="86">
        <f t="shared" si="116"/>
        <v>0</v>
      </c>
      <c r="AJ99" s="87">
        <f t="shared" si="117"/>
        <v>0</v>
      </c>
    </row>
    <row r="100">
      <c r="C100" s="9" t="s">
        <v>14</v>
      </c>
      <c r="D100" s="85">
        <f t="shared" ref="D100:F100" si="118">D4+D16+D28+D40+D52+D64</f>
        <v>0</v>
      </c>
      <c r="E100" s="10">
        <f t="shared" si="118"/>
        <v>0</v>
      </c>
      <c r="F100" s="10">
        <f t="shared" si="118"/>
        <v>0</v>
      </c>
      <c r="G100" s="86">
        <f t="shared" si="104"/>
        <v>0</v>
      </c>
      <c r="H100" s="87">
        <f t="shared" si="105"/>
        <v>0</v>
      </c>
      <c r="J100" s="9" t="s">
        <v>14</v>
      </c>
      <c r="K100" s="85">
        <f t="shared" ref="K100:M100" si="119">K4+K16+K28+K40+K52+K64</f>
        <v>0</v>
      </c>
      <c r="L100" s="10">
        <f t="shared" si="119"/>
        <v>0</v>
      </c>
      <c r="M100" s="10">
        <f t="shared" si="119"/>
        <v>0</v>
      </c>
      <c r="N100" s="86">
        <f t="shared" si="107"/>
        <v>0</v>
      </c>
      <c r="O100" s="87">
        <f t="shared" si="108"/>
        <v>0</v>
      </c>
      <c r="Q100" s="9" t="s">
        <v>14</v>
      </c>
      <c r="R100" s="85">
        <f t="shared" ref="R100:T100" si="120">R4+R16+R28+R40+R52+R64</f>
        <v>0</v>
      </c>
      <c r="S100" s="10">
        <f t="shared" si="120"/>
        <v>0</v>
      </c>
      <c r="T100" s="10">
        <f t="shared" si="120"/>
        <v>0</v>
      </c>
      <c r="U100" s="86">
        <f t="shared" si="110"/>
        <v>0</v>
      </c>
      <c r="V100" s="87">
        <f t="shared" si="111"/>
        <v>0</v>
      </c>
      <c r="X100" s="9" t="s">
        <v>14</v>
      </c>
      <c r="Y100" s="85">
        <f t="shared" ref="Y100:AA100" si="121">Y4+Y16+Y28+Y40+Y52+Y64</f>
        <v>0</v>
      </c>
      <c r="Z100" s="10">
        <f t="shared" si="121"/>
        <v>0</v>
      </c>
      <c r="AA100" s="10">
        <f t="shared" si="121"/>
        <v>0</v>
      </c>
      <c r="AB100" s="86">
        <f t="shared" si="113"/>
        <v>0</v>
      </c>
      <c r="AC100" s="87">
        <f t="shared" si="114"/>
        <v>0</v>
      </c>
      <c r="AE100" s="9" t="s">
        <v>14</v>
      </c>
      <c r="AF100" s="85">
        <f t="shared" ref="AF100:AH100" si="122">AF4+AF16+AF28+AF40+AF52+AF64</f>
        <v>0</v>
      </c>
      <c r="AG100" s="10">
        <f t="shared" si="122"/>
        <v>0</v>
      </c>
      <c r="AH100" s="10">
        <f t="shared" si="122"/>
        <v>0</v>
      </c>
      <c r="AI100" s="86">
        <f t="shared" si="116"/>
        <v>0</v>
      </c>
      <c r="AJ100" s="87">
        <f t="shared" si="117"/>
        <v>0</v>
      </c>
    </row>
    <row r="101">
      <c r="C101" s="9" t="s">
        <v>16</v>
      </c>
      <c r="D101" s="85">
        <f t="shared" ref="D101:F101" si="123">D5+D17+D29+D41+D53+D65</f>
        <v>0</v>
      </c>
      <c r="E101" s="10">
        <f t="shared" si="123"/>
        <v>0</v>
      </c>
      <c r="F101" s="10">
        <f t="shared" si="123"/>
        <v>0</v>
      </c>
      <c r="G101" s="86">
        <f t="shared" si="104"/>
        <v>0</v>
      </c>
      <c r="H101" s="87">
        <f t="shared" si="105"/>
        <v>0</v>
      </c>
      <c r="J101" s="9" t="s">
        <v>16</v>
      </c>
      <c r="K101" s="85">
        <f t="shared" ref="K101:M101" si="124">K5+K17+K29+K41+K53+K65</f>
        <v>0</v>
      </c>
      <c r="L101" s="10">
        <f t="shared" si="124"/>
        <v>0</v>
      </c>
      <c r="M101" s="10">
        <f t="shared" si="124"/>
        <v>0</v>
      </c>
      <c r="N101" s="86">
        <f t="shared" si="107"/>
        <v>0</v>
      </c>
      <c r="O101" s="87">
        <f t="shared" si="108"/>
        <v>0</v>
      </c>
      <c r="Q101" s="9" t="s">
        <v>16</v>
      </c>
      <c r="R101" s="85">
        <f t="shared" ref="R101:T101" si="125">R5+R17+R29+R41+R53+R65</f>
        <v>0</v>
      </c>
      <c r="S101" s="10">
        <f t="shared" si="125"/>
        <v>0</v>
      </c>
      <c r="T101" s="10">
        <f t="shared" si="125"/>
        <v>0</v>
      </c>
      <c r="U101" s="86">
        <f t="shared" si="110"/>
        <v>0</v>
      </c>
      <c r="V101" s="87">
        <f t="shared" si="111"/>
        <v>0</v>
      </c>
      <c r="X101" s="9" t="s">
        <v>16</v>
      </c>
      <c r="Y101" s="85">
        <f t="shared" ref="Y101:AA101" si="126">Y5+Y17+Y29+Y41+Y53+Y65</f>
        <v>0</v>
      </c>
      <c r="Z101" s="10">
        <f t="shared" si="126"/>
        <v>0</v>
      </c>
      <c r="AA101" s="10">
        <f t="shared" si="126"/>
        <v>0</v>
      </c>
      <c r="AB101" s="86">
        <f t="shared" si="113"/>
        <v>0</v>
      </c>
      <c r="AC101" s="87">
        <f t="shared" si="114"/>
        <v>0</v>
      </c>
      <c r="AE101" s="9" t="s">
        <v>16</v>
      </c>
      <c r="AF101" s="85">
        <f t="shared" ref="AF101:AH101" si="127">AF5+AF17+AF29+AF41+AF53+AF65</f>
        <v>0</v>
      </c>
      <c r="AG101" s="10">
        <f t="shared" si="127"/>
        <v>0</v>
      </c>
      <c r="AH101" s="10">
        <f t="shared" si="127"/>
        <v>0</v>
      </c>
      <c r="AI101" s="86">
        <f t="shared" si="116"/>
        <v>0</v>
      </c>
      <c r="AJ101" s="87">
        <f t="shared" si="117"/>
        <v>0</v>
      </c>
    </row>
    <row r="102">
      <c r="C102" s="9" t="s">
        <v>17</v>
      </c>
      <c r="D102" s="85">
        <f t="shared" ref="D102:F102" si="128">D6+D18+D30+D42+D54+D66</f>
        <v>0</v>
      </c>
      <c r="E102" s="10">
        <f t="shared" si="128"/>
        <v>0</v>
      </c>
      <c r="F102" s="10">
        <f t="shared" si="128"/>
        <v>0</v>
      </c>
      <c r="G102" s="86">
        <f t="shared" si="104"/>
        <v>0</v>
      </c>
      <c r="H102" s="87">
        <f t="shared" si="105"/>
        <v>0</v>
      </c>
      <c r="J102" s="9" t="s">
        <v>17</v>
      </c>
      <c r="K102" s="85">
        <f t="shared" ref="K102:M102" si="129">K6+K18+K30+K42+K54+K66</f>
        <v>0</v>
      </c>
      <c r="L102" s="10">
        <f t="shared" si="129"/>
        <v>0</v>
      </c>
      <c r="M102" s="10">
        <f t="shared" si="129"/>
        <v>0</v>
      </c>
      <c r="N102" s="86">
        <f t="shared" si="107"/>
        <v>0</v>
      </c>
      <c r="O102" s="87">
        <f t="shared" si="108"/>
        <v>0</v>
      </c>
      <c r="Q102" s="9" t="s">
        <v>17</v>
      </c>
      <c r="R102" s="85">
        <f t="shared" ref="R102:T102" si="130">R6+R18+R30+R42+R54+R66</f>
        <v>0</v>
      </c>
      <c r="S102" s="10">
        <f t="shared" si="130"/>
        <v>0</v>
      </c>
      <c r="T102" s="10">
        <f t="shared" si="130"/>
        <v>0</v>
      </c>
      <c r="U102" s="86">
        <f t="shared" si="110"/>
        <v>0</v>
      </c>
      <c r="V102" s="87">
        <f t="shared" si="111"/>
        <v>0</v>
      </c>
      <c r="X102" s="9" t="s">
        <v>17</v>
      </c>
      <c r="Y102" s="85">
        <f t="shared" ref="Y102:AA102" si="131">Y6+Y18+Y30+Y42+Y54+Y66</f>
        <v>0</v>
      </c>
      <c r="Z102" s="10">
        <f t="shared" si="131"/>
        <v>0</v>
      </c>
      <c r="AA102" s="10">
        <f t="shared" si="131"/>
        <v>0</v>
      </c>
      <c r="AB102" s="86">
        <f t="shared" si="113"/>
        <v>0</v>
      </c>
      <c r="AC102" s="87">
        <f t="shared" si="114"/>
        <v>0</v>
      </c>
      <c r="AE102" s="9" t="s">
        <v>17</v>
      </c>
      <c r="AF102" s="85">
        <f t="shared" ref="AF102:AH102" si="132">AF6+AF18+AF30+AF42+AF54+AF66</f>
        <v>0</v>
      </c>
      <c r="AG102" s="10">
        <f t="shared" si="132"/>
        <v>0</v>
      </c>
      <c r="AH102" s="10">
        <f t="shared" si="132"/>
        <v>0</v>
      </c>
      <c r="AI102" s="86">
        <f t="shared" si="116"/>
        <v>0</v>
      </c>
      <c r="AJ102" s="87">
        <f t="shared" si="117"/>
        <v>0</v>
      </c>
    </row>
    <row r="103">
      <c r="C103" s="9" t="s">
        <v>18</v>
      </c>
      <c r="D103" s="85">
        <f t="shared" ref="D103:F103" si="133">D7+D19+D31+D43+D55+D67</f>
        <v>0</v>
      </c>
      <c r="E103" s="85">
        <f t="shared" si="133"/>
        <v>0</v>
      </c>
      <c r="F103" s="85">
        <f t="shared" si="133"/>
        <v>0</v>
      </c>
      <c r="G103" s="86">
        <f t="shared" si="104"/>
        <v>0</v>
      </c>
      <c r="H103" s="87">
        <f t="shared" si="105"/>
        <v>0</v>
      </c>
      <c r="J103" s="9" t="s">
        <v>18</v>
      </c>
      <c r="K103" s="85">
        <f t="shared" ref="K103:M103" si="134">K7+K19+K31+K43+K55+K67</f>
        <v>0</v>
      </c>
      <c r="L103" s="85">
        <f t="shared" si="134"/>
        <v>0</v>
      </c>
      <c r="M103" s="85">
        <f t="shared" si="134"/>
        <v>0</v>
      </c>
      <c r="N103" s="86">
        <f t="shared" si="107"/>
        <v>0</v>
      </c>
      <c r="O103" s="87">
        <f t="shared" si="108"/>
        <v>0</v>
      </c>
      <c r="Q103" s="9" t="s">
        <v>18</v>
      </c>
      <c r="R103" s="85">
        <f t="shared" ref="R103:T103" si="135">R7+R19+R31+R43+R55+R67</f>
        <v>0</v>
      </c>
      <c r="S103" s="85">
        <f t="shared" si="135"/>
        <v>0</v>
      </c>
      <c r="T103" s="85">
        <f t="shared" si="135"/>
        <v>0</v>
      </c>
      <c r="U103" s="86">
        <f t="shared" si="110"/>
        <v>0</v>
      </c>
      <c r="V103" s="87">
        <f t="shared" si="111"/>
        <v>0</v>
      </c>
      <c r="X103" s="9" t="s">
        <v>18</v>
      </c>
      <c r="Y103" s="85">
        <f t="shared" ref="Y103:AA103" si="136">Y7+Y19+Y31+Y43+Y55+Y67</f>
        <v>0</v>
      </c>
      <c r="Z103" s="85">
        <f t="shared" si="136"/>
        <v>0</v>
      </c>
      <c r="AA103" s="85">
        <f t="shared" si="136"/>
        <v>0</v>
      </c>
      <c r="AB103" s="86">
        <f t="shared" si="113"/>
        <v>0</v>
      </c>
      <c r="AC103" s="87">
        <f t="shared" si="114"/>
        <v>0</v>
      </c>
      <c r="AE103" s="9" t="s">
        <v>18</v>
      </c>
      <c r="AF103" s="85">
        <f t="shared" ref="AF103:AH103" si="137">AF7+AF19+AF31+AF43+AF55+AF67</f>
        <v>0</v>
      </c>
      <c r="AG103" s="85">
        <f t="shared" si="137"/>
        <v>0</v>
      </c>
      <c r="AH103" s="85">
        <f t="shared" si="137"/>
        <v>0</v>
      </c>
      <c r="AI103" s="86">
        <f t="shared" si="116"/>
        <v>0</v>
      </c>
      <c r="AJ103" s="87">
        <f t="shared" si="117"/>
        <v>0</v>
      </c>
    </row>
    <row r="104">
      <c r="C104" s="9" t="s">
        <v>19</v>
      </c>
      <c r="D104" s="85">
        <f t="shared" ref="D104:F104" si="138">D8+D20+D32+D44+D56+D68</f>
        <v>0</v>
      </c>
      <c r="E104" s="10">
        <f t="shared" si="138"/>
        <v>0</v>
      </c>
      <c r="F104" s="10">
        <f t="shared" si="138"/>
        <v>0</v>
      </c>
      <c r="G104" s="86">
        <f t="shared" si="104"/>
        <v>0</v>
      </c>
      <c r="H104" s="87">
        <f t="shared" si="105"/>
        <v>0</v>
      </c>
      <c r="J104" s="9" t="s">
        <v>19</v>
      </c>
      <c r="K104" s="85">
        <f t="shared" ref="K104:M104" si="139">K8+K20+K32+K44+K56+K68</f>
        <v>0</v>
      </c>
      <c r="L104" s="10">
        <f t="shared" si="139"/>
        <v>0</v>
      </c>
      <c r="M104" s="10">
        <f t="shared" si="139"/>
        <v>0</v>
      </c>
      <c r="N104" s="86">
        <f t="shared" si="107"/>
        <v>0</v>
      </c>
      <c r="O104" s="87">
        <f t="shared" si="108"/>
        <v>0</v>
      </c>
      <c r="Q104" s="9" t="s">
        <v>19</v>
      </c>
      <c r="R104" s="85">
        <f t="shared" ref="R104:T104" si="140">R8+R20+R32+R44+R56+R68</f>
        <v>0</v>
      </c>
      <c r="S104" s="10">
        <f t="shared" si="140"/>
        <v>0</v>
      </c>
      <c r="T104" s="10">
        <f t="shared" si="140"/>
        <v>0</v>
      </c>
      <c r="U104" s="86">
        <f t="shared" si="110"/>
        <v>0</v>
      </c>
      <c r="V104" s="87">
        <f t="shared" si="111"/>
        <v>0</v>
      </c>
      <c r="X104" s="9" t="s">
        <v>19</v>
      </c>
      <c r="Y104" s="85">
        <f t="shared" ref="Y104:AA104" si="141">Y8+Y20+Y32+Y44+Y56+Y68</f>
        <v>0</v>
      </c>
      <c r="Z104" s="10">
        <f t="shared" si="141"/>
        <v>0</v>
      </c>
      <c r="AA104" s="10">
        <f t="shared" si="141"/>
        <v>0</v>
      </c>
      <c r="AB104" s="86">
        <f t="shared" si="113"/>
        <v>0</v>
      </c>
      <c r="AC104" s="87">
        <f t="shared" si="114"/>
        <v>0</v>
      </c>
      <c r="AE104" s="9" t="s">
        <v>19</v>
      </c>
      <c r="AF104" s="85">
        <f t="shared" ref="AF104:AH104" si="142">AF8+AF20+AF32+AF44+AF56+AF68</f>
        <v>0</v>
      </c>
      <c r="AG104" s="10">
        <f t="shared" si="142"/>
        <v>0</v>
      </c>
      <c r="AH104" s="10">
        <f t="shared" si="142"/>
        <v>0</v>
      </c>
      <c r="AI104" s="86">
        <f t="shared" si="116"/>
        <v>0</v>
      </c>
      <c r="AJ104" s="87">
        <f t="shared" si="117"/>
        <v>0</v>
      </c>
    </row>
    <row r="105">
      <c r="C105" s="26" t="s">
        <v>21</v>
      </c>
      <c r="D105" s="85">
        <f t="shared" ref="D105:F105" si="143">D9+D21+D33+D45+D57+D69+D81</f>
        <v>0</v>
      </c>
      <c r="E105" s="10">
        <f t="shared" si="143"/>
        <v>0</v>
      </c>
      <c r="F105" s="10">
        <f t="shared" si="143"/>
        <v>0</v>
      </c>
      <c r="G105" s="86">
        <f t="shared" si="104"/>
        <v>0</v>
      </c>
      <c r="H105" s="87">
        <f>H9+H21+H33+H45+H57+H69+H81</f>
        <v>0</v>
      </c>
      <c r="J105" s="26" t="s">
        <v>21</v>
      </c>
      <c r="K105" s="85">
        <f t="shared" ref="K105:M105" si="144">K9+K21+K33+K45+K57+K69+K81</f>
        <v>0</v>
      </c>
      <c r="L105" s="10">
        <f t="shared" si="144"/>
        <v>0</v>
      </c>
      <c r="M105" s="10">
        <f t="shared" si="144"/>
        <v>0</v>
      </c>
      <c r="N105" s="86">
        <f t="shared" si="107"/>
        <v>0</v>
      </c>
      <c r="O105" s="87">
        <f>O9+O21+O33+O45+O57+O69+O81</f>
        <v>0</v>
      </c>
      <c r="Q105" s="26" t="s">
        <v>21</v>
      </c>
      <c r="R105" s="85">
        <f t="shared" ref="R105:T105" si="145">R9+R21+R33+R45+R57+R69+R81</f>
        <v>0</v>
      </c>
      <c r="S105" s="10">
        <f t="shared" si="145"/>
        <v>0</v>
      </c>
      <c r="T105" s="10">
        <f t="shared" si="145"/>
        <v>0</v>
      </c>
      <c r="U105" s="86">
        <f t="shared" si="110"/>
        <v>0</v>
      </c>
      <c r="V105" s="87">
        <f>V9+V21+V33+V45+V57+V69+V81</f>
        <v>0</v>
      </c>
      <c r="X105" s="26" t="s">
        <v>21</v>
      </c>
      <c r="Y105" s="85">
        <f t="shared" ref="Y105:AA105" si="146">Y9+Y21+Y33+Y45+Y57+Y69+Y81</f>
        <v>0</v>
      </c>
      <c r="Z105" s="10">
        <f t="shared" si="146"/>
        <v>0</v>
      </c>
      <c r="AA105" s="10">
        <f t="shared" si="146"/>
        <v>0</v>
      </c>
      <c r="AB105" s="86">
        <f t="shared" si="113"/>
        <v>0</v>
      </c>
      <c r="AC105" s="87">
        <f>AC9+AC21+AC33+AC45+AC57+AC69+AC81</f>
        <v>0</v>
      </c>
      <c r="AE105" s="26" t="s">
        <v>21</v>
      </c>
      <c r="AF105" s="85">
        <f t="shared" ref="AF105:AH105" si="147">AF9+AF21+AF33+AF45+AF57+AF69+AF81</f>
        <v>0</v>
      </c>
      <c r="AG105" s="10">
        <f t="shared" si="147"/>
        <v>0</v>
      </c>
      <c r="AH105" s="10">
        <f t="shared" si="147"/>
        <v>0</v>
      </c>
      <c r="AI105" s="86">
        <f t="shared" si="116"/>
        <v>0</v>
      </c>
      <c r="AJ105" s="87">
        <f>AJ9+AJ21+AJ33+AJ45+AJ57+AJ69+AJ81</f>
        <v>0</v>
      </c>
    </row>
    <row r="106">
      <c r="C106" s="88" t="s">
        <v>57</v>
      </c>
      <c r="D106" s="41">
        <f t="array" ref="D106">D98+D99+D100+D101+D102+D103+D104+D105</f>
        <v>0</v>
      </c>
      <c r="E106" s="42">
        <f t="array" ref="E106">E98+E99+E100+E101+E102+E103+E104+E105</f>
        <v>0</v>
      </c>
      <c r="F106" s="43">
        <f t="array" ref="F106">F98+F99+F100+F101+F102+F103+F104+F105</f>
        <v>0</v>
      </c>
      <c r="G106" s="89">
        <f t="array" ref="G106">G98+G99+G100+G101+G102+G103+G104+G105</f>
        <v>0</v>
      </c>
      <c r="H106" s="44">
        <f t="array" ref="H106">H98+H99+H100+H101+H102+H103+H104+H105</f>
        <v>0</v>
      </c>
      <c r="J106" s="88" t="s">
        <v>57</v>
      </c>
      <c r="K106" s="41">
        <f t="array" ref="K106">K98+K99+K100+K101+K102+K103+K104+K105</f>
        <v>0</v>
      </c>
      <c r="L106" s="42">
        <f t="array" ref="L106">L98+L99+L100+L101+L102+L103+L104+L105</f>
        <v>0</v>
      </c>
      <c r="M106" s="43">
        <f t="array" ref="M106">M98+M99+M100+M101+M102+M103+M104+M105</f>
        <v>0</v>
      </c>
      <c r="N106" s="89">
        <f t="array" ref="N106">N98+N99+N100+N101+N102+N103+N104+N105</f>
        <v>0</v>
      </c>
      <c r="O106" s="44">
        <f t="array" ref="O106">O98+O99+O100+O101+O102+O103+O104+O105</f>
        <v>0</v>
      </c>
      <c r="Q106" s="88" t="s">
        <v>57</v>
      </c>
      <c r="R106" s="41">
        <f t="array" ref="R106">R98+R99+R100+R101+R102+R103+R104+R105</f>
        <v>0</v>
      </c>
      <c r="S106" s="42">
        <f t="array" ref="S106">S98+S99+S100+S101+S102+S103+S104+S105</f>
        <v>0</v>
      </c>
      <c r="T106" s="43">
        <f t="array" ref="T106">T98+T99+T100+T101+T102+T103+T104+T105</f>
        <v>0</v>
      </c>
      <c r="U106" s="89">
        <f t="array" ref="U106">U98+U99+U100+U101+U102+U103+U104+U105</f>
        <v>0</v>
      </c>
      <c r="V106" s="44">
        <f t="array" ref="V106">V98+V99+V100+V101+V102+V103+V104+V105</f>
        <v>0</v>
      </c>
      <c r="X106" s="88" t="s">
        <v>57</v>
      </c>
      <c r="Y106" s="41">
        <f t="array" ref="Y106">Y98+Y99+Y100+Y101+Y102+Y103+Y104+Y105</f>
        <v>0</v>
      </c>
      <c r="Z106" s="42">
        <f t="array" ref="Z106">Z98+Z99+Z100+Z101+Z102+Z103+Z104+Z105</f>
        <v>0</v>
      </c>
      <c r="AA106" s="43">
        <f t="array" ref="AA106">AA98+AA99+AA100+AA101+AA102+AA103+AA104+AA105</f>
        <v>0</v>
      </c>
      <c r="AB106" s="89">
        <f t="array" ref="AB106">AB98+AB99+AB100+AB101+AB102+AB103+AB104+AB105</f>
        <v>0</v>
      </c>
      <c r="AC106" s="44">
        <f t="array" ref="AC106">AC98+AC99+AC100+AC101+AC102+AC103+AC104+AC105</f>
        <v>0</v>
      </c>
      <c r="AE106" s="88" t="s">
        <v>57</v>
      </c>
      <c r="AF106" s="41">
        <f t="array" ref="AF106">AF98+AF99+AF100+AF101+AF102+AF103+AF104+AF105</f>
        <v>0</v>
      </c>
      <c r="AG106" s="42">
        <f t="array" ref="AG106">AG98+AG99+AG100+AG101+AG102+AG103+AG104+AG105</f>
        <v>0</v>
      </c>
      <c r="AH106" s="43">
        <f t="array" ref="AH106">AH98+AH99+AH100+AH101+AH102+AH103+AH104+AH105</f>
        <v>0</v>
      </c>
      <c r="AI106" s="89">
        <f t="array" ref="AI106">AI98+AI99+AI100+AI101+AI102+AI103+AI104+AI105</f>
        <v>0</v>
      </c>
      <c r="AJ106" s="44">
        <f t="array" ref="AJ106">AJ98+AJ99+AJ100+AJ101+AJ102+AJ103+AJ104+AJ105</f>
        <v>0</v>
      </c>
    </row>
    <row r="107">
      <c r="A107" s="55"/>
      <c r="B107" s="55"/>
      <c r="C107" s="90" t="s">
        <v>58</v>
      </c>
      <c r="D107" s="91">
        <f t="shared" ref="D107:H107" si="148">D106/6</f>
        <v>0</v>
      </c>
      <c r="E107" s="92">
        <f t="shared" si="148"/>
        <v>0</v>
      </c>
      <c r="F107" s="93">
        <f t="shared" si="148"/>
        <v>0</v>
      </c>
      <c r="G107" s="89">
        <f t="shared" si="148"/>
        <v>0</v>
      </c>
      <c r="H107" s="94">
        <f t="shared" si="148"/>
        <v>0</v>
      </c>
      <c r="I107" s="55"/>
      <c r="J107" s="90" t="s">
        <v>58</v>
      </c>
      <c r="K107" s="91">
        <f t="shared" ref="K107:O107" si="149">K106/6</f>
        <v>0</v>
      </c>
      <c r="L107" s="92">
        <f t="shared" si="149"/>
        <v>0</v>
      </c>
      <c r="M107" s="93">
        <f t="shared" si="149"/>
        <v>0</v>
      </c>
      <c r="N107" s="89">
        <f t="shared" si="149"/>
        <v>0</v>
      </c>
      <c r="O107" s="94">
        <f t="shared" si="149"/>
        <v>0</v>
      </c>
      <c r="P107" s="55"/>
      <c r="Q107" s="90" t="s">
        <v>58</v>
      </c>
      <c r="R107" s="91">
        <f t="shared" ref="R107:V107" si="150">R106/6</f>
        <v>0</v>
      </c>
      <c r="S107" s="92">
        <f t="shared" si="150"/>
        <v>0</v>
      </c>
      <c r="T107" s="93">
        <f t="shared" si="150"/>
        <v>0</v>
      </c>
      <c r="U107" s="89">
        <f t="shared" si="150"/>
        <v>0</v>
      </c>
      <c r="V107" s="94">
        <f t="shared" si="150"/>
        <v>0</v>
      </c>
      <c r="W107" s="55"/>
      <c r="X107" s="90" t="s">
        <v>58</v>
      </c>
      <c r="Y107" s="91">
        <f t="shared" ref="Y107:AC107" si="151">Y106/6</f>
        <v>0</v>
      </c>
      <c r="Z107" s="92">
        <f t="shared" si="151"/>
        <v>0</v>
      </c>
      <c r="AA107" s="93">
        <f t="shared" si="151"/>
        <v>0</v>
      </c>
      <c r="AB107" s="89">
        <f t="shared" si="151"/>
        <v>0</v>
      </c>
      <c r="AC107" s="94">
        <f t="shared" si="151"/>
        <v>0</v>
      </c>
      <c r="AD107" s="55"/>
      <c r="AE107" s="90" t="s">
        <v>58</v>
      </c>
      <c r="AF107" s="91">
        <f t="shared" ref="AF107:AJ107" si="152">AF106/6</f>
        <v>0</v>
      </c>
      <c r="AG107" s="92">
        <f t="shared" si="152"/>
        <v>0</v>
      </c>
      <c r="AH107" s="93">
        <f t="shared" si="152"/>
        <v>0</v>
      </c>
      <c r="AI107" s="89">
        <f t="shared" si="152"/>
        <v>0</v>
      </c>
      <c r="AJ107" s="94">
        <f t="shared" si="152"/>
        <v>0</v>
      </c>
      <c r="AK107" s="55"/>
      <c r="AL107" s="55"/>
      <c r="AM107" s="55"/>
      <c r="AN107" s="55"/>
      <c r="AO107" s="55"/>
      <c r="AP107" s="55"/>
      <c r="AQ107" s="55"/>
      <c r="AR107" s="55"/>
      <c r="AS107" s="55"/>
    </row>
    <row r="108">
      <c r="G108" s="78" t="s">
        <v>59</v>
      </c>
      <c r="H108" s="78"/>
      <c r="K108" s="78"/>
      <c r="O108" s="55"/>
      <c r="V108" s="55"/>
      <c r="AC108" s="55"/>
      <c r="AJ108" s="55"/>
    </row>
    <row r="109">
      <c r="G109" s="78"/>
      <c r="H109" s="78"/>
      <c r="K109" s="78"/>
      <c r="O109" s="55"/>
      <c r="V109" s="55"/>
      <c r="AC109" s="55"/>
      <c r="AJ109" s="55"/>
    </row>
    <row r="110">
      <c r="G110" s="78"/>
      <c r="H110" s="78"/>
      <c r="O110" s="55"/>
      <c r="V110" s="55"/>
      <c r="AC110" s="55"/>
      <c r="AJ110" s="55"/>
    </row>
    <row r="111">
      <c r="G111" s="78"/>
      <c r="H111" s="78"/>
      <c r="O111" s="55"/>
      <c r="V111" s="55"/>
      <c r="AC111" s="55"/>
      <c r="AJ111" s="55"/>
    </row>
    <row r="112">
      <c r="O112" s="55"/>
      <c r="V112" s="55"/>
      <c r="AC112" s="55"/>
      <c r="AJ112" s="55"/>
    </row>
    <row r="113">
      <c r="O113" s="55"/>
      <c r="V113" s="55"/>
      <c r="AC113" s="55"/>
      <c r="AJ113" s="55"/>
    </row>
    <row r="114">
      <c r="O114" s="55"/>
      <c r="V114" s="55"/>
      <c r="AC114" s="55"/>
      <c r="AJ114" s="55"/>
    </row>
    <row r="115">
      <c r="C115" s="54"/>
      <c r="K115" s="78"/>
      <c r="O115" s="55"/>
      <c r="V115" s="55"/>
      <c r="AC115" s="55"/>
      <c r="AJ115" s="55"/>
    </row>
    <row r="116">
      <c r="C116" s="95"/>
      <c r="D116" s="95"/>
      <c r="O116" s="55"/>
      <c r="V116" s="55"/>
      <c r="AC116" s="55"/>
      <c r="AJ116" s="55"/>
    </row>
    <row r="117">
      <c r="C117" s="78"/>
      <c r="D117" s="72"/>
      <c r="O117" s="55"/>
      <c r="V117" s="55"/>
      <c r="AC117" s="55"/>
      <c r="AJ117" s="55"/>
    </row>
    <row r="118">
      <c r="C118" s="78"/>
      <c r="D118" s="72"/>
      <c r="O118" s="55"/>
      <c r="V118" s="55"/>
      <c r="AC118" s="55"/>
      <c r="AJ118" s="55"/>
    </row>
    <row r="119">
      <c r="C119" s="78"/>
      <c r="D119" s="72"/>
      <c r="O119" s="55"/>
      <c r="V119" s="55"/>
      <c r="AC119" s="55"/>
      <c r="AJ119" s="55"/>
    </row>
    <row r="120">
      <c r="C120" s="78"/>
      <c r="D120" s="72"/>
      <c r="O120" s="55"/>
      <c r="V120" s="55"/>
      <c r="AC120" s="55"/>
      <c r="AJ120" s="55"/>
    </row>
    <row r="121">
      <c r="C121" s="78"/>
      <c r="D121" s="72"/>
      <c r="O121" s="55"/>
      <c r="V121" s="55"/>
      <c r="AC121" s="55"/>
      <c r="AJ121" s="55"/>
    </row>
    <row r="122">
      <c r="C122" s="78"/>
      <c r="D122" s="72"/>
      <c r="O122" s="55"/>
      <c r="V122" s="55"/>
      <c r="AC122" s="55"/>
      <c r="AJ122" s="55"/>
    </row>
    <row r="123">
      <c r="C123" s="78"/>
      <c r="O123" s="55"/>
      <c r="V123" s="55"/>
      <c r="AC123" s="55"/>
      <c r="AJ123" s="55"/>
    </row>
    <row r="124">
      <c r="L124" s="78" t="s">
        <v>292</v>
      </c>
      <c r="O124" s="55"/>
      <c r="V124" s="55"/>
      <c r="AC124" s="55"/>
      <c r="AJ124" s="55"/>
    </row>
    <row r="125">
      <c r="C125" s="77" t="s">
        <v>60</v>
      </c>
      <c r="D125" s="47"/>
      <c r="E125" s="47"/>
      <c r="F125" s="47"/>
      <c r="G125" s="47"/>
      <c r="H125" s="48"/>
      <c r="J125" s="77" t="s">
        <v>61</v>
      </c>
      <c r="K125" s="47"/>
      <c r="L125" s="47"/>
      <c r="M125" s="47"/>
      <c r="N125" s="48"/>
      <c r="O125" s="55"/>
      <c r="V125" s="55"/>
      <c r="AC125" s="55"/>
      <c r="AJ125" s="55"/>
    </row>
    <row r="126">
      <c r="C126" s="2" t="s">
        <v>62</v>
      </c>
      <c r="D126" s="2" t="s">
        <v>63</v>
      </c>
      <c r="E126" s="2" t="s">
        <v>64</v>
      </c>
      <c r="F126" s="2" t="s">
        <v>65</v>
      </c>
      <c r="G126" s="2" t="s">
        <v>48</v>
      </c>
      <c r="H126" s="5" t="s">
        <v>6</v>
      </c>
      <c r="I126" s="97" t="s">
        <v>66</v>
      </c>
      <c r="J126" s="98" t="s">
        <v>67</v>
      </c>
      <c r="K126" s="99" t="s">
        <v>68</v>
      </c>
      <c r="L126" s="98" t="s">
        <v>69</v>
      </c>
      <c r="M126" s="97" t="s">
        <v>58</v>
      </c>
      <c r="N126" s="98" t="s">
        <v>70</v>
      </c>
      <c r="O126" s="55"/>
      <c r="Q126" s="78" t="s">
        <v>271</v>
      </c>
      <c r="V126" s="55"/>
      <c r="AC126" s="55"/>
      <c r="AJ126" s="55"/>
    </row>
    <row r="127">
      <c r="C127" s="9" t="s">
        <v>10</v>
      </c>
      <c r="D127" s="100">
        <f t="shared" ref="D127:H127" si="153">D98+K98+R98+Y98+AF98</f>
        <v>0</v>
      </c>
      <c r="E127" s="101">
        <f t="shared" si="153"/>
        <v>0</v>
      </c>
      <c r="F127" s="102">
        <f t="shared" si="153"/>
        <v>0</v>
      </c>
      <c r="G127" s="86">
        <f t="shared" si="153"/>
        <v>0</v>
      </c>
      <c r="H127" s="103">
        <f t="shared" si="153"/>
        <v>0</v>
      </c>
      <c r="I127" s="104" t="s">
        <v>71</v>
      </c>
      <c r="J127" s="105">
        <f t="shared" ref="J127:J134" si="155">D98+K98+R98+Y98+AF98</f>
        <v>0</v>
      </c>
      <c r="K127" s="105"/>
      <c r="L127" s="106"/>
      <c r="M127" s="107">
        <f t="shared" ref="M127:M134" si="156">J127/26</f>
        <v>0</v>
      </c>
      <c r="N127" s="107">
        <f t="shared" ref="N127:N134" si="157">(M127*0)+J127</f>
        <v>0</v>
      </c>
      <c r="O127" s="55"/>
      <c r="Q127" s="245">
        <f t="shared" ref="Q127:Q128" si="158">N127-K127</f>
        <v>0</v>
      </c>
      <c r="V127" s="55"/>
      <c r="AC127" s="55"/>
      <c r="AJ127" s="55"/>
    </row>
    <row r="128">
      <c r="C128" s="9" t="s">
        <v>12</v>
      </c>
      <c r="D128" s="100">
        <f t="shared" ref="D128:H128" si="154">D99+K99+R99+Y99+AF99</f>
        <v>0</v>
      </c>
      <c r="E128" s="101">
        <f t="shared" si="154"/>
        <v>0</v>
      </c>
      <c r="F128" s="102">
        <f t="shared" si="154"/>
        <v>0</v>
      </c>
      <c r="G128" s="86">
        <f t="shared" si="154"/>
        <v>0</v>
      </c>
      <c r="H128" s="103">
        <f t="shared" si="154"/>
        <v>0</v>
      </c>
      <c r="I128" s="104" t="s">
        <v>72</v>
      </c>
      <c r="J128" s="105">
        <f t="shared" si="155"/>
        <v>0</v>
      </c>
      <c r="K128" s="105"/>
      <c r="L128" s="9"/>
      <c r="M128" s="107">
        <f t="shared" si="156"/>
        <v>0</v>
      </c>
      <c r="N128" s="107">
        <f t="shared" si="157"/>
        <v>0</v>
      </c>
      <c r="O128" s="55"/>
      <c r="Q128" s="245">
        <f t="shared" si="158"/>
        <v>0</v>
      </c>
      <c r="V128" s="55"/>
      <c r="AC128" s="55"/>
      <c r="AJ128" s="55"/>
    </row>
    <row r="129">
      <c r="C129" s="9" t="s">
        <v>79</v>
      </c>
      <c r="D129" s="100">
        <f t="shared" ref="D129:H129" si="159">D100+K100+R100+Y100+AF100</f>
        <v>0</v>
      </c>
      <c r="E129" s="101">
        <f t="shared" si="159"/>
        <v>0</v>
      </c>
      <c r="F129" s="102">
        <f t="shared" si="159"/>
        <v>0</v>
      </c>
      <c r="G129" s="86">
        <f t="shared" si="159"/>
        <v>0</v>
      </c>
      <c r="H129" s="103">
        <f t="shared" si="159"/>
        <v>0</v>
      </c>
      <c r="I129" s="104" t="s">
        <v>281</v>
      </c>
      <c r="J129" s="105">
        <f t="shared" si="155"/>
        <v>0</v>
      </c>
      <c r="K129" s="105"/>
      <c r="L129" s="9"/>
      <c r="M129" s="107">
        <f t="shared" si="156"/>
        <v>0</v>
      </c>
      <c r="N129" s="107">
        <f t="shared" si="157"/>
        <v>0</v>
      </c>
      <c r="O129" s="55"/>
      <c r="V129" s="55"/>
      <c r="AC129" s="55"/>
      <c r="AJ129" s="55"/>
    </row>
    <row r="130">
      <c r="C130" s="9" t="s">
        <v>16</v>
      </c>
      <c r="D130" s="100">
        <f t="shared" ref="D130:H130" si="160">D101+K101+R101+Y101+AF101</f>
        <v>0</v>
      </c>
      <c r="E130" s="101">
        <f t="shared" si="160"/>
        <v>0</v>
      </c>
      <c r="F130" s="102">
        <f t="shared" si="160"/>
        <v>0</v>
      </c>
      <c r="G130" s="86">
        <f t="shared" si="160"/>
        <v>0</v>
      </c>
      <c r="H130" s="103">
        <f t="shared" si="160"/>
        <v>0</v>
      </c>
      <c r="I130" s="104" t="s">
        <v>74</v>
      </c>
      <c r="J130" s="105">
        <f t="shared" si="155"/>
        <v>0</v>
      </c>
      <c r="K130" s="105"/>
      <c r="L130" s="106"/>
      <c r="M130" s="107">
        <f t="shared" si="156"/>
        <v>0</v>
      </c>
      <c r="N130" s="107">
        <f t="shared" si="157"/>
        <v>0</v>
      </c>
      <c r="O130" s="55"/>
      <c r="Q130" s="245">
        <f>N130-K130</f>
        <v>0</v>
      </c>
      <c r="V130" s="55"/>
      <c r="AC130" s="55"/>
      <c r="AJ130" s="55"/>
    </row>
    <row r="131">
      <c r="C131" s="9" t="s">
        <v>17</v>
      </c>
      <c r="D131" s="100">
        <f t="shared" ref="D131:H131" si="161">D102+K102+R102+Y102+AF102</f>
        <v>0</v>
      </c>
      <c r="E131" s="101">
        <f t="shared" si="161"/>
        <v>0</v>
      </c>
      <c r="F131" s="102">
        <f t="shared" si="161"/>
        <v>0</v>
      </c>
      <c r="G131" s="86">
        <f t="shared" si="161"/>
        <v>0</v>
      </c>
      <c r="H131" s="103">
        <f t="shared" si="161"/>
        <v>0</v>
      </c>
      <c r="I131" s="104" t="s">
        <v>75</v>
      </c>
      <c r="J131" s="105">
        <f t="shared" si="155"/>
        <v>0</v>
      </c>
      <c r="K131" s="105"/>
      <c r="L131" s="9"/>
      <c r="M131" s="107">
        <f t="shared" si="156"/>
        <v>0</v>
      </c>
      <c r="N131" s="107">
        <f t="shared" si="157"/>
        <v>0</v>
      </c>
      <c r="O131" s="55"/>
      <c r="Q131" s="245">
        <f>N131-K131-K129</f>
        <v>0</v>
      </c>
      <c r="V131" s="55"/>
      <c r="AC131" s="55"/>
      <c r="AJ131" s="55"/>
    </row>
    <row r="132">
      <c r="C132" s="9" t="s">
        <v>18</v>
      </c>
      <c r="D132" s="13">
        <f t="shared" ref="D132:H132" si="162">D103+K103+R103+Y103+AF103</f>
        <v>0</v>
      </c>
      <c r="E132" s="21">
        <f t="shared" si="162"/>
        <v>0</v>
      </c>
      <c r="F132" s="17">
        <f t="shared" si="162"/>
        <v>0</v>
      </c>
      <c r="G132" s="16">
        <f t="shared" si="162"/>
        <v>0</v>
      </c>
      <c r="H132" s="109">
        <f t="shared" si="162"/>
        <v>0</v>
      </c>
      <c r="I132" s="104" t="s">
        <v>76</v>
      </c>
      <c r="J132" s="105">
        <f t="shared" si="155"/>
        <v>0</v>
      </c>
      <c r="K132" s="105"/>
      <c r="L132" s="9"/>
      <c r="M132" s="107">
        <f t="shared" si="156"/>
        <v>0</v>
      </c>
      <c r="N132" s="107">
        <f t="shared" si="157"/>
        <v>0</v>
      </c>
      <c r="O132" s="55"/>
      <c r="Q132" s="245">
        <f t="shared" ref="Q132:Q134" si="164">N132-K132</f>
        <v>0</v>
      </c>
      <c r="V132" s="55"/>
      <c r="AC132" s="55"/>
      <c r="AJ132" s="55"/>
    </row>
    <row r="133">
      <c r="C133" s="9" t="s">
        <v>19</v>
      </c>
      <c r="D133" s="100">
        <f t="shared" ref="D133:H133" si="163">D104+K104+R104+Y104+AF104</f>
        <v>0</v>
      </c>
      <c r="E133" s="101">
        <f t="shared" si="163"/>
        <v>0</v>
      </c>
      <c r="F133" s="102">
        <f t="shared" si="163"/>
        <v>0</v>
      </c>
      <c r="G133" s="86">
        <f t="shared" si="163"/>
        <v>0</v>
      </c>
      <c r="H133" s="103">
        <f t="shared" si="163"/>
        <v>0</v>
      </c>
      <c r="I133" s="104" t="s">
        <v>77</v>
      </c>
      <c r="J133" s="105">
        <f t="shared" si="155"/>
        <v>0</v>
      </c>
      <c r="K133" s="105"/>
      <c r="L133" s="106"/>
      <c r="M133" s="107">
        <f t="shared" si="156"/>
        <v>0</v>
      </c>
      <c r="N133" s="107">
        <f t="shared" si="157"/>
        <v>0</v>
      </c>
      <c r="O133" s="55"/>
      <c r="Q133" s="245">
        <f t="shared" si="164"/>
        <v>0</v>
      </c>
      <c r="V133" s="55"/>
      <c r="AC133" s="55"/>
      <c r="AJ133" s="55"/>
    </row>
    <row r="134">
      <c r="C134" s="26" t="s">
        <v>22</v>
      </c>
      <c r="D134" s="100">
        <f t="shared" ref="D134:H134" si="165">D105+K105+R105+Y105+AF105</f>
        <v>0</v>
      </c>
      <c r="E134" s="101">
        <f t="shared" si="165"/>
        <v>0</v>
      </c>
      <c r="F134" s="102">
        <f t="shared" si="165"/>
        <v>0</v>
      </c>
      <c r="G134" s="86">
        <f t="shared" si="165"/>
        <v>0</v>
      </c>
      <c r="H134" s="103">
        <f t="shared" si="165"/>
        <v>0</v>
      </c>
      <c r="I134" s="104" t="s">
        <v>78</v>
      </c>
      <c r="J134" s="105">
        <f t="shared" si="155"/>
        <v>0</v>
      </c>
      <c r="K134" s="105"/>
      <c r="L134" s="106"/>
      <c r="M134" s="107">
        <f t="shared" si="156"/>
        <v>0</v>
      </c>
      <c r="N134" s="107">
        <f t="shared" si="157"/>
        <v>0</v>
      </c>
      <c r="O134" s="55"/>
      <c r="Q134" s="245">
        <f t="shared" si="164"/>
        <v>0</v>
      </c>
      <c r="V134" s="55"/>
      <c r="AC134" s="55"/>
      <c r="AJ134" s="55"/>
    </row>
    <row r="135">
      <c r="C135" s="78"/>
      <c r="I135" s="104" t="s">
        <v>79</v>
      </c>
      <c r="J135" s="105"/>
      <c r="K135" s="105"/>
      <c r="L135" s="9"/>
      <c r="M135" s="107"/>
      <c r="N135" s="107"/>
      <c r="O135" s="55"/>
      <c r="V135" s="55"/>
      <c r="AC135" s="55"/>
      <c r="AJ135" s="55"/>
    </row>
    <row r="136">
      <c r="C136" s="78"/>
      <c r="I136" s="110" t="s">
        <v>80</v>
      </c>
      <c r="J136" s="105"/>
      <c r="K136" s="105"/>
      <c r="L136" s="9"/>
      <c r="M136" s="107"/>
      <c r="N136" s="107"/>
      <c r="O136" s="55"/>
      <c r="V136" s="55"/>
      <c r="AC136" s="55"/>
      <c r="AJ136" s="55"/>
    </row>
    <row r="137">
      <c r="C137" s="78"/>
      <c r="I137" s="110" t="s">
        <v>81</v>
      </c>
      <c r="J137" s="105"/>
      <c r="K137" s="105"/>
      <c r="L137" s="9"/>
      <c r="M137" s="107"/>
      <c r="N137" s="107"/>
      <c r="O137" s="55"/>
      <c r="V137" s="55"/>
      <c r="AC137" s="55"/>
      <c r="AJ137" s="55"/>
    </row>
    <row r="138">
      <c r="C138" s="78"/>
      <c r="I138" s="110" t="s">
        <v>82</v>
      </c>
      <c r="J138" s="105"/>
      <c r="K138" s="105"/>
      <c r="L138" s="9"/>
      <c r="M138" s="107"/>
      <c r="N138" s="107"/>
      <c r="O138" s="55"/>
      <c r="V138" s="55"/>
      <c r="AC138" s="55"/>
      <c r="AJ138" s="55"/>
    </row>
    <row r="139">
      <c r="I139" s="111" t="s">
        <v>57</v>
      </c>
      <c r="J139" s="112">
        <f>SUM(J127+J128+J129+J130+J131+J132+J133+J134)</f>
        <v>0</v>
      </c>
      <c r="K139" s="112">
        <f>SUM(K127+K128+K129+K130+K131+K132+K133+K134+K135+K136+K137+K138)</f>
        <v>0</v>
      </c>
      <c r="L139" s="113"/>
      <c r="M139" s="112">
        <f t="shared" ref="M139:N139" si="166">SUM(M127+M128+M129+M130+M131+M132+M133+M134)</f>
        <v>0</v>
      </c>
      <c r="N139" s="112">
        <f t="shared" si="166"/>
        <v>0</v>
      </c>
      <c r="O139" s="55"/>
      <c r="Q139" s="245">
        <f>Q127+Q128+Q130+Q131+Q132+Q133+Q134</f>
        <v>0</v>
      </c>
      <c r="R139" s="78" t="s">
        <v>272</v>
      </c>
      <c r="V139" s="55"/>
      <c r="AC139" s="55"/>
      <c r="AJ139" s="55"/>
    </row>
    <row r="140">
      <c r="O140" s="55"/>
      <c r="Q140" s="245">
        <f>K135+K136+K137+K138</f>
        <v>0</v>
      </c>
      <c r="R140" s="78" t="s">
        <v>274</v>
      </c>
      <c r="V140" s="55"/>
      <c r="AC140" s="55"/>
      <c r="AJ140" s="55"/>
    </row>
    <row r="141">
      <c r="O141" s="55"/>
      <c r="Q141" s="245">
        <f>Q139-Q140</f>
        <v>0</v>
      </c>
      <c r="V141" s="55"/>
      <c r="AC141" s="55"/>
      <c r="AJ141" s="55"/>
    </row>
    <row r="142">
      <c r="C142" s="77" t="s">
        <v>83</v>
      </c>
      <c r="D142" s="47"/>
      <c r="E142" s="47"/>
      <c r="F142" s="47"/>
      <c r="G142" s="47"/>
      <c r="H142" s="48"/>
      <c r="L142" s="97" t="s">
        <v>84</v>
      </c>
      <c r="M142" s="114">
        <f>N139-K139</f>
        <v>0</v>
      </c>
      <c r="O142" s="55"/>
      <c r="V142" s="55"/>
      <c r="AC142" s="55"/>
      <c r="AJ142" s="55"/>
    </row>
    <row r="143">
      <c r="C143" s="9" t="s">
        <v>85</v>
      </c>
      <c r="D143" s="79">
        <f t="array" ref="D143:G143">D88:G88+K88:N88+R88:U88+Y88:AB88+AF88:AI88</f>
        <v>0</v>
      </c>
      <c r="E143" s="47"/>
      <c r="F143" s="47"/>
      <c r="G143" s="47"/>
      <c r="H143" s="48"/>
      <c r="O143" s="55"/>
      <c r="V143" s="55"/>
      <c r="AC143" s="55"/>
      <c r="AJ143" s="55"/>
    </row>
    <row r="144">
      <c r="C144" s="9" t="s">
        <v>86</v>
      </c>
      <c r="D144" s="80">
        <f t="array" ref="D144:G144">D89:G89+K89:N89+R89:U89+Y89:AB89+AF89:AI89</f>
        <v>0</v>
      </c>
      <c r="E144" s="47"/>
      <c r="F144" s="47"/>
      <c r="G144" s="47"/>
      <c r="H144" s="48"/>
      <c r="L144" s="97" t="s">
        <v>87</v>
      </c>
      <c r="M144" s="114">
        <f>J139+(M139*0)</f>
        <v>0</v>
      </c>
      <c r="O144" s="55"/>
      <c r="V144" s="55"/>
      <c r="AC144" s="55"/>
      <c r="AJ144" s="55"/>
    </row>
    <row r="145">
      <c r="C145" s="9" t="s">
        <v>88</v>
      </c>
      <c r="D145" s="81">
        <f t="array" ref="D145:G145">D90:G90+K90:N90+R90:U90+Y90:AB90+AF90:AI90</f>
        <v>0</v>
      </c>
      <c r="E145" s="47"/>
      <c r="F145" s="47"/>
      <c r="G145" s="47"/>
      <c r="H145" s="48"/>
      <c r="I145" s="78"/>
      <c r="O145" s="55"/>
      <c r="V145" s="55"/>
      <c r="AC145" s="55"/>
      <c r="AJ145" s="55"/>
    </row>
    <row r="146">
      <c r="C146" s="9" t="s">
        <v>89</v>
      </c>
      <c r="D146" s="82">
        <f t="array" ref="D146:G146">D91:G91+K91:N91+R91:U91+Y91:AB91+AF91:AI91</f>
        <v>0</v>
      </c>
      <c r="E146" s="47"/>
      <c r="F146" s="47"/>
      <c r="G146" s="47"/>
      <c r="H146" s="48"/>
      <c r="O146" s="55"/>
      <c r="V146" s="55"/>
      <c r="AC146" s="55"/>
      <c r="AJ146" s="55"/>
    </row>
    <row r="147">
      <c r="C147" s="9" t="s">
        <v>90</v>
      </c>
      <c r="D147" s="83">
        <f t="array" ref="D147:G147">D92:G92+K92:N92+R92:U92+Y92:AB92+AF92:AI92</f>
        <v>0</v>
      </c>
      <c r="E147" s="47"/>
      <c r="F147" s="47"/>
      <c r="G147" s="47"/>
      <c r="H147" s="48"/>
      <c r="O147" s="55"/>
      <c r="V147" s="55"/>
      <c r="AC147" s="55"/>
      <c r="AJ147" s="55"/>
    </row>
    <row r="148">
      <c r="C148" s="9" t="s">
        <v>91</v>
      </c>
      <c r="D148" s="84">
        <f t="array" ref="D148:G148">D93:G93+K93:N93+R93:U93+Y93:AB93+AF93:AI93</f>
        <v>0</v>
      </c>
      <c r="E148" s="47"/>
      <c r="F148" s="47"/>
      <c r="G148" s="47"/>
      <c r="H148" s="48"/>
      <c r="M148" s="245">
        <f>M144-200000</f>
        <v>-200000</v>
      </c>
      <c r="O148" s="55"/>
      <c r="V148" s="55"/>
      <c r="AC148" s="55"/>
      <c r="AJ148" s="55"/>
    </row>
    <row r="149">
      <c r="O149" s="55"/>
      <c r="V149" s="55"/>
      <c r="AC149" s="55"/>
      <c r="AJ149" s="55"/>
    </row>
    <row r="150">
      <c r="O150" s="55"/>
      <c r="V150" s="55"/>
      <c r="AC150" s="55"/>
      <c r="AJ150" s="55"/>
    </row>
    <row r="151">
      <c r="C151" s="115" t="s">
        <v>92</v>
      </c>
      <c r="D151" s="116">
        <f t="array" ref="D151:G151">D147:G147+D144:G144</f>
        <v>0</v>
      </c>
      <c r="E151" s="47"/>
      <c r="F151" s="47"/>
      <c r="G151" s="47"/>
      <c r="H151" s="48"/>
      <c r="O151" s="55"/>
      <c r="V151" s="55"/>
      <c r="AC151" s="55"/>
      <c r="AJ151" s="55"/>
    </row>
    <row r="152">
      <c r="O152" s="55"/>
      <c r="V152" s="55"/>
      <c r="AC152" s="55"/>
      <c r="AJ152" s="55"/>
    </row>
    <row r="153">
      <c r="O153" s="55"/>
      <c r="V153" s="55"/>
      <c r="AC153" s="55"/>
      <c r="AJ153" s="55"/>
    </row>
    <row r="154">
      <c r="O154" s="55"/>
      <c r="V154" s="55"/>
      <c r="AC154" s="55"/>
      <c r="AJ154" s="55"/>
    </row>
    <row r="155">
      <c r="O155" s="55"/>
      <c r="V155" s="55"/>
      <c r="AC155" s="55"/>
      <c r="AJ155" s="55"/>
    </row>
    <row r="156">
      <c r="C156" s="117" t="s">
        <v>93</v>
      </c>
      <c r="D156" s="55">
        <f t="array" ref="D156:G156">D143:G143/26</f>
        <v>0</v>
      </c>
      <c r="O156" s="55"/>
      <c r="V156" s="55"/>
      <c r="AC156" s="55"/>
      <c r="AJ156" s="55"/>
    </row>
    <row r="157">
      <c r="C157" s="117" t="s">
        <v>94</v>
      </c>
      <c r="D157" s="55">
        <f t="array" ref="D157:G157">D144:G144/26</f>
        <v>0</v>
      </c>
      <c r="O157" s="55"/>
      <c r="V157" s="55"/>
      <c r="AC157" s="55"/>
      <c r="AJ157" s="55"/>
    </row>
    <row r="158">
      <c r="C158" s="117" t="s">
        <v>95</v>
      </c>
      <c r="D158" s="55">
        <f t="array" ref="D158:G158">D146:G146/26</f>
        <v>0</v>
      </c>
      <c r="O158" s="55"/>
      <c r="V158" s="55"/>
      <c r="AC158" s="55"/>
      <c r="AJ158" s="55"/>
    </row>
    <row r="159">
      <c r="C159" s="117" t="s">
        <v>96</v>
      </c>
      <c r="D159" s="55">
        <f t="array" ref="D159:G159">D143:G143/26</f>
        <v>0</v>
      </c>
      <c r="O159" s="55"/>
      <c r="V159" s="55"/>
      <c r="AC159" s="55"/>
      <c r="AJ159" s="55"/>
    </row>
    <row r="160">
      <c r="D160" s="78"/>
      <c r="O160" s="55"/>
      <c r="V160" s="55"/>
      <c r="AC160" s="55"/>
      <c r="AJ160" s="55"/>
    </row>
    <row r="161">
      <c r="O161" s="55"/>
      <c r="V161" s="55"/>
      <c r="AC161" s="55"/>
      <c r="AJ161" s="55"/>
    </row>
    <row r="162">
      <c r="O162" s="55"/>
      <c r="V162" s="55"/>
      <c r="AC162" s="55"/>
      <c r="AJ162" s="55"/>
    </row>
    <row r="163">
      <c r="O163" s="55"/>
      <c r="V163" s="55"/>
      <c r="AC163" s="55"/>
      <c r="AJ163" s="55"/>
    </row>
    <row r="164">
      <c r="O164" s="55"/>
      <c r="V164" s="55"/>
      <c r="AC164" s="55"/>
      <c r="AJ164" s="55"/>
    </row>
    <row r="165">
      <c r="B165" s="78" t="s">
        <v>97</v>
      </c>
      <c r="O165" s="55"/>
      <c r="Q165" s="78"/>
      <c r="V165" s="55"/>
      <c r="AC165" s="55"/>
      <c r="AJ165" s="55"/>
    </row>
    <row r="166">
      <c r="O166" s="55"/>
      <c r="V166" s="55"/>
      <c r="AC166" s="55"/>
      <c r="AJ166" s="55"/>
    </row>
    <row r="167">
      <c r="O167" s="55"/>
      <c r="V167" s="55"/>
      <c r="AC167" s="55"/>
      <c r="AJ167" s="55"/>
    </row>
    <row r="168">
      <c r="B168" s="77" t="s">
        <v>98</v>
      </c>
      <c r="C168" s="47"/>
      <c r="D168" s="47"/>
      <c r="E168" s="47"/>
      <c r="F168" s="47"/>
      <c r="G168" s="48"/>
      <c r="H168" s="118"/>
      <c r="I168" s="77" t="s">
        <v>98</v>
      </c>
      <c r="J168" s="47"/>
      <c r="K168" s="47"/>
      <c r="L168" s="47"/>
      <c r="M168" s="47"/>
      <c r="N168" s="48"/>
      <c r="O168" s="119"/>
      <c r="P168" s="77" t="s">
        <v>98</v>
      </c>
      <c r="Q168" s="47"/>
      <c r="R168" s="47"/>
      <c r="S168" s="47"/>
      <c r="T168" s="47"/>
      <c r="U168" s="48"/>
      <c r="V168" s="119"/>
      <c r="W168" s="77" t="s">
        <v>98</v>
      </c>
      <c r="X168" s="47"/>
      <c r="Y168" s="47"/>
      <c r="Z168" s="47"/>
      <c r="AA168" s="47"/>
      <c r="AB168" s="48"/>
      <c r="AC168" s="119"/>
      <c r="AD168" s="77" t="s">
        <v>98</v>
      </c>
      <c r="AE168" s="47"/>
      <c r="AF168" s="47"/>
      <c r="AG168" s="47"/>
      <c r="AH168" s="47"/>
      <c r="AI168" s="48"/>
      <c r="AJ168" s="119"/>
    </row>
    <row r="169">
      <c r="B169" s="2" t="s">
        <v>0</v>
      </c>
      <c r="C169" s="2" t="s">
        <v>1</v>
      </c>
      <c r="D169" s="3" t="s">
        <v>99</v>
      </c>
      <c r="E169" s="2" t="s">
        <v>100</v>
      </c>
      <c r="F169" s="2"/>
      <c r="G169" s="2" t="s">
        <v>101</v>
      </c>
      <c r="H169" s="2"/>
      <c r="I169" s="2" t="s">
        <v>0</v>
      </c>
      <c r="J169" s="2" t="s">
        <v>1</v>
      </c>
      <c r="K169" s="3" t="s">
        <v>99</v>
      </c>
      <c r="L169" s="2" t="s">
        <v>100</v>
      </c>
      <c r="M169" s="2"/>
      <c r="N169" s="2" t="s">
        <v>101</v>
      </c>
      <c r="O169" s="5"/>
      <c r="P169" s="2" t="s">
        <v>0</v>
      </c>
      <c r="Q169" s="2" t="s">
        <v>1</v>
      </c>
      <c r="R169" s="3" t="s">
        <v>99</v>
      </c>
      <c r="S169" s="2" t="s">
        <v>100</v>
      </c>
      <c r="T169" s="2"/>
      <c r="U169" s="2" t="s">
        <v>101</v>
      </c>
      <c r="V169" s="5"/>
      <c r="W169" s="2" t="s">
        <v>0</v>
      </c>
      <c r="X169" s="2" t="s">
        <v>1</v>
      </c>
      <c r="Y169" s="3" t="s">
        <v>99</v>
      </c>
      <c r="Z169" s="2" t="s">
        <v>100</v>
      </c>
      <c r="AA169" s="2"/>
      <c r="AB169" s="2" t="s">
        <v>101</v>
      </c>
      <c r="AC169" s="5"/>
      <c r="AD169" s="2" t="s">
        <v>0</v>
      </c>
      <c r="AE169" s="2" t="s">
        <v>1</v>
      </c>
      <c r="AF169" s="3" t="s">
        <v>99</v>
      </c>
      <c r="AG169" s="2" t="s">
        <v>100</v>
      </c>
      <c r="AH169" s="2"/>
      <c r="AI169" s="2" t="s">
        <v>101</v>
      </c>
      <c r="AJ169" s="5"/>
    </row>
    <row r="170">
      <c r="A170" s="60" t="s">
        <v>9</v>
      </c>
      <c r="B170" s="12" t="s">
        <v>102</v>
      </c>
      <c r="C170" s="9" t="s">
        <v>10</v>
      </c>
      <c r="D170" s="120"/>
      <c r="E170" s="49"/>
      <c r="F170" s="49"/>
      <c r="G170" s="49"/>
      <c r="H170" s="49"/>
      <c r="I170" s="12">
        <v>45390.0</v>
      </c>
      <c r="J170" s="9" t="s">
        <v>10</v>
      </c>
      <c r="K170" s="120"/>
      <c r="L170" s="49"/>
      <c r="M170" s="49"/>
      <c r="N170" s="49"/>
      <c r="O170" s="51"/>
      <c r="P170" s="12">
        <v>45334.0</v>
      </c>
      <c r="Q170" s="9" t="s">
        <v>10</v>
      </c>
      <c r="R170" s="120"/>
      <c r="S170" s="49"/>
      <c r="T170" s="49"/>
      <c r="U170" s="49"/>
      <c r="V170" s="51"/>
      <c r="W170" s="12">
        <v>45369.0</v>
      </c>
      <c r="X170" s="9" t="s">
        <v>10</v>
      </c>
      <c r="Y170" s="120"/>
      <c r="Z170" s="49"/>
      <c r="AA170" s="49"/>
      <c r="AB170" s="49"/>
      <c r="AC170" s="51"/>
      <c r="AD170" s="121"/>
      <c r="AE170" s="9" t="s">
        <v>10</v>
      </c>
      <c r="AF170" s="120"/>
      <c r="AG170" s="49"/>
      <c r="AH170" s="49"/>
      <c r="AI170" s="49"/>
      <c r="AJ170" s="51"/>
    </row>
    <row r="171">
      <c r="A171" s="19"/>
      <c r="B171" s="19"/>
      <c r="C171" s="9">
        <v>202.0</v>
      </c>
      <c r="E171" s="49"/>
      <c r="F171" s="49"/>
      <c r="G171" s="49"/>
      <c r="H171" s="49"/>
      <c r="I171" s="19"/>
      <c r="J171" s="9">
        <v>202.0</v>
      </c>
      <c r="K171" s="122"/>
      <c r="L171" s="49"/>
      <c r="M171" s="49"/>
      <c r="N171" s="49"/>
      <c r="O171" s="51"/>
      <c r="P171" s="19"/>
      <c r="Q171" s="9">
        <v>202.0</v>
      </c>
      <c r="R171" s="122"/>
      <c r="S171" s="49"/>
      <c r="T171" s="49"/>
      <c r="U171" s="49"/>
      <c r="V171" s="51"/>
      <c r="W171" s="19"/>
      <c r="X171" s="9">
        <v>202.0</v>
      </c>
      <c r="Y171" s="122"/>
      <c r="Z171" s="49"/>
      <c r="AA171" s="49"/>
      <c r="AB171" s="49"/>
      <c r="AC171" s="51"/>
      <c r="AD171" s="19"/>
      <c r="AE171" s="9">
        <v>202.0</v>
      </c>
      <c r="AF171" s="122"/>
      <c r="AG171" s="49"/>
      <c r="AH171" s="49"/>
      <c r="AI171" s="49"/>
      <c r="AJ171" s="51"/>
    </row>
    <row r="172">
      <c r="A172" s="19"/>
      <c r="B172" s="19"/>
      <c r="C172" s="9">
        <v>213.0</v>
      </c>
      <c r="D172" s="122"/>
      <c r="E172" s="49"/>
      <c r="F172" s="49"/>
      <c r="G172" s="49"/>
      <c r="H172" s="49"/>
      <c r="I172" s="19"/>
      <c r="J172" s="9">
        <v>213.0</v>
      </c>
      <c r="K172" s="122"/>
      <c r="L172" s="49"/>
      <c r="M172" s="49"/>
      <c r="N172" s="49"/>
      <c r="O172" s="51"/>
      <c r="P172" s="19"/>
      <c r="Q172" s="9">
        <v>213.0</v>
      </c>
      <c r="R172" s="122"/>
      <c r="S172" s="49"/>
      <c r="T172" s="49"/>
      <c r="U172" s="49"/>
      <c r="V172" s="51"/>
      <c r="W172" s="19"/>
      <c r="X172" s="9">
        <v>213.0</v>
      </c>
      <c r="Y172" s="122"/>
      <c r="Z172" s="49"/>
      <c r="AA172" s="49"/>
      <c r="AB172" s="49"/>
      <c r="AC172" s="51"/>
      <c r="AD172" s="19"/>
      <c r="AE172" s="9">
        <v>213.0</v>
      </c>
      <c r="AF172" s="122"/>
      <c r="AG172" s="49"/>
      <c r="AH172" s="49"/>
      <c r="AI172" s="49"/>
      <c r="AJ172" s="51"/>
    </row>
    <row r="173">
      <c r="A173" s="19"/>
      <c r="B173" s="19"/>
      <c r="C173" s="9">
        <v>307.0</v>
      </c>
      <c r="E173" s="49"/>
      <c r="F173" s="49"/>
      <c r="G173" s="49"/>
      <c r="H173" s="49"/>
      <c r="I173" s="19"/>
      <c r="J173" s="9">
        <v>307.0</v>
      </c>
      <c r="K173" s="122"/>
      <c r="L173" s="49"/>
      <c r="M173" s="49"/>
      <c r="N173" s="49"/>
      <c r="O173" s="51"/>
      <c r="P173" s="19"/>
      <c r="Q173" s="9">
        <v>307.0</v>
      </c>
      <c r="R173" s="122"/>
      <c r="S173" s="49"/>
      <c r="T173" s="49"/>
      <c r="U173" s="49"/>
      <c r="V173" s="51"/>
      <c r="W173" s="19"/>
      <c r="X173" s="9">
        <v>307.0</v>
      </c>
      <c r="Y173" s="122"/>
      <c r="Z173" s="49"/>
      <c r="AA173" s="49"/>
      <c r="AB173" s="49"/>
      <c r="AC173" s="51"/>
      <c r="AD173" s="19"/>
      <c r="AE173" s="9">
        <v>307.0</v>
      </c>
      <c r="AF173" s="122"/>
      <c r="AG173" s="49"/>
      <c r="AH173" s="49"/>
      <c r="AI173" s="49"/>
      <c r="AJ173" s="51"/>
    </row>
    <row r="174">
      <c r="A174" s="19"/>
      <c r="B174" s="19"/>
      <c r="C174" s="9">
        <v>313.0</v>
      </c>
      <c r="D174" s="122"/>
      <c r="E174" s="49"/>
      <c r="F174" s="49"/>
      <c r="G174" s="49"/>
      <c r="H174" s="49"/>
      <c r="I174" s="19"/>
      <c r="J174" s="9">
        <v>313.0</v>
      </c>
      <c r="K174" s="122"/>
      <c r="L174" s="49"/>
      <c r="M174" s="49"/>
      <c r="N174" s="49"/>
      <c r="O174" s="51"/>
      <c r="P174" s="19"/>
      <c r="Q174" s="9">
        <v>313.0</v>
      </c>
      <c r="R174" s="122"/>
      <c r="S174" s="49"/>
      <c r="T174" s="49"/>
      <c r="U174" s="49"/>
      <c r="V174" s="51"/>
      <c r="W174" s="19"/>
      <c r="X174" s="9">
        <v>313.0</v>
      </c>
      <c r="Y174" s="122"/>
      <c r="Z174" s="49"/>
      <c r="AA174" s="49"/>
      <c r="AB174" s="49"/>
      <c r="AC174" s="51"/>
      <c r="AD174" s="19"/>
      <c r="AE174" s="9">
        <v>313.0</v>
      </c>
      <c r="AF174" s="122"/>
      <c r="AG174" s="49"/>
      <c r="AH174" s="49"/>
      <c r="AI174" s="49"/>
      <c r="AJ174" s="51"/>
    </row>
    <row r="175">
      <c r="A175" s="19"/>
      <c r="B175" s="19"/>
      <c r="C175" s="9" t="s">
        <v>19</v>
      </c>
      <c r="D175" s="122"/>
      <c r="E175" s="49"/>
      <c r="F175" s="49"/>
      <c r="G175" s="49"/>
      <c r="H175" s="49"/>
      <c r="I175" s="19"/>
      <c r="J175" s="9" t="s">
        <v>19</v>
      </c>
      <c r="K175" s="122"/>
      <c r="L175" s="49"/>
      <c r="M175" s="49"/>
      <c r="N175" s="49"/>
      <c r="O175" s="51"/>
      <c r="P175" s="19"/>
      <c r="Q175" s="9" t="s">
        <v>19</v>
      </c>
      <c r="R175" s="122"/>
      <c r="S175" s="49"/>
      <c r="T175" s="49"/>
      <c r="U175" s="49"/>
      <c r="V175" s="51"/>
      <c r="W175" s="19"/>
      <c r="X175" s="9" t="s">
        <v>19</v>
      </c>
      <c r="Y175" s="122"/>
      <c r="Z175" s="49"/>
      <c r="AA175" s="49"/>
      <c r="AB175" s="49"/>
      <c r="AC175" s="51"/>
      <c r="AD175" s="19"/>
      <c r="AE175" s="9" t="s">
        <v>19</v>
      </c>
      <c r="AF175" s="122"/>
      <c r="AG175" s="49"/>
      <c r="AH175" s="49"/>
      <c r="AI175" s="49"/>
      <c r="AJ175" s="51"/>
    </row>
    <row r="176">
      <c r="A176" s="19"/>
      <c r="B176" s="19"/>
      <c r="C176" s="9" t="s">
        <v>22</v>
      </c>
      <c r="D176" s="122"/>
      <c r="E176" s="49"/>
      <c r="F176" s="49"/>
      <c r="G176" s="49"/>
      <c r="H176" s="49"/>
      <c r="I176" s="19"/>
      <c r="J176" s="9" t="s">
        <v>22</v>
      </c>
      <c r="K176" s="122"/>
      <c r="L176" s="49"/>
      <c r="M176" s="49"/>
      <c r="N176" s="49"/>
      <c r="O176" s="51"/>
      <c r="P176" s="19"/>
      <c r="Q176" s="9" t="s">
        <v>22</v>
      </c>
      <c r="R176" s="123"/>
      <c r="S176" s="48"/>
      <c r="T176" s="49"/>
      <c r="U176" s="49"/>
      <c r="V176" s="51"/>
      <c r="W176" s="19"/>
      <c r="X176" s="9" t="s">
        <v>22</v>
      </c>
      <c r="Y176" s="122"/>
      <c r="Z176" s="49"/>
      <c r="AA176" s="49"/>
      <c r="AB176" s="49"/>
      <c r="AC176" s="51"/>
      <c r="AD176" s="19"/>
      <c r="AE176" s="9" t="s">
        <v>22</v>
      </c>
      <c r="AF176" s="122"/>
      <c r="AG176" s="49"/>
      <c r="AH176" s="49"/>
      <c r="AI176" s="49"/>
      <c r="AJ176" s="51"/>
    </row>
    <row r="177">
      <c r="A177" s="19"/>
      <c r="B177" s="19"/>
      <c r="C177" s="9" t="s">
        <v>103</v>
      </c>
      <c r="D177" s="124"/>
      <c r="E177" s="48"/>
      <c r="F177" s="122"/>
      <c r="G177" s="49"/>
      <c r="H177" s="49"/>
      <c r="I177" s="19"/>
      <c r="J177" s="9" t="s">
        <v>103</v>
      </c>
      <c r="K177" s="123"/>
      <c r="L177" s="48"/>
      <c r="M177" s="120"/>
      <c r="N177" s="49"/>
      <c r="O177" s="51"/>
      <c r="P177" s="19"/>
      <c r="Q177" s="9" t="s">
        <v>103</v>
      </c>
      <c r="R177" s="123"/>
      <c r="S177" s="48"/>
      <c r="T177" s="120"/>
      <c r="U177" s="49"/>
      <c r="V177" s="51"/>
      <c r="W177" s="19"/>
      <c r="X177" s="9" t="s">
        <v>103</v>
      </c>
      <c r="Y177" s="123"/>
      <c r="Z177" s="48"/>
      <c r="AA177" s="122"/>
      <c r="AB177" s="49"/>
      <c r="AC177" s="51"/>
      <c r="AD177" s="53"/>
      <c r="AE177" s="9" t="s">
        <v>103</v>
      </c>
      <c r="AF177" s="125"/>
      <c r="AG177" s="48"/>
      <c r="AH177" s="122"/>
      <c r="AI177" s="49"/>
      <c r="AJ177" s="51"/>
    </row>
    <row r="178">
      <c r="A178" s="19"/>
      <c r="B178" s="19"/>
      <c r="C178" s="9" t="s">
        <v>103</v>
      </c>
      <c r="D178" s="125"/>
      <c r="E178" s="48"/>
      <c r="F178" s="122"/>
      <c r="G178" s="49"/>
      <c r="H178" s="49"/>
      <c r="I178" s="19"/>
      <c r="J178" s="9" t="s">
        <v>104</v>
      </c>
      <c r="K178" s="123"/>
      <c r="L178" s="48"/>
      <c r="M178" s="120"/>
      <c r="N178" s="49"/>
      <c r="O178" s="51"/>
      <c r="P178" s="19"/>
      <c r="Q178" s="9" t="s">
        <v>103</v>
      </c>
      <c r="R178" s="123"/>
      <c r="S178" s="48"/>
      <c r="T178" s="122"/>
      <c r="U178" s="49"/>
      <c r="V178" s="51"/>
      <c r="W178" s="19"/>
      <c r="X178" s="9" t="s">
        <v>105</v>
      </c>
      <c r="Y178" s="120"/>
      <c r="Z178" s="122"/>
      <c r="AA178" s="122"/>
      <c r="AB178" s="49"/>
      <c r="AC178" s="51"/>
      <c r="AD178" s="126"/>
      <c r="AE178" s="9"/>
      <c r="AF178" s="122"/>
      <c r="AG178" s="122"/>
      <c r="AH178" s="122"/>
      <c r="AI178" s="49"/>
      <c r="AJ178" s="51"/>
    </row>
    <row r="179">
      <c r="A179" s="19"/>
      <c r="B179" s="19"/>
      <c r="C179" s="9"/>
      <c r="D179" s="122"/>
      <c r="E179" s="122"/>
      <c r="F179" s="122"/>
      <c r="G179" s="49"/>
      <c r="H179" s="49"/>
      <c r="I179" s="53"/>
      <c r="J179" s="9" t="s">
        <v>104</v>
      </c>
      <c r="K179" s="123"/>
      <c r="L179" s="48"/>
      <c r="M179" s="120"/>
      <c r="N179" s="49"/>
      <c r="O179" s="51"/>
      <c r="P179" s="19"/>
      <c r="Q179" s="9" t="s">
        <v>103</v>
      </c>
      <c r="R179" s="123"/>
      <c r="S179" s="48"/>
      <c r="T179" s="122"/>
      <c r="U179" s="49"/>
      <c r="V179" s="51"/>
      <c r="W179" s="53"/>
      <c r="X179" s="9"/>
      <c r="Y179" s="123"/>
      <c r="Z179" s="48"/>
      <c r="AA179" s="122"/>
      <c r="AB179" s="49"/>
      <c r="AC179" s="51"/>
      <c r="AD179" s="126"/>
      <c r="AE179" s="9"/>
      <c r="AF179" s="122"/>
      <c r="AG179" s="122"/>
      <c r="AH179" s="122"/>
      <c r="AI179" s="49"/>
      <c r="AJ179" s="51"/>
    </row>
    <row r="180">
      <c r="A180" s="19"/>
      <c r="B180" s="19"/>
      <c r="C180" s="9"/>
      <c r="D180" s="122"/>
      <c r="E180" s="122"/>
      <c r="F180" s="122"/>
      <c r="G180" s="49"/>
      <c r="H180" s="49"/>
      <c r="I180" s="127"/>
      <c r="J180" s="9"/>
      <c r="K180" s="120"/>
      <c r="L180" s="120"/>
      <c r="M180" s="120"/>
      <c r="N180" s="49"/>
      <c r="O180" s="51"/>
      <c r="P180" s="19"/>
      <c r="Q180" s="9" t="s">
        <v>103</v>
      </c>
      <c r="R180" s="123"/>
      <c r="S180" s="48"/>
      <c r="T180" s="122"/>
      <c r="U180" s="49"/>
      <c r="V180" s="51"/>
      <c r="W180" s="127"/>
      <c r="X180" s="9"/>
      <c r="Y180" s="122"/>
      <c r="Z180" s="122"/>
      <c r="AA180" s="122"/>
      <c r="AB180" s="49"/>
      <c r="AC180" s="51"/>
      <c r="AD180" s="126"/>
      <c r="AE180" s="9"/>
      <c r="AF180" s="122"/>
      <c r="AG180" s="122"/>
      <c r="AH180" s="122"/>
      <c r="AI180" s="49"/>
      <c r="AJ180" s="51"/>
    </row>
    <row r="181">
      <c r="A181" s="19"/>
      <c r="B181" s="19"/>
      <c r="C181" s="9"/>
      <c r="D181" s="122"/>
      <c r="E181" s="122"/>
      <c r="F181" s="122"/>
      <c r="G181" s="49"/>
      <c r="H181" s="49"/>
      <c r="I181" s="127"/>
      <c r="J181" s="9"/>
      <c r="K181" s="120"/>
      <c r="L181" s="120"/>
      <c r="M181" s="120"/>
      <c r="N181" s="49"/>
      <c r="O181" s="51"/>
      <c r="P181" s="19"/>
      <c r="Q181" s="9"/>
      <c r="R181" s="123"/>
      <c r="S181" s="48"/>
      <c r="T181" s="122"/>
      <c r="U181" s="49"/>
      <c r="V181" s="51"/>
      <c r="W181" s="127"/>
      <c r="X181" s="9"/>
      <c r="Y181" s="122"/>
      <c r="Z181" s="122"/>
      <c r="AA181" s="122"/>
      <c r="AB181" s="49"/>
      <c r="AC181" s="51"/>
      <c r="AD181" s="126"/>
      <c r="AE181" s="9"/>
      <c r="AF181" s="122"/>
      <c r="AG181" s="122"/>
      <c r="AH181" s="122"/>
      <c r="AI181" s="49"/>
      <c r="AJ181" s="51"/>
    </row>
    <row r="182">
      <c r="A182" s="19"/>
      <c r="B182" s="19"/>
      <c r="C182" s="9"/>
      <c r="D182" s="122"/>
      <c r="E182" s="122"/>
      <c r="F182" s="122"/>
      <c r="G182" s="49"/>
      <c r="H182" s="49"/>
      <c r="I182" s="127"/>
      <c r="J182" s="9"/>
      <c r="K182" s="120"/>
      <c r="L182" s="120"/>
      <c r="M182" s="120"/>
      <c r="N182" s="49"/>
      <c r="O182" s="51"/>
      <c r="P182" s="53"/>
      <c r="Q182" s="9" t="s">
        <v>103</v>
      </c>
      <c r="R182" s="123"/>
      <c r="S182" s="48"/>
      <c r="T182" s="122"/>
      <c r="U182" s="49"/>
      <c r="V182" s="51"/>
      <c r="W182" s="127"/>
      <c r="X182" s="9"/>
      <c r="Y182" s="122"/>
      <c r="Z182" s="122"/>
      <c r="AA182" s="122"/>
      <c r="AB182" s="49"/>
      <c r="AC182" s="51"/>
      <c r="AD182" s="126"/>
      <c r="AE182" s="9"/>
      <c r="AF182" s="122"/>
      <c r="AG182" s="122"/>
      <c r="AH182" s="122"/>
      <c r="AI182" s="49"/>
      <c r="AJ182" s="51"/>
    </row>
    <row r="183">
      <c r="A183" s="19"/>
      <c r="B183" s="53"/>
      <c r="C183" s="9"/>
      <c r="D183" s="122"/>
      <c r="E183" s="122"/>
      <c r="F183" s="122"/>
      <c r="G183" s="49"/>
      <c r="H183" s="49"/>
      <c r="I183" s="127"/>
      <c r="J183" s="9"/>
      <c r="K183" s="120"/>
      <c r="L183" s="120"/>
      <c r="M183" s="120"/>
      <c r="N183" s="49"/>
      <c r="O183" s="51"/>
      <c r="P183" s="127"/>
      <c r="Q183" s="9"/>
      <c r="R183" s="123"/>
      <c r="S183" s="48"/>
      <c r="T183" s="122"/>
      <c r="U183" s="49"/>
      <c r="V183" s="51"/>
      <c r="W183" s="127"/>
      <c r="X183" s="9"/>
      <c r="Y183" s="122"/>
      <c r="Z183" s="122"/>
      <c r="AA183" s="122"/>
      <c r="AB183" s="49"/>
      <c r="AC183" s="51"/>
      <c r="AD183" s="126"/>
      <c r="AE183" s="9"/>
      <c r="AF183" s="122"/>
      <c r="AG183" s="122"/>
      <c r="AH183" s="122"/>
      <c r="AI183" s="49"/>
      <c r="AJ183" s="51"/>
    </row>
    <row r="184">
      <c r="A184" s="53"/>
      <c r="B184" s="2" t="s">
        <v>0</v>
      </c>
      <c r="C184" s="2" t="s">
        <v>1</v>
      </c>
      <c r="D184" s="128" t="s">
        <v>99</v>
      </c>
      <c r="E184" s="48"/>
      <c r="F184" s="2" t="s">
        <v>100</v>
      </c>
      <c r="G184" s="2" t="s">
        <v>101</v>
      </c>
      <c r="H184" s="2"/>
      <c r="I184" s="2" t="s">
        <v>0</v>
      </c>
      <c r="J184" s="2" t="s">
        <v>1</v>
      </c>
      <c r="K184" s="3" t="s">
        <v>99</v>
      </c>
      <c r="L184" s="2" t="s">
        <v>100</v>
      </c>
      <c r="M184" s="2"/>
      <c r="N184" s="2" t="s">
        <v>101</v>
      </c>
      <c r="O184" s="5"/>
      <c r="P184" s="2" t="s">
        <v>0</v>
      </c>
      <c r="Q184" s="2" t="s">
        <v>1</v>
      </c>
      <c r="R184" s="3" t="s">
        <v>99</v>
      </c>
      <c r="S184" s="2" t="s">
        <v>100</v>
      </c>
      <c r="T184" s="2"/>
      <c r="U184" s="2" t="s">
        <v>101</v>
      </c>
      <c r="V184" s="5"/>
      <c r="W184" s="2" t="s">
        <v>0</v>
      </c>
      <c r="X184" s="2" t="s">
        <v>1</v>
      </c>
      <c r="Y184" s="3" t="s">
        <v>99</v>
      </c>
      <c r="Z184" s="2" t="s">
        <v>100</v>
      </c>
      <c r="AA184" s="2"/>
      <c r="AB184" s="2" t="s">
        <v>101</v>
      </c>
      <c r="AC184" s="5"/>
      <c r="AD184" s="2" t="s">
        <v>0</v>
      </c>
      <c r="AE184" s="2" t="s">
        <v>1</v>
      </c>
      <c r="AF184" s="3" t="s">
        <v>99</v>
      </c>
      <c r="AG184" s="2" t="s">
        <v>100</v>
      </c>
      <c r="AH184" s="2"/>
      <c r="AI184" s="2" t="s">
        <v>101</v>
      </c>
      <c r="AJ184" s="5"/>
    </row>
    <row r="185">
      <c r="A185" s="60" t="s">
        <v>27</v>
      </c>
      <c r="B185" s="12">
        <v>45384.0</v>
      </c>
      <c r="C185" s="9" t="s">
        <v>10</v>
      </c>
      <c r="D185" s="120"/>
      <c r="E185" s="49"/>
      <c r="F185" s="49"/>
      <c r="G185" s="49"/>
      <c r="H185" s="49"/>
      <c r="I185" s="12">
        <v>45391.0</v>
      </c>
      <c r="J185" s="9" t="s">
        <v>10</v>
      </c>
      <c r="K185" s="120"/>
      <c r="L185" s="49"/>
      <c r="M185" s="49"/>
      <c r="N185" s="49"/>
      <c r="O185" s="51"/>
      <c r="P185" s="129"/>
      <c r="Q185" s="9" t="s">
        <v>10</v>
      </c>
      <c r="R185" s="120"/>
      <c r="S185" s="49"/>
      <c r="T185" s="49"/>
      <c r="U185" s="49"/>
      <c r="V185" s="51"/>
      <c r="W185" s="12">
        <v>45370.0</v>
      </c>
      <c r="X185" s="9" t="s">
        <v>10</v>
      </c>
      <c r="Y185" s="120"/>
      <c r="Z185" s="49"/>
      <c r="AA185" s="49"/>
      <c r="AB185" s="49"/>
      <c r="AC185" s="51"/>
      <c r="AD185" s="12">
        <v>45349.0</v>
      </c>
      <c r="AE185" s="9" t="s">
        <v>10</v>
      </c>
      <c r="AF185" s="120"/>
      <c r="AG185" s="49"/>
      <c r="AH185" s="49"/>
      <c r="AI185" s="49"/>
      <c r="AJ185" s="51"/>
    </row>
    <row r="186">
      <c r="A186" s="19"/>
      <c r="B186" s="19"/>
      <c r="C186" s="9">
        <v>202.0</v>
      </c>
      <c r="D186" s="122"/>
      <c r="E186" s="49"/>
      <c r="F186" s="49"/>
      <c r="G186" s="49"/>
      <c r="H186" s="49"/>
      <c r="I186" s="19"/>
      <c r="J186" s="9">
        <v>202.0</v>
      </c>
      <c r="K186" s="120"/>
      <c r="L186" s="49"/>
      <c r="M186" s="49"/>
      <c r="N186" s="49"/>
      <c r="O186" s="51"/>
      <c r="P186" s="19"/>
      <c r="Q186" s="9">
        <v>202.0</v>
      </c>
      <c r="R186" s="122"/>
      <c r="S186" s="49"/>
      <c r="T186" s="49"/>
      <c r="U186" s="49"/>
      <c r="V186" s="51"/>
      <c r="W186" s="19"/>
      <c r="X186" s="9">
        <v>202.0</v>
      </c>
      <c r="Y186" s="122"/>
      <c r="Z186" s="49"/>
      <c r="AA186" s="49"/>
      <c r="AB186" s="49"/>
      <c r="AC186" s="51"/>
      <c r="AD186" s="19"/>
      <c r="AE186" s="9">
        <v>202.0</v>
      </c>
      <c r="AF186" s="120"/>
      <c r="AG186" s="49"/>
      <c r="AH186" s="49"/>
      <c r="AI186" s="49"/>
      <c r="AJ186" s="51"/>
    </row>
    <row r="187">
      <c r="A187" s="19"/>
      <c r="B187" s="19"/>
      <c r="C187" s="9">
        <v>213.0</v>
      </c>
      <c r="D187" s="122"/>
      <c r="E187" s="49"/>
      <c r="F187" s="49"/>
      <c r="G187" s="49"/>
      <c r="H187" s="49"/>
      <c r="I187" s="19"/>
      <c r="J187" s="9">
        <v>213.0</v>
      </c>
      <c r="K187" s="122"/>
      <c r="L187" s="49"/>
      <c r="M187" s="49"/>
      <c r="N187" s="49"/>
      <c r="O187" s="51"/>
      <c r="P187" s="19"/>
      <c r="Q187" s="9">
        <v>213.0</v>
      </c>
      <c r="R187" s="122"/>
      <c r="S187" s="49"/>
      <c r="T187" s="49"/>
      <c r="U187" s="49"/>
      <c r="V187" s="51"/>
      <c r="W187" s="19"/>
      <c r="X187" s="9">
        <v>213.0</v>
      </c>
      <c r="Y187" s="122"/>
      <c r="Z187" s="49"/>
      <c r="AA187" s="49"/>
      <c r="AB187" s="49"/>
      <c r="AC187" s="51"/>
      <c r="AD187" s="19"/>
      <c r="AE187" s="9">
        <v>213.0</v>
      </c>
      <c r="AF187" s="122"/>
      <c r="AG187" s="49"/>
      <c r="AH187" s="49"/>
      <c r="AI187" s="49"/>
      <c r="AJ187" s="51"/>
    </row>
    <row r="188">
      <c r="A188" s="19"/>
      <c r="B188" s="19"/>
      <c r="C188" s="9">
        <v>307.0</v>
      </c>
      <c r="D188" s="122"/>
      <c r="E188" s="49"/>
      <c r="F188" s="49"/>
      <c r="G188" s="49"/>
      <c r="H188" s="49"/>
      <c r="I188" s="19"/>
      <c r="J188" s="9">
        <v>307.0</v>
      </c>
      <c r="K188" s="120"/>
      <c r="L188" s="49"/>
      <c r="M188" s="49"/>
      <c r="N188" s="49"/>
      <c r="O188" s="51"/>
      <c r="P188" s="19"/>
      <c r="Q188" s="9">
        <v>307.0</v>
      </c>
      <c r="R188" s="122"/>
      <c r="S188" s="49"/>
      <c r="T188" s="49"/>
      <c r="U188" s="49"/>
      <c r="V188" s="51"/>
      <c r="W188" s="19"/>
      <c r="X188" s="9">
        <v>307.0</v>
      </c>
      <c r="Y188" s="122"/>
      <c r="Z188" s="49"/>
      <c r="AA188" s="49"/>
      <c r="AB188" s="49"/>
      <c r="AC188" s="51"/>
      <c r="AD188" s="19"/>
      <c r="AE188" s="9">
        <v>307.0</v>
      </c>
      <c r="AF188" s="122"/>
      <c r="AG188" s="49"/>
      <c r="AH188" s="49"/>
      <c r="AI188" s="49"/>
      <c r="AJ188" s="51"/>
    </row>
    <row r="189">
      <c r="A189" s="19"/>
      <c r="B189" s="19"/>
      <c r="C189" s="9">
        <v>313.0</v>
      </c>
      <c r="D189" s="122"/>
      <c r="E189" s="49"/>
      <c r="F189" s="49"/>
      <c r="G189" s="49"/>
      <c r="H189" s="49"/>
      <c r="I189" s="19"/>
      <c r="J189" s="9">
        <v>313.0</v>
      </c>
      <c r="K189" s="122"/>
      <c r="L189" s="49"/>
      <c r="M189" s="49"/>
      <c r="N189" s="49"/>
      <c r="O189" s="51"/>
      <c r="P189" s="19"/>
      <c r="Q189" s="9">
        <v>313.0</v>
      </c>
      <c r="R189" s="122"/>
      <c r="S189" s="49"/>
      <c r="T189" s="49"/>
      <c r="U189" s="49"/>
      <c r="V189" s="51"/>
      <c r="W189" s="19"/>
      <c r="X189" s="9">
        <v>313.0</v>
      </c>
      <c r="Y189" s="122"/>
      <c r="Z189" s="49"/>
      <c r="AA189" s="49"/>
      <c r="AB189" s="49"/>
      <c r="AC189" s="51"/>
      <c r="AD189" s="19"/>
      <c r="AE189" s="9">
        <v>313.0</v>
      </c>
      <c r="AF189" s="122"/>
      <c r="AG189" s="49"/>
      <c r="AH189" s="49"/>
      <c r="AI189" s="49"/>
      <c r="AJ189" s="51"/>
    </row>
    <row r="190">
      <c r="A190" s="19"/>
      <c r="B190" s="19"/>
      <c r="C190" s="9" t="s">
        <v>19</v>
      </c>
      <c r="D190" s="122"/>
      <c r="E190" s="49"/>
      <c r="F190" s="49"/>
      <c r="G190" s="49"/>
      <c r="H190" s="49"/>
      <c r="I190" s="19"/>
      <c r="J190" s="9" t="s">
        <v>19</v>
      </c>
      <c r="K190" s="122"/>
      <c r="L190" s="49"/>
      <c r="M190" s="49"/>
      <c r="N190" s="49"/>
      <c r="O190" s="51"/>
      <c r="P190" s="19"/>
      <c r="Q190" s="9" t="s">
        <v>19</v>
      </c>
      <c r="S190" s="49"/>
      <c r="T190" s="49"/>
      <c r="U190" s="49"/>
      <c r="V190" s="51"/>
      <c r="W190" s="19"/>
      <c r="X190" s="9" t="s">
        <v>19</v>
      </c>
      <c r="Y190" s="122"/>
      <c r="Z190" s="49"/>
      <c r="AA190" s="49"/>
      <c r="AB190" s="49"/>
      <c r="AC190" s="51"/>
      <c r="AD190" s="19"/>
      <c r="AE190" s="9" t="s">
        <v>19</v>
      </c>
      <c r="AF190" s="122"/>
      <c r="AG190" s="49"/>
      <c r="AH190" s="49"/>
      <c r="AI190" s="49"/>
      <c r="AJ190" s="51"/>
    </row>
    <row r="191">
      <c r="A191" s="19"/>
      <c r="B191" s="19"/>
      <c r="C191" s="9" t="s">
        <v>22</v>
      </c>
      <c r="D191" s="122"/>
      <c r="E191" s="49"/>
      <c r="F191" s="49"/>
      <c r="G191" s="49"/>
      <c r="H191" s="49"/>
      <c r="I191" s="19"/>
      <c r="J191" s="9" t="s">
        <v>22</v>
      </c>
      <c r="K191" s="123"/>
      <c r="L191" s="48"/>
      <c r="M191" s="120"/>
      <c r="N191" s="9"/>
      <c r="O191" s="10"/>
      <c r="P191" s="19"/>
      <c r="Q191" s="9" t="s">
        <v>22</v>
      </c>
      <c r="R191" s="120"/>
      <c r="S191" s="49"/>
      <c r="T191" s="49"/>
      <c r="U191" s="49"/>
      <c r="V191" s="10"/>
      <c r="W191" s="19"/>
      <c r="X191" s="9" t="s">
        <v>22</v>
      </c>
      <c r="Y191" s="122"/>
      <c r="Z191" s="49"/>
      <c r="AA191" s="49"/>
      <c r="AB191" s="49"/>
      <c r="AC191" s="10"/>
      <c r="AD191" s="19"/>
      <c r="AE191" s="9" t="s">
        <v>22</v>
      </c>
      <c r="AF191" s="122"/>
      <c r="AG191" s="49"/>
      <c r="AH191" s="49"/>
      <c r="AI191" s="49"/>
      <c r="AJ191" s="10"/>
    </row>
    <row r="192">
      <c r="A192" s="53"/>
      <c r="B192" s="19"/>
      <c r="C192" s="9"/>
      <c r="D192" s="123"/>
      <c r="E192" s="48"/>
      <c r="F192" s="123"/>
      <c r="G192" s="48"/>
      <c r="H192" s="49"/>
      <c r="I192" s="53"/>
      <c r="J192" s="9" t="s">
        <v>103</v>
      </c>
      <c r="K192" s="123"/>
      <c r="L192" s="48"/>
      <c r="M192" s="120"/>
      <c r="N192" s="9"/>
      <c r="O192" s="10"/>
      <c r="P192" s="19"/>
      <c r="Q192" s="9" t="s">
        <v>103</v>
      </c>
      <c r="R192" s="123"/>
      <c r="S192" s="48"/>
      <c r="T192" s="120"/>
      <c r="U192" s="49"/>
      <c r="V192" s="10"/>
      <c r="W192" s="53"/>
      <c r="X192" s="9" t="s">
        <v>103</v>
      </c>
      <c r="Y192" s="123"/>
      <c r="Z192" s="48"/>
      <c r="AA192" s="122"/>
      <c r="AB192" s="49"/>
      <c r="AC192" s="10"/>
      <c r="AD192" s="53"/>
      <c r="AE192" s="9" t="s">
        <v>103</v>
      </c>
      <c r="AF192" s="125"/>
      <c r="AG192" s="48"/>
      <c r="AH192" s="122"/>
      <c r="AI192" s="49"/>
      <c r="AJ192" s="10"/>
    </row>
    <row r="193">
      <c r="A193" s="7"/>
      <c r="B193" s="19"/>
      <c r="C193" s="9"/>
      <c r="D193" s="123"/>
      <c r="E193" s="48"/>
      <c r="F193" s="123"/>
      <c r="G193" s="48"/>
      <c r="H193" s="49"/>
      <c r="I193" s="127"/>
      <c r="J193" s="9"/>
      <c r="K193" s="120"/>
      <c r="L193" s="120"/>
      <c r="M193" s="120"/>
      <c r="N193" s="9"/>
      <c r="O193" s="10"/>
      <c r="P193" s="19"/>
      <c r="Q193" s="9"/>
      <c r="R193" s="123"/>
      <c r="S193" s="48"/>
      <c r="T193" s="120"/>
      <c r="U193" s="49"/>
      <c r="V193" s="10"/>
      <c r="W193" s="127"/>
      <c r="X193" s="9"/>
      <c r="Y193" s="120"/>
      <c r="Z193" s="120"/>
      <c r="AA193" s="122"/>
      <c r="AB193" s="49"/>
      <c r="AC193" s="10"/>
      <c r="AD193" s="127"/>
      <c r="AE193" s="9" t="s">
        <v>106</v>
      </c>
      <c r="AF193" s="123"/>
      <c r="AG193" s="48"/>
      <c r="AH193" s="122"/>
      <c r="AI193" s="49"/>
      <c r="AJ193" s="10"/>
    </row>
    <row r="194">
      <c r="A194" s="7"/>
      <c r="B194" s="19"/>
      <c r="C194" s="9"/>
      <c r="D194" s="123"/>
      <c r="E194" s="48"/>
      <c r="F194" s="123"/>
      <c r="G194" s="48"/>
      <c r="H194" s="49"/>
      <c r="I194" s="127"/>
      <c r="J194" s="9"/>
      <c r="K194" s="120"/>
      <c r="L194" s="120"/>
      <c r="M194" s="120"/>
      <c r="N194" s="9"/>
      <c r="O194" s="10"/>
      <c r="P194" s="19"/>
      <c r="Q194" s="9"/>
      <c r="R194" s="120"/>
      <c r="S194" s="120"/>
      <c r="T194" s="120"/>
      <c r="U194" s="49"/>
      <c r="V194" s="10"/>
      <c r="W194" s="127"/>
      <c r="X194" s="9"/>
      <c r="Y194" s="120"/>
      <c r="Z194" s="120"/>
      <c r="AA194" s="122"/>
      <c r="AB194" s="49"/>
      <c r="AC194" s="10"/>
      <c r="AD194" s="127"/>
      <c r="AE194" s="9"/>
      <c r="AF194" s="120"/>
      <c r="AG194" s="120"/>
      <c r="AH194" s="122"/>
      <c r="AI194" s="49"/>
      <c r="AJ194" s="10"/>
    </row>
    <row r="195">
      <c r="A195" s="7"/>
      <c r="B195" s="19"/>
      <c r="C195" s="9"/>
      <c r="D195" s="123"/>
      <c r="E195" s="48"/>
      <c r="F195" s="122"/>
      <c r="G195" s="49"/>
      <c r="H195" s="49"/>
      <c r="I195" s="127"/>
      <c r="J195" s="9"/>
      <c r="K195" s="120"/>
      <c r="L195" s="120"/>
      <c r="M195" s="120"/>
      <c r="N195" s="9"/>
      <c r="O195" s="10"/>
      <c r="P195" s="19"/>
      <c r="Q195" s="9"/>
      <c r="R195" s="120"/>
      <c r="S195" s="120"/>
      <c r="T195" s="120"/>
      <c r="U195" s="49"/>
      <c r="V195" s="10"/>
      <c r="W195" s="127"/>
      <c r="X195" s="9"/>
      <c r="Y195" s="120"/>
      <c r="Z195" s="120"/>
      <c r="AA195" s="122"/>
      <c r="AB195" s="49"/>
      <c r="AC195" s="10"/>
      <c r="AD195" s="127"/>
      <c r="AE195" s="9"/>
      <c r="AF195" s="120"/>
      <c r="AG195" s="120"/>
      <c r="AH195" s="122"/>
      <c r="AI195" s="49"/>
      <c r="AJ195" s="10"/>
    </row>
    <row r="196">
      <c r="A196" s="7"/>
      <c r="B196" s="19"/>
      <c r="C196" s="9"/>
      <c r="D196" s="123"/>
      <c r="E196" s="48"/>
      <c r="F196" s="122"/>
      <c r="G196" s="49"/>
      <c r="H196" s="49"/>
      <c r="I196" s="127"/>
      <c r="J196" s="9"/>
      <c r="K196" s="120"/>
      <c r="L196" s="120"/>
      <c r="M196" s="120"/>
      <c r="N196" s="9"/>
      <c r="O196" s="10"/>
      <c r="P196" s="19"/>
      <c r="Q196" s="9"/>
      <c r="R196" s="120"/>
      <c r="S196" s="120"/>
      <c r="T196" s="120"/>
      <c r="U196" s="49"/>
      <c r="V196" s="10"/>
      <c r="W196" s="127"/>
      <c r="X196" s="9"/>
      <c r="Y196" s="120"/>
      <c r="Z196" s="120"/>
      <c r="AA196" s="122"/>
      <c r="AB196" s="49"/>
      <c r="AC196" s="10"/>
      <c r="AD196" s="127"/>
      <c r="AE196" s="9"/>
      <c r="AF196" s="120"/>
      <c r="AG196" s="120"/>
      <c r="AH196" s="122"/>
      <c r="AI196" s="49"/>
      <c r="AJ196" s="10"/>
    </row>
    <row r="197">
      <c r="A197" s="7"/>
      <c r="B197" s="19"/>
      <c r="C197" s="9"/>
      <c r="D197" s="123"/>
      <c r="E197" s="48"/>
      <c r="F197" s="123"/>
      <c r="G197" s="48"/>
      <c r="H197" s="49"/>
      <c r="I197" s="127"/>
      <c r="J197" s="9"/>
      <c r="K197" s="120"/>
      <c r="L197" s="120"/>
      <c r="M197" s="120"/>
      <c r="N197" s="9"/>
      <c r="O197" s="10"/>
      <c r="P197" s="19"/>
      <c r="Q197" s="9"/>
      <c r="R197" s="120"/>
      <c r="S197" s="120"/>
      <c r="T197" s="120"/>
      <c r="U197" s="49"/>
      <c r="V197" s="10"/>
      <c r="W197" s="127"/>
      <c r="X197" s="9"/>
      <c r="Y197" s="120"/>
      <c r="Z197" s="120"/>
      <c r="AA197" s="122"/>
      <c r="AB197" s="49"/>
      <c r="AC197" s="10"/>
      <c r="AD197" s="127"/>
      <c r="AE197" s="9"/>
      <c r="AF197" s="120"/>
      <c r="AG197" s="120"/>
      <c r="AH197" s="122"/>
      <c r="AI197" s="49"/>
      <c r="AJ197" s="10"/>
    </row>
    <row r="198">
      <c r="A198" s="7"/>
      <c r="B198" s="19"/>
      <c r="C198" s="9"/>
      <c r="D198" s="123"/>
      <c r="E198" s="48"/>
      <c r="F198" s="120"/>
      <c r="G198" s="120"/>
      <c r="H198" s="49"/>
      <c r="I198" s="127"/>
      <c r="J198" s="9"/>
      <c r="K198" s="120"/>
      <c r="L198" s="120"/>
      <c r="M198" s="120"/>
      <c r="N198" s="9"/>
      <c r="O198" s="10"/>
      <c r="P198" s="19"/>
      <c r="Q198" s="9"/>
      <c r="R198" s="120"/>
      <c r="S198" s="120"/>
      <c r="T198" s="120"/>
      <c r="U198" s="49"/>
      <c r="V198" s="10"/>
      <c r="W198" s="127"/>
      <c r="X198" s="9"/>
      <c r="Y198" s="120"/>
      <c r="Z198" s="120"/>
      <c r="AA198" s="122"/>
      <c r="AB198" s="49"/>
      <c r="AC198" s="10"/>
      <c r="AD198" s="127"/>
      <c r="AE198" s="9"/>
      <c r="AF198" s="120"/>
      <c r="AG198" s="120"/>
      <c r="AH198" s="122"/>
      <c r="AI198" s="49"/>
      <c r="AJ198" s="10"/>
    </row>
    <row r="199">
      <c r="A199" s="7"/>
      <c r="B199" s="19"/>
      <c r="C199" s="9"/>
      <c r="D199" s="123"/>
      <c r="E199" s="48"/>
      <c r="F199" s="122"/>
      <c r="G199" s="49"/>
      <c r="H199" s="49"/>
      <c r="I199" s="127"/>
      <c r="J199" s="9"/>
      <c r="K199" s="120"/>
      <c r="L199" s="120"/>
      <c r="M199" s="120"/>
      <c r="N199" s="9"/>
      <c r="O199" s="10"/>
      <c r="P199" s="19"/>
      <c r="Q199" s="9"/>
      <c r="R199" s="120"/>
      <c r="S199" s="120"/>
      <c r="T199" s="120"/>
      <c r="U199" s="49"/>
      <c r="V199" s="10"/>
      <c r="W199" s="127"/>
      <c r="X199" s="9"/>
      <c r="Y199" s="120"/>
      <c r="Z199" s="120"/>
      <c r="AA199" s="122"/>
      <c r="AB199" s="49"/>
      <c r="AC199" s="10"/>
      <c r="AD199" s="127"/>
      <c r="AE199" s="9"/>
      <c r="AF199" s="120"/>
      <c r="AG199" s="120"/>
      <c r="AH199" s="122"/>
      <c r="AI199" s="49"/>
      <c r="AJ199" s="10"/>
    </row>
    <row r="200">
      <c r="A200" s="7"/>
      <c r="B200" s="19"/>
      <c r="C200" s="9"/>
      <c r="D200" s="123"/>
      <c r="E200" s="48"/>
      <c r="F200" s="123"/>
      <c r="G200" s="48"/>
      <c r="H200" s="49"/>
      <c r="I200" s="127"/>
      <c r="J200" s="9"/>
      <c r="K200" s="120"/>
      <c r="L200" s="120"/>
      <c r="M200" s="120"/>
      <c r="N200" s="9"/>
      <c r="O200" s="10"/>
      <c r="P200" s="19"/>
      <c r="Q200" s="9"/>
      <c r="R200" s="120"/>
      <c r="S200" s="120"/>
      <c r="T200" s="120"/>
      <c r="U200" s="49"/>
      <c r="V200" s="10"/>
      <c r="W200" s="127"/>
      <c r="X200" s="9"/>
      <c r="Y200" s="120"/>
      <c r="Z200" s="120"/>
      <c r="AA200" s="122"/>
      <c r="AB200" s="49"/>
      <c r="AC200" s="10"/>
      <c r="AD200" s="127"/>
      <c r="AE200" s="9"/>
      <c r="AF200" s="120"/>
      <c r="AG200" s="120"/>
      <c r="AH200" s="122"/>
      <c r="AI200" s="49"/>
      <c r="AJ200" s="10"/>
    </row>
    <row r="201">
      <c r="A201" s="7"/>
      <c r="B201" s="53"/>
      <c r="C201" s="9"/>
      <c r="D201" s="122"/>
      <c r="E201" s="122"/>
      <c r="F201" s="122"/>
      <c r="G201" s="49"/>
      <c r="H201" s="49"/>
      <c r="I201" s="127"/>
      <c r="J201" s="9"/>
      <c r="K201" s="120"/>
      <c r="L201" s="120"/>
      <c r="M201" s="120"/>
      <c r="N201" s="9"/>
      <c r="O201" s="10"/>
      <c r="P201" s="53"/>
      <c r="Q201" s="9"/>
      <c r="R201" s="123"/>
      <c r="S201" s="48"/>
      <c r="T201" s="120"/>
      <c r="U201" s="49"/>
      <c r="V201" s="10"/>
      <c r="W201" s="127"/>
      <c r="X201" s="9"/>
      <c r="Y201" s="120"/>
      <c r="Z201" s="120"/>
      <c r="AA201" s="122"/>
      <c r="AB201" s="49"/>
      <c r="AC201" s="10"/>
      <c r="AD201" s="127"/>
      <c r="AE201" s="9"/>
      <c r="AF201" s="122"/>
      <c r="AG201" s="122"/>
      <c r="AH201" s="122"/>
      <c r="AI201" s="49"/>
      <c r="AJ201" s="10"/>
    </row>
    <row r="202">
      <c r="B202" s="2" t="s">
        <v>0</v>
      </c>
      <c r="C202" s="2" t="s">
        <v>1</v>
      </c>
      <c r="D202" s="3" t="s">
        <v>99</v>
      </c>
      <c r="E202" s="2" t="s">
        <v>100</v>
      </c>
      <c r="F202" s="2"/>
      <c r="G202" s="2" t="s">
        <v>101</v>
      </c>
      <c r="H202" s="2"/>
      <c r="I202" s="2" t="s">
        <v>0</v>
      </c>
      <c r="J202" s="2" t="s">
        <v>1</v>
      </c>
      <c r="K202" s="3" t="s">
        <v>99</v>
      </c>
      <c r="L202" s="2" t="s">
        <v>100</v>
      </c>
      <c r="M202" s="2"/>
      <c r="N202" s="2" t="s">
        <v>101</v>
      </c>
      <c r="O202" s="5"/>
      <c r="P202" s="2" t="s">
        <v>0</v>
      </c>
      <c r="Q202" s="2" t="s">
        <v>1</v>
      </c>
      <c r="R202" s="3" t="s">
        <v>107</v>
      </c>
      <c r="S202" s="2" t="s">
        <v>100</v>
      </c>
      <c r="T202" s="2"/>
      <c r="U202" s="2" t="s">
        <v>101</v>
      </c>
      <c r="V202" s="5"/>
      <c r="W202" s="2" t="s">
        <v>0</v>
      </c>
      <c r="X202" s="2" t="s">
        <v>1</v>
      </c>
      <c r="Y202" s="3" t="s">
        <v>107</v>
      </c>
      <c r="Z202" s="2" t="s">
        <v>100</v>
      </c>
      <c r="AA202" s="2"/>
      <c r="AB202" s="2" t="s">
        <v>101</v>
      </c>
      <c r="AC202" s="5"/>
      <c r="AD202" s="2" t="s">
        <v>0</v>
      </c>
      <c r="AE202" s="2" t="s">
        <v>1</v>
      </c>
      <c r="AF202" s="3" t="s">
        <v>107</v>
      </c>
      <c r="AG202" s="2" t="s">
        <v>100</v>
      </c>
      <c r="AH202" s="2"/>
      <c r="AI202" s="2" t="s">
        <v>101</v>
      </c>
      <c r="AJ202" s="5"/>
    </row>
    <row r="203">
      <c r="A203" s="60" t="s">
        <v>30</v>
      </c>
      <c r="B203" s="12"/>
      <c r="C203" s="9" t="s">
        <v>10</v>
      </c>
      <c r="D203" s="120"/>
      <c r="E203" s="49"/>
      <c r="F203" s="49"/>
      <c r="G203" s="49"/>
      <c r="H203" s="49"/>
      <c r="I203" s="12"/>
      <c r="J203" s="9" t="s">
        <v>10</v>
      </c>
      <c r="K203" s="120"/>
      <c r="L203" s="49"/>
      <c r="M203" s="49"/>
      <c r="N203" s="49"/>
      <c r="O203" s="51"/>
      <c r="P203" s="129"/>
      <c r="Q203" s="9" t="s">
        <v>10</v>
      </c>
      <c r="R203" s="120"/>
      <c r="S203" s="49"/>
      <c r="T203" s="49"/>
      <c r="U203" s="49"/>
      <c r="V203" s="51"/>
      <c r="W203" s="12">
        <v>45371.0</v>
      </c>
      <c r="X203" s="9" t="s">
        <v>10</v>
      </c>
      <c r="Y203" s="120"/>
      <c r="Z203" s="49"/>
      <c r="AA203" s="49"/>
      <c r="AB203" s="49"/>
      <c r="AC203" s="51"/>
      <c r="AD203" s="12"/>
      <c r="AE203" s="9" t="s">
        <v>10</v>
      </c>
      <c r="AF203" s="120"/>
      <c r="AG203" s="49"/>
      <c r="AH203" s="49"/>
      <c r="AI203" s="49"/>
      <c r="AJ203" s="51"/>
    </row>
    <row r="204">
      <c r="A204" s="19"/>
      <c r="B204" s="19"/>
      <c r="C204" s="9">
        <v>202.0</v>
      </c>
      <c r="D204" s="122"/>
      <c r="E204" s="49"/>
      <c r="F204" s="49"/>
      <c r="G204" s="49"/>
      <c r="H204" s="49"/>
      <c r="I204" s="19"/>
      <c r="J204" s="9">
        <v>202.0</v>
      </c>
      <c r="K204" s="122"/>
      <c r="L204" s="49"/>
      <c r="M204" s="49"/>
      <c r="N204" s="49"/>
      <c r="O204" s="51"/>
      <c r="P204" s="19"/>
      <c r="Q204" s="9">
        <v>202.0</v>
      </c>
      <c r="R204" s="122"/>
      <c r="S204" s="49"/>
      <c r="T204" s="49"/>
      <c r="U204" s="49"/>
      <c r="V204" s="51"/>
      <c r="W204" s="19"/>
      <c r="X204" s="9">
        <v>202.0</v>
      </c>
      <c r="Y204" s="120"/>
      <c r="Z204" s="49"/>
      <c r="AA204" s="49"/>
      <c r="AB204" s="49"/>
      <c r="AC204" s="51"/>
      <c r="AD204" s="19"/>
      <c r="AE204" s="9">
        <v>202.0</v>
      </c>
      <c r="AF204" s="122"/>
      <c r="AG204" s="49"/>
      <c r="AH204" s="49"/>
      <c r="AI204" s="49"/>
      <c r="AJ204" s="51"/>
    </row>
    <row r="205">
      <c r="A205" s="19"/>
      <c r="B205" s="19"/>
      <c r="C205" s="9">
        <v>213.0</v>
      </c>
      <c r="D205" s="122"/>
      <c r="E205" s="49"/>
      <c r="F205" s="49"/>
      <c r="G205" s="49"/>
      <c r="H205" s="49"/>
      <c r="I205" s="19"/>
      <c r="J205" s="9">
        <v>213.0</v>
      </c>
      <c r="K205" s="122"/>
      <c r="L205" s="49"/>
      <c r="M205" s="49"/>
      <c r="N205" s="49"/>
      <c r="O205" s="51"/>
      <c r="P205" s="19"/>
      <c r="Q205" s="9">
        <v>213.0</v>
      </c>
      <c r="R205" s="122"/>
      <c r="S205" s="49"/>
      <c r="T205" s="49"/>
      <c r="U205" s="49"/>
      <c r="V205" s="51"/>
      <c r="W205" s="19"/>
      <c r="X205" s="9">
        <v>213.0</v>
      </c>
      <c r="Y205" s="122"/>
      <c r="Z205" s="49"/>
      <c r="AA205" s="49"/>
      <c r="AB205" s="49"/>
      <c r="AC205" s="51"/>
      <c r="AD205" s="19"/>
      <c r="AE205" s="9">
        <v>213.0</v>
      </c>
      <c r="AF205" s="122"/>
      <c r="AG205" s="49"/>
      <c r="AH205" s="49"/>
      <c r="AI205" s="49"/>
      <c r="AJ205" s="51"/>
    </row>
    <row r="206">
      <c r="A206" s="19"/>
      <c r="B206" s="19"/>
      <c r="C206" s="9">
        <v>307.0</v>
      </c>
      <c r="D206" s="122"/>
      <c r="E206" s="49"/>
      <c r="F206" s="49"/>
      <c r="G206" s="49"/>
      <c r="H206" s="49"/>
      <c r="I206" s="19"/>
      <c r="J206" s="9">
        <v>307.0</v>
      </c>
      <c r="K206" s="122"/>
      <c r="L206" s="49"/>
      <c r="M206" s="49"/>
      <c r="N206" s="49"/>
      <c r="O206" s="51"/>
      <c r="P206" s="19"/>
      <c r="Q206" s="9">
        <v>307.0</v>
      </c>
      <c r="R206" s="122"/>
      <c r="S206" s="49"/>
      <c r="T206" s="49"/>
      <c r="U206" s="49"/>
      <c r="V206" s="51"/>
      <c r="W206" s="19"/>
      <c r="X206" s="9">
        <v>307.0</v>
      </c>
      <c r="Y206" s="122"/>
      <c r="Z206" s="49"/>
      <c r="AA206" s="49"/>
      <c r="AB206" s="49"/>
      <c r="AC206" s="51"/>
      <c r="AD206" s="19"/>
      <c r="AE206" s="9">
        <v>307.0</v>
      </c>
      <c r="AF206" s="122"/>
      <c r="AG206" s="49"/>
      <c r="AH206" s="49"/>
      <c r="AI206" s="49"/>
      <c r="AJ206" s="51"/>
    </row>
    <row r="207">
      <c r="A207" s="19"/>
      <c r="B207" s="19"/>
      <c r="C207" s="9">
        <v>313.0</v>
      </c>
      <c r="D207" s="122"/>
      <c r="E207" s="49"/>
      <c r="F207" s="49"/>
      <c r="G207" s="49"/>
      <c r="H207" s="49"/>
      <c r="I207" s="19"/>
      <c r="J207" s="9">
        <v>313.0</v>
      </c>
      <c r="K207" s="122"/>
      <c r="L207" s="49"/>
      <c r="M207" s="49"/>
      <c r="N207" s="49"/>
      <c r="O207" s="51"/>
      <c r="P207" s="19"/>
      <c r="Q207" s="9">
        <v>313.0</v>
      </c>
      <c r="R207" s="122"/>
      <c r="S207" s="49"/>
      <c r="T207" s="49"/>
      <c r="U207" s="49"/>
      <c r="V207" s="51"/>
      <c r="W207" s="19"/>
      <c r="X207" s="9">
        <v>313.0</v>
      </c>
      <c r="Y207" s="122"/>
      <c r="Z207" s="49"/>
      <c r="AA207" s="49"/>
      <c r="AB207" s="49"/>
      <c r="AC207" s="51"/>
      <c r="AD207" s="19"/>
      <c r="AE207" s="9">
        <v>313.0</v>
      </c>
      <c r="AF207" s="122"/>
      <c r="AG207" s="49"/>
      <c r="AH207" s="49"/>
      <c r="AI207" s="49"/>
      <c r="AJ207" s="51"/>
    </row>
    <row r="208">
      <c r="A208" s="19"/>
      <c r="B208" s="19"/>
      <c r="C208" s="9" t="s">
        <v>19</v>
      </c>
      <c r="D208" s="122"/>
      <c r="E208" s="49"/>
      <c r="F208" s="49"/>
      <c r="G208" s="49"/>
      <c r="H208" s="49"/>
      <c r="I208" s="19"/>
      <c r="J208" s="9" t="s">
        <v>19</v>
      </c>
      <c r="K208" s="122"/>
      <c r="L208" s="49"/>
      <c r="M208" s="49"/>
      <c r="N208" s="49"/>
      <c r="O208" s="51"/>
      <c r="P208" s="19"/>
      <c r="Q208" s="9" t="s">
        <v>19</v>
      </c>
      <c r="R208" s="122"/>
      <c r="S208" s="49"/>
      <c r="T208" s="49"/>
      <c r="U208" s="49"/>
      <c r="V208" s="51"/>
      <c r="W208" s="19"/>
      <c r="X208" s="9" t="s">
        <v>19</v>
      </c>
      <c r="Y208" s="122"/>
      <c r="Z208" s="49"/>
      <c r="AA208" s="49"/>
      <c r="AB208" s="49"/>
      <c r="AC208" s="51"/>
      <c r="AD208" s="19"/>
      <c r="AE208" s="9" t="s">
        <v>19</v>
      </c>
      <c r="AF208" s="122"/>
      <c r="AG208" s="49"/>
      <c r="AH208" s="49"/>
      <c r="AI208" s="49"/>
      <c r="AJ208" s="51"/>
    </row>
    <row r="209">
      <c r="A209" s="53"/>
      <c r="B209" s="53"/>
      <c r="C209" s="9" t="s">
        <v>22</v>
      </c>
      <c r="D209" s="125"/>
      <c r="E209" s="48"/>
      <c r="F209" s="122"/>
      <c r="G209" s="49"/>
      <c r="H209" s="49"/>
      <c r="I209" s="53"/>
      <c r="J209" s="9" t="s">
        <v>22</v>
      </c>
      <c r="K209" s="123"/>
      <c r="L209" s="48"/>
      <c r="M209" s="122"/>
      <c r="N209" s="49"/>
      <c r="O209" s="51"/>
      <c r="P209" s="53"/>
      <c r="Q209" s="9" t="s">
        <v>22</v>
      </c>
      <c r="R209" s="123"/>
      <c r="S209" s="48"/>
      <c r="T209" s="120"/>
      <c r="U209" s="49"/>
      <c r="V209" s="51"/>
      <c r="W209" s="53"/>
      <c r="X209" s="9" t="s">
        <v>22</v>
      </c>
      <c r="Y209" s="125"/>
      <c r="Z209" s="48"/>
      <c r="AA209" s="122"/>
      <c r="AB209" s="49"/>
      <c r="AC209" s="51"/>
      <c r="AD209" s="53"/>
      <c r="AE209" s="9" t="s">
        <v>22</v>
      </c>
      <c r="AF209" s="125"/>
      <c r="AG209" s="48"/>
      <c r="AH209" s="122"/>
      <c r="AI209" s="49"/>
      <c r="AJ209" s="51"/>
    </row>
    <row r="210">
      <c r="B210" s="2" t="s">
        <v>0</v>
      </c>
      <c r="C210" s="2" t="s">
        <v>1</v>
      </c>
      <c r="D210" s="3" t="s">
        <v>99</v>
      </c>
      <c r="E210" s="2" t="s">
        <v>100</v>
      </c>
      <c r="F210" s="2"/>
      <c r="G210" s="2" t="s">
        <v>101</v>
      </c>
      <c r="H210" s="2"/>
      <c r="I210" s="2" t="s">
        <v>0</v>
      </c>
      <c r="J210" s="2" t="s">
        <v>1</v>
      </c>
      <c r="K210" s="3" t="s">
        <v>99</v>
      </c>
      <c r="L210" s="2" t="s">
        <v>100</v>
      </c>
      <c r="M210" s="2"/>
      <c r="N210" s="2" t="s">
        <v>101</v>
      </c>
      <c r="O210" s="5"/>
      <c r="P210" s="2" t="s">
        <v>0</v>
      </c>
      <c r="Q210" s="2" t="s">
        <v>1</v>
      </c>
      <c r="R210" s="3" t="s">
        <v>99</v>
      </c>
      <c r="S210" s="2" t="s">
        <v>100</v>
      </c>
      <c r="T210" s="2"/>
      <c r="U210" s="2" t="s">
        <v>101</v>
      </c>
      <c r="V210" s="5"/>
      <c r="W210" s="2" t="s">
        <v>0</v>
      </c>
      <c r="X210" s="2" t="s">
        <v>1</v>
      </c>
      <c r="Y210" s="3" t="s">
        <v>99</v>
      </c>
      <c r="Z210" s="2" t="s">
        <v>100</v>
      </c>
      <c r="AA210" s="2"/>
      <c r="AB210" s="2" t="s">
        <v>101</v>
      </c>
      <c r="AC210" s="5"/>
      <c r="AD210" s="2" t="s">
        <v>0</v>
      </c>
      <c r="AE210" s="2" t="s">
        <v>1</v>
      </c>
      <c r="AF210" s="3" t="s">
        <v>99</v>
      </c>
      <c r="AG210" s="2" t="s">
        <v>100</v>
      </c>
      <c r="AH210" s="2"/>
      <c r="AI210" s="2" t="s">
        <v>101</v>
      </c>
      <c r="AJ210" s="5"/>
    </row>
    <row r="211">
      <c r="A211" s="60" t="s">
        <v>34</v>
      </c>
      <c r="B211" s="12"/>
      <c r="C211" s="9" t="s">
        <v>10</v>
      </c>
      <c r="D211" s="120"/>
      <c r="E211" s="9"/>
      <c r="F211" s="9"/>
      <c r="G211" s="9"/>
      <c r="H211" s="9"/>
      <c r="I211" s="12"/>
      <c r="J211" s="9" t="s">
        <v>10</v>
      </c>
      <c r="K211" s="120"/>
      <c r="L211" s="9"/>
      <c r="M211" s="9"/>
      <c r="N211" s="9"/>
      <c r="O211" s="10"/>
      <c r="P211" s="12">
        <v>45337.0</v>
      </c>
      <c r="Q211" s="9" t="s">
        <v>10</v>
      </c>
      <c r="R211" s="120"/>
      <c r="S211" s="9"/>
      <c r="T211" s="9"/>
      <c r="U211" s="9"/>
      <c r="V211" s="10"/>
      <c r="W211" s="12"/>
      <c r="X211" s="9" t="s">
        <v>10</v>
      </c>
      <c r="Y211" s="120"/>
      <c r="Z211" s="9"/>
      <c r="AA211" s="9"/>
      <c r="AB211" s="9"/>
      <c r="AC211" s="10"/>
      <c r="AD211" s="12"/>
      <c r="AE211" s="9" t="s">
        <v>10</v>
      </c>
      <c r="AF211" s="120"/>
      <c r="AG211" s="9"/>
      <c r="AH211" s="9"/>
      <c r="AI211" s="9"/>
      <c r="AJ211" s="10"/>
    </row>
    <row r="212">
      <c r="A212" s="19"/>
      <c r="B212" s="19"/>
      <c r="C212" s="9">
        <v>202.0</v>
      </c>
      <c r="D212" s="120"/>
      <c r="E212" s="9"/>
      <c r="F212" s="9"/>
      <c r="G212" s="49"/>
      <c r="H212" s="49"/>
      <c r="I212" s="19"/>
      <c r="J212" s="9">
        <v>202.0</v>
      </c>
      <c r="K212" s="120"/>
      <c r="L212" s="9"/>
      <c r="M212" s="9"/>
      <c r="N212" s="49"/>
      <c r="O212" s="51"/>
      <c r="P212" s="19"/>
      <c r="Q212" s="9">
        <v>202.0</v>
      </c>
      <c r="R212" s="120"/>
      <c r="S212" s="9"/>
      <c r="T212" s="9"/>
      <c r="U212" s="49"/>
      <c r="V212" s="51"/>
      <c r="W212" s="19"/>
      <c r="X212" s="9">
        <v>202.0</v>
      </c>
      <c r="Y212" s="120"/>
      <c r="Z212" s="9"/>
      <c r="AA212" s="9"/>
      <c r="AB212" s="49"/>
      <c r="AC212" s="51"/>
      <c r="AD212" s="19"/>
      <c r="AE212" s="9">
        <v>202.0</v>
      </c>
      <c r="AF212" s="120"/>
      <c r="AG212" s="9"/>
      <c r="AH212" s="9"/>
      <c r="AI212" s="49"/>
      <c r="AJ212" s="51"/>
    </row>
    <row r="213">
      <c r="A213" s="19"/>
      <c r="B213" s="19"/>
      <c r="C213" s="9">
        <v>213.0</v>
      </c>
      <c r="D213" s="120"/>
      <c r="E213" s="9"/>
      <c r="F213" s="9"/>
      <c r="G213" s="49"/>
      <c r="H213" s="49"/>
      <c r="I213" s="19"/>
      <c r="J213" s="9">
        <v>213.0</v>
      </c>
      <c r="K213" s="120"/>
      <c r="L213" s="9"/>
      <c r="M213" s="9"/>
      <c r="N213" s="49"/>
      <c r="O213" s="51"/>
      <c r="P213" s="19"/>
      <c r="Q213" s="9">
        <v>213.0</v>
      </c>
      <c r="R213" s="120"/>
      <c r="S213" s="9"/>
      <c r="T213" s="9"/>
      <c r="U213" s="49"/>
      <c r="V213" s="51"/>
      <c r="W213" s="19"/>
      <c r="X213" s="9">
        <v>213.0</v>
      </c>
      <c r="Y213" s="120"/>
      <c r="Z213" s="9"/>
      <c r="AA213" s="9"/>
      <c r="AB213" s="49"/>
      <c r="AC213" s="51"/>
      <c r="AD213" s="19"/>
      <c r="AE213" s="9">
        <v>213.0</v>
      </c>
      <c r="AF213" s="120"/>
      <c r="AG213" s="9"/>
      <c r="AH213" s="9"/>
      <c r="AI213" s="49"/>
      <c r="AJ213" s="51"/>
    </row>
    <row r="214">
      <c r="A214" s="19"/>
      <c r="B214" s="19"/>
      <c r="C214" s="9">
        <v>307.0</v>
      </c>
      <c r="D214" s="120"/>
      <c r="E214" s="9"/>
      <c r="F214" s="9"/>
      <c r="G214" s="49"/>
      <c r="H214" s="49"/>
      <c r="I214" s="19"/>
      <c r="J214" s="9">
        <v>307.0</v>
      </c>
      <c r="K214" s="120"/>
      <c r="L214" s="9"/>
      <c r="M214" s="9"/>
      <c r="N214" s="49"/>
      <c r="O214" s="51"/>
      <c r="P214" s="19"/>
      <c r="Q214" s="9">
        <v>307.0</v>
      </c>
      <c r="R214" s="120"/>
      <c r="S214" s="9"/>
      <c r="T214" s="9"/>
      <c r="U214" s="49"/>
      <c r="V214" s="51"/>
      <c r="W214" s="19"/>
      <c r="X214" s="9">
        <v>307.0</v>
      </c>
      <c r="Y214" s="120"/>
      <c r="Z214" s="9"/>
      <c r="AA214" s="9"/>
      <c r="AB214" s="49"/>
      <c r="AC214" s="51"/>
      <c r="AD214" s="19"/>
      <c r="AE214" s="9">
        <v>307.0</v>
      </c>
      <c r="AF214" s="120"/>
      <c r="AG214" s="9"/>
      <c r="AH214" s="9"/>
      <c r="AI214" s="49"/>
      <c r="AJ214" s="51"/>
    </row>
    <row r="215">
      <c r="A215" s="19"/>
      <c r="B215" s="19"/>
      <c r="C215" s="9">
        <v>313.0</v>
      </c>
      <c r="D215" s="120"/>
      <c r="E215" s="9"/>
      <c r="F215" s="9"/>
      <c r="G215" s="49"/>
      <c r="H215" s="49"/>
      <c r="I215" s="19"/>
      <c r="J215" s="9">
        <v>313.0</v>
      </c>
      <c r="K215" s="120"/>
      <c r="L215" s="9"/>
      <c r="M215" s="9"/>
      <c r="N215" s="49"/>
      <c r="O215" s="51"/>
      <c r="P215" s="19"/>
      <c r="Q215" s="9">
        <v>313.0</v>
      </c>
      <c r="R215" s="120"/>
      <c r="S215" s="9"/>
      <c r="T215" s="9"/>
      <c r="U215" s="49"/>
      <c r="V215" s="51"/>
      <c r="W215" s="19"/>
      <c r="X215" s="9">
        <v>313.0</v>
      </c>
      <c r="Y215" s="120"/>
      <c r="Z215" s="9"/>
      <c r="AA215" s="9"/>
      <c r="AB215" s="49"/>
      <c r="AC215" s="51"/>
      <c r="AD215" s="19"/>
      <c r="AE215" s="9">
        <v>313.0</v>
      </c>
      <c r="AF215" s="120"/>
      <c r="AG215" s="9"/>
      <c r="AH215" s="9"/>
      <c r="AI215" s="49"/>
      <c r="AJ215" s="51"/>
    </row>
    <row r="216">
      <c r="A216" s="19"/>
      <c r="B216" s="19"/>
      <c r="C216" s="9" t="s">
        <v>19</v>
      </c>
      <c r="D216" s="120"/>
      <c r="E216" s="9"/>
      <c r="F216" s="9"/>
      <c r="G216" s="49"/>
      <c r="H216" s="49"/>
      <c r="I216" s="19"/>
      <c r="J216" s="9" t="s">
        <v>19</v>
      </c>
      <c r="K216" s="120"/>
      <c r="L216" s="9"/>
      <c r="M216" s="9"/>
      <c r="N216" s="49"/>
      <c r="O216" s="51"/>
      <c r="P216" s="19"/>
      <c r="Q216" s="9" t="s">
        <v>19</v>
      </c>
      <c r="R216" s="120"/>
      <c r="S216" s="9"/>
      <c r="T216" s="9"/>
      <c r="U216" s="49"/>
      <c r="V216" s="51"/>
      <c r="W216" s="19"/>
      <c r="X216" s="9" t="s">
        <v>19</v>
      </c>
      <c r="Y216" s="120"/>
      <c r="Z216" s="9"/>
      <c r="AA216" s="9"/>
      <c r="AB216" s="49"/>
      <c r="AC216" s="51"/>
      <c r="AD216" s="19"/>
      <c r="AE216" s="9" t="s">
        <v>19</v>
      </c>
      <c r="AF216" s="120"/>
      <c r="AG216" s="9"/>
      <c r="AH216" s="9"/>
      <c r="AI216" s="49"/>
      <c r="AJ216" s="51"/>
    </row>
    <row r="217">
      <c r="A217" s="19"/>
      <c r="B217" s="19"/>
      <c r="C217" s="9" t="s">
        <v>22</v>
      </c>
      <c r="D217" s="123"/>
      <c r="E217" s="48"/>
      <c r="F217" s="120"/>
      <c r="G217" s="120"/>
      <c r="H217" s="120"/>
      <c r="I217" s="19"/>
      <c r="J217" s="9" t="s">
        <v>22</v>
      </c>
      <c r="K217" s="123"/>
      <c r="L217" s="48"/>
      <c r="M217" s="120"/>
      <c r="N217" s="120"/>
      <c r="O217" s="85"/>
      <c r="P217" s="19"/>
      <c r="Q217" s="9" t="s">
        <v>22</v>
      </c>
      <c r="R217" s="123"/>
      <c r="S217" s="48"/>
      <c r="T217" s="120"/>
      <c r="U217" s="120"/>
      <c r="V217" s="85"/>
      <c r="W217" s="19"/>
      <c r="X217" s="9" t="s">
        <v>22</v>
      </c>
      <c r="Y217" s="123"/>
      <c r="Z217" s="48"/>
      <c r="AA217" s="120"/>
      <c r="AB217" s="120"/>
      <c r="AC217" s="85"/>
      <c r="AD217" s="19"/>
      <c r="AE217" s="9" t="s">
        <v>22</v>
      </c>
      <c r="AF217" s="123"/>
      <c r="AG217" s="48"/>
      <c r="AH217" s="120"/>
      <c r="AI217" s="120"/>
      <c r="AJ217" s="85"/>
    </row>
    <row r="218">
      <c r="A218" s="19"/>
      <c r="B218" s="19"/>
      <c r="C218" s="9" t="s">
        <v>108</v>
      </c>
      <c r="D218" s="123"/>
      <c r="E218" s="48"/>
      <c r="F218" s="120"/>
      <c r="G218" s="120"/>
      <c r="H218" s="120"/>
      <c r="I218" s="19"/>
      <c r="J218" s="9" t="s">
        <v>108</v>
      </c>
      <c r="K218" s="120"/>
      <c r="L218" s="120"/>
      <c r="M218" s="120"/>
      <c r="N218" s="120"/>
      <c r="O218" s="85"/>
      <c r="P218" s="19"/>
      <c r="Q218" s="9" t="s">
        <v>108</v>
      </c>
      <c r="R218" s="123"/>
      <c r="S218" s="48"/>
      <c r="T218" s="120"/>
      <c r="U218" s="120"/>
      <c r="V218" s="85"/>
      <c r="W218" s="19"/>
      <c r="X218" s="9" t="s">
        <v>108</v>
      </c>
      <c r="Y218" s="123"/>
      <c r="Z218" s="48"/>
      <c r="AA218" s="120"/>
      <c r="AB218" s="120"/>
      <c r="AC218" s="85"/>
      <c r="AD218" s="19"/>
      <c r="AE218" s="9" t="s">
        <v>108</v>
      </c>
      <c r="AF218" s="123"/>
      <c r="AG218" s="48"/>
      <c r="AH218" s="120"/>
      <c r="AI218" s="120"/>
      <c r="AJ218" s="85"/>
    </row>
    <row r="219">
      <c r="A219" s="19"/>
      <c r="B219" s="19"/>
      <c r="C219" s="78" t="s">
        <v>104</v>
      </c>
      <c r="D219" s="123"/>
      <c r="E219" s="48"/>
      <c r="F219" s="120"/>
      <c r="G219" s="120"/>
      <c r="H219" s="120"/>
      <c r="I219" s="19"/>
      <c r="J219" s="9"/>
      <c r="K219" s="120"/>
      <c r="L219" s="120"/>
      <c r="M219" s="120"/>
      <c r="N219" s="120"/>
      <c r="O219" s="85"/>
      <c r="P219" s="19"/>
      <c r="Q219" s="9" t="s">
        <v>108</v>
      </c>
      <c r="R219" s="123"/>
      <c r="S219" s="48"/>
      <c r="T219" s="120"/>
      <c r="U219" s="120"/>
      <c r="V219" s="85"/>
      <c r="W219" s="19"/>
      <c r="X219" s="9"/>
      <c r="Y219" s="120"/>
      <c r="Z219" s="120"/>
      <c r="AA219" s="120"/>
      <c r="AB219" s="120"/>
      <c r="AC219" s="85"/>
      <c r="AD219" s="19"/>
      <c r="AE219" s="9"/>
      <c r="AF219" s="120"/>
      <c r="AG219" s="120"/>
      <c r="AH219" s="120"/>
      <c r="AI219" s="120"/>
      <c r="AJ219" s="85"/>
    </row>
    <row r="220">
      <c r="A220" s="19"/>
      <c r="B220" s="19"/>
      <c r="C220" s="9"/>
      <c r="D220" s="120"/>
      <c r="E220" s="120"/>
      <c r="F220" s="120"/>
      <c r="G220" s="120"/>
      <c r="H220" s="120"/>
      <c r="I220" s="19"/>
      <c r="J220" s="9"/>
      <c r="K220" s="120"/>
      <c r="L220" s="120"/>
      <c r="M220" s="120"/>
      <c r="N220" s="120"/>
      <c r="O220" s="85"/>
      <c r="P220" s="19"/>
      <c r="Q220" s="9"/>
      <c r="R220" s="120"/>
      <c r="S220" s="120"/>
      <c r="T220" s="120"/>
      <c r="U220" s="120"/>
      <c r="V220" s="85"/>
      <c r="W220" s="19"/>
      <c r="X220" s="9"/>
      <c r="Y220" s="120"/>
      <c r="Z220" s="120"/>
      <c r="AA220" s="120"/>
      <c r="AB220" s="120"/>
      <c r="AC220" s="85"/>
      <c r="AD220" s="19"/>
      <c r="AE220" s="9"/>
      <c r="AF220" s="120"/>
      <c r="AG220" s="120"/>
      <c r="AH220" s="120"/>
      <c r="AI220" s="120"/>
      <c r="AJ220" s="85"/>
    </row>
    <row r="221">
      <c r="A221" s="19"/>
      <c r="B221" s="19"/>
      <c r="C221" s="9"/>
      <c r="D221" s="120"/>
      <c r="E221" s="120"/>
      <c r="F221" s="120"/>
      <c r="G221" s="120"/>
      <c r="H221" s="120"/>
      <c r="I221" s="19"/>
      <c r="J221" s="9"/>
      <c r="K221" s="120"/>
      <c r="L221" s="120"/>
      <c r="M221" s="120"/>
      <c r="N221" s="120"/>
      <c r="O221" s="85"/>
      <c r="P221" s="19"/>
      <c r="Q221" s="9"/>
      <c r="R221" s="120"/>
      <c r="S221" s="120"/>
      <c r="T221" s="120"/>
      <c r="U221" s="120"/>
      <c r="V221" s="85"/>
      <c r="W221" s="19"/>
      <c r="X221" s="9"/>
      <c r="Y221" s="120"/>
      <c r="Z221" s="120"/>
      <c r="AA221" s="120"/>
      <c r="AB221" s="120"/>
      <c r="AC221" s="85"/>
      <c r="AD221" s="19"/>
      <c r="AE221" s="9"/>
      <c r="AF221" s="120"/>
      <c r="AG221" s="120"/>
      <c r="AH221" s="120"/>
      <c r="AI221" s="120"/>
      <c r="AJ221" s="85"/>
    </row>
    <row r="222">
      <c r="A222" s="53"/>
      <c r="B222" s="53"/>
      <c r="C222" s="9"/>
      <c r="D222" s="120"/>
      <c r="E222" s="120"/>
      <c r="F222" s="120"/>
      <c r="G222" s="120"/>
      <c r="H222" s="120"/>
      <c r="I222" s="53"/>
      <c r="J222" s="9"/>
      <c r="K222" s="120"/>
      <c r="L222" s="120"/>
      <c r="M222" s="120"/>
      <c r="N222" s="120"/>
      <c r="O222" s="85"/>
      <c r="P222" s="53"/>
      <c r="Q222" s="9"/>
      <c r="R222" s="120"/>
      <c r="S222" s="120"/>
      <c r="T222" s="120"/>
      <c r="U222" s="120"/>
      <c r="V222" s="85"/>
      <c r="W222" s="53"/>
      <c r="X222" s="9"/>
      <c r="Y222" s="120"/>
      <c r="Z222" s="120"/>
      <c r="AA222" s="120"/>
      <c r="AB222" s="120"/>
      <c r="AC222" s="85"/>
      <c r="AD222" s="53"/>
      <c r="AE222" s="9"/>
      <c r="AF222" s="120"/>
      <c r="AG222" s="120"/>
      <c r="AH222" s="120"/>
      <c r="AI222" s="120"/>
      <c r="AJ222" s="85"/>
    </row>
    <row r="223">
      <c r="B223" s="2" t="s">
        <v>0</v>
      </c>
      <c r="C223" s="2" t="s">
        <v>1</v>
      </c>
      <c r="D223" s="3" t="s">
        <v>99</v>
      </c>
      <c r="E223" s="2" t="s">
        <v>100</v>
      </c>
      <c r="F223" s="2"/>
      <c r="G223" s="2" t="s">
        <v>101</v>
      </c>
      <c r="H223" s="2"/>
      <c r="I223" s="2" t="s">
        <v>0</v>
      </c>
      <c r="J223" s="2" t="s">
        <v>1</v>
      </c>
      <c r="K223" s="3" t="s">
        <v>99</v>
      </c>
      <c r="L223" s="2" t="s">
        <v>100</v>
      </c>
      <c r="M223" s="2"/>
      <c r="N223" s="2" t="s">
        <v>101</v>
      </c>
      <c r="O223" s="5"/>
      <c r="P223" s="2" t="s">
        <v>0</v>
      </c>
      <c r="Q223" s="2" t="s">
        <v>1</v>
      </c>
      <c r="R223" s="3" t="s">
        <v>99</v>
      </c>
      <c r="S223" s="2" t="s">
        <v>100</v>
      </c>
      <c r="T223" s="2"/>
      <c r="U223" s="2" t="s">
        <v>101</v>
      </c>
      <c r="V223" s="5"/>
      <c r="W223" s="2" t="s">
        <v>0</v>
      </c>
      <c r="X223" s="2" t="s">
        <v>1</v>
      </c>
      <c r="Y223" s="3" t="s">
        <v>99</v>
      </c>
      <c r="Z223" s="2" t="s">
        <v>100</v>
      </c>
      <c r="AA223" s="2"/>
      <c r="AB223" s="2" t="s">
        <v>101</v>
      </c>
      <c r="AC223" s="5"/>
      <c r="AD223" s="2" t="s">
        <v>0</v>
      </c>
      <c r="AE223" s="2" t="s">
        <v>1</v>
      </c>
      <c r="AF223" s="3" t="s">
        <v>99</v>
      </c>
      <c r="AG223" s="2" t="s">
        <v>100</v>
      </c>
      <c r="AH223" s="2"/>
      <c r="AI223" s="2" t="s">
        <v>101</v>
      </c>
      <c r="AJ223" s="5"/>
    </row>
    <row r="224">
      <c r="A224" s="60" t="s">
        <v>37</v>
      </c>
      <c r="B224" s="12"/>
      <c r="C224" s="9" t="s">
        <v>10</v>
      </c>
      <c r="D224" s="120"/>
      <c r="E224" s="49"/>
      <c r="F224" s="49"/>
      <c r="G224" s="49"/>
      <c r="H224" s="49"/>
      <c r="I224" s="12"/>
      <c r="J224" s="9" t="s">
        <v>10</v>
      </c>
      <c r="K224" s="120"/>
      <c r="L224" s="49"/>
      <c r="M224" s="49"/>
      <c r="N224" s="49"/>
      <c r="O224" s="51"/>
      <c r="P224" s="12">
        <v>45338.0</v>
      </c>
      <c r="Q224" s="9" t="s">
        <v>10</v>
      </c>
      <c r="R224" s="120"/>
      <c r="S224" s="49"/>
      <c r="T224" s="49"/>
      <c r="U224" s="49"/>
      <c r="V224" s="51"/>
      <c r="W224" s="12"/>
      <c r="X224" s="9" t="s">
        <v>10</v>
      </c>
      <c r="Y224" s="120"/>
      <c r="Z224" s="49"/>
      <c r="AA224" s="49"/>
      <c r="AB224" s="49"/>
      <c r="AC224" s="51"/>
      <c r="AD224" s="12"/>
      <c r="AE224" s="9" t="s">
        <v>10</v>
      </c>
      <c r="AF224" s="120"/>
      <c r="AG224" s="49"/>
      <c r="AH224" s="49"/>
      <c r="AI224" s="49"/>
      <c r="AJ224" s="51"/>
    </row>
    <row r="225">
      <c r="A225" s="19"/>
      <c r="B225" s="19"/>
      <c r="C225" s="9">
        <v>202.0</v>
      </c>
      <c r="D225" s="122"/>
      <c r="E225" s="49"/>
      <c r="F225" s="49"/>
      <c r="G225" s="49"/>
      <c r="H225" s="49"/>
      <c r="I225" s="19"/>
      <c r="J225" s="9">
        <v>202.0</v>
      </c>
      <c r="K225" s="120"/>
      <c r="L225" s="49"/>
      <c r="M225" s="49"/>
      <c r="N225" s="49"/>
      <c r="O225" s="51"/>
      <c r="P225" s="19"/>
      <c r="Q225" s="9">
        <v>202.0</v>
      </c>
      <c r="R225" s="122"/>
      <c r="S225" s="49"/>
      <c r="T225" s="49"/>
      <c r="U225" s="49"/>
      <c r="V225" s="51"/>
      <c r="W225" s="19"/>
      <c r="X225" s="9">
        <v>202.0</v>
      </c>
      <c r="Y225" s="122"/>
      <c r="Z225" s="49"/>
      <c r="AA225" s="49"/>
      <c r="AB225" s="49"/>
      <c r="AC225" s="51"/>
      <c r="AD225" s="19"/>
      <c r="AE225" s="9">
        <v>202.0</v>
      </c>
      <c r="AF225" s="122"/>
      <c r="AG225" s="49"/>
      <c r="AH225" s="49"/>
      <c r="AI225" s="49"/>
      <c r="AJ225" s="51"/>
    </row>
    <row r="226">
      <c r="A226" s="19"/>
      <c r="B226" s="19"/>
      <c r="C226" s="9">
        <v>213.0</v>
      </c>
      <c r="D226" s="120"/>
      <c r="E226" s="49"/>
      <c r="F226" s="49"/>
      <c r="G226" s="49"/>
      <c r="H226" s="49"/>
      <c r="I226" s="19"/>
      <c r="J226" s="9">
        <v>213.0</v>
      </c>
      <c r="K226" s="122"/>
      <c r="L226" s="49"/>
      <c r="M226" s="49"/>
      <c r="N226" s="49"/>
      <c r="O226" s="51"/>
      <c r="P226" s="19"/>
      <c r="Q226" s="9">
        <v>213.0</v>
      </c>
      <c r="R226" s="122"/>
      <c r="S226" s="49"/>
      <c r="T226" s="49"/>
      <c r="U226" s="49"/>
      <c r="V226" s="51"/>
      <c r="W226" s="19"/>
      <c r="X226" s="9">
        <v>213.0</v>
      </c>
      <c r="Y226" s="122"/>
      <c r="Z226" s="49"/>
      <c r="AA226" s="49"/>
      <c r="AB226" s="49"/>
      <c r="AC226" s="51"/>
      <c r="AD226" s="19"/>
      <c r="AE226" s="9">
        <v>213.0</v>
      </c>
      <c r="AF226" s="122"/>
      <c r="AG226" s="49"/>
      <c r="AH226" s="49"/>
      <c r="AI226" s="49"/>
      <c r="AJ226" s="51"/>
    </row>
    <row r="227">
      <c r="A227" s="19"/>
      <c r="B227" s="19"/>
      <c r="C227" s="9">
        <v>307.0</v>
      </c>
      <c r="D227" s="122"/>
      <c r="E227" s="49"/>
      <c r="F227" s="49"/>
      <c r="G227" s="49"/>
      <c r="H227" s="49"/>
      <c r="I227" s="19"/>
      <c r="J227" s="9">
        <v>307.0</v>
      </c>
      <c r="K227" s="122"/>
      <c r="L227" s="49"/>
      <c r="M227" s="49"/>
      <c r="N227" s="49"/>
      <c r="O227" s="51"/>
      <c r="P227" s="19"/>
      <c r="Q227" s="9">
        <v>307.0</v>
      </c>
      <c r="R227" s="122"/>
      <c r="S227" s="49"/>
      <c r="T227" s="49"/>
      <c r="U227" s="49"/>
      <c r="V227" s="51"/>
      <c r="W227" s="19"/>
      <c r="X227" s="9">
        <v>307.0</v>
      </c>
      <c r="Y227" s="122"/>
      <c r="Z227" s="49"/>
      <c r="AA227" s="49"/>
      <c r="AB227" s="49"/>
      <c r="AC227" s="51"/>
      <c r="AD227" s="19"/>
      <c r="AE227" s="9">
        <v>307.0</v>
      </c>
      <c r="AF227" s="122"/>
      <c r="AG227" s="49"/>
      <c r="AH227" s="49"/>
      <c r="AI227" s="49"/>
      <c r="AJ227" s="51"/>
    </row>
    <row r="228">
      <c r="A228" s="19"/>
      <c r="B228" s="19"/>
      <c r="C228" s="9">
        <v>313.0</v>
      </c>
      <c r="D228" s="120"/>
      <c r="E228" s="49"/>
      <c r="F228" s="49"/>
      <c r="G228" s="49"/>
      <c r="H228" s="49"/>
      <c r="I228" s="19"/>
      <c r="J228" s="9">
        <v>313.0</v>
      </c>
      <c r="K228" s="122"/>
      <c r="L228" s="49"/>
      <c r="M228" s="49"/>
      <c r="N228" s="49"/>
      <c r="O228" s="51"/>
      <c r="P228" s="19"/>
      <c r="Q228" s="9">
        <v>313.0</v>
      </c>
      <c r="R228" s="122"/>
      <c r="S228" s="49"/>
      <c r="T228" s="49"/>
      <c r="U228" s="49"/>
      <c r="V228" s="51"/>
      <c r="W228" s="19"/>
      <c r="X228" s="9">
        <v>313.0</v>
      </c>
      <c r="Y228" s="122"/>
      <c r="Z228" s="49"/>
      <c r="AA228" s="49"/>
      <c r="AB228" s="49"/>
      <c r="AC228" s="51"/>
      <c r="AD228" s="19"/>
      <c r="AE228" s="9">
        <v>313.0</v>
      </c>
      <c r="AF228" s="122"/>
      <c r="AG228" s="49"/>
      <c r="AH228" s="49"/>
      <c r="AI228" s="49"/>
      <c r="AJ228" s="51"/>
    </row>
    <row r="229">
      <c r="A229" s="19"/>
      <c r="B229" s="19"/>
      <c r="C229" s="9" t="s">
        <v>19</v>
      </c>
      <c r="D229" s="120"/>
      <c r="E229" s="49"/>
      <c r="F229" s="49"/>
      <c r="G229" s="49"/>
      <c r="H229" s="49"/>
      <c r="I229" s="19"/>
      <c r="J229" s="9" t="s">
        <v>19</v>
      </c>
      <c r="K229" s="122"/>
      <c r="L229" s="49"/>
      <c r="M229" s="49"/>
      <c r="N229" s="49"/>
      <c r="O229" s="51"/>
      <c r="P229" s="19"/>
      <c r="Q229" s="9" t="s">
        <v>19</v>
      </c>
      <c r="R229" s="123"/>
      <c r="S229" s="48"/>
      <c r="T229" s="49"/>
      <c r="U229" s="49"/>
      <c r="V229" s="51"/>
      <c r="W229" s="19"/>
      <c r="X229" s="9" t="s">
        <v>19</v>
      </c>
      <c r="Y229" s="122"/>
      <c r="Z229" s="49"/>
      <c r="AA229" s="49"/>
      <c r="AB229" s="49"/>
      <c r="AC229" s="51"/>
      <c r="AD229" s="19"/>
      <c r="AE229" s="9" t="s">
        <v>19</v>
      </c>
      <c r="AF229" s="122"/>
      <c r="AG229" s="49"/>
      <c r="AH229" s="49"/>
      <c r="AI229" s="49"/>
      <c r="AJ229" s="51"/>
    </row>
    <row r="230">
      <c r="A230" s="53"/>
      <c r="B230" s="53"/>
      <c r="C230" s="9" t="s">
        <v>22</v>
      </c>
      <c r="D230" s="123"/>
      <c r="E230" s="48"/>
      <c r="F230" s="122"/>
      <c r="G230" s="49"/>
      <c r="H230" s="49"/>
      <c r="I230" s="53"/>
      <c r="J230" s="9" t="s">
        <v>22</v>
      </c>
      <c r="K230" s="125"/>
      <c r="L230" s="48"/>
      <c r="M230" s="122"/>
      <c r="N230" s="49"/>
      <c r="O230" s="51"/>
      <c r="P230" s="53"/>
      <c r="Q230" s="9" t="s">
        <v>22</v>
      </c>
      <c r="R230" s="123"/>
      <c r="S230" s="48"/>
      <c r="T230" s="122"/>
      <c r="U230" s="49"/>
      <c r="V230" s="51"/>
      <c r="W230" s="53"/>
      <c r="X230" s="9" t="s">
        <v>22</v>
      </c>
      <c r="Y230" s="123"/>
      <c r="Z230" s="48"/>
      <c r="AA230" s="122"/>
      <c r="AB230" s="49"/>
      <c r="AC230" s="51"/>
      <c r="AD230" s="53"/>
      <c r="AE230" s="9" t="s">
        <v>22</v>
      </c>
      <c r="AF230" s="123"/>
      <c r="AG230" s="48"/>
      <c r="AH230" s="122"/>
      <c r="AI230" s="49"/>
      <c r="AJ230" s="51"/>
    </row>
    <row r="231">
      <c r="A231" s="7"/>
      <c r="B231" s="127"/>
      <c r="C231" s="9" t="s">
        <v>103</v>
      </c>
      <c r="D231" s="123"/>
      <c r="E231" s="48"/>
      <c r="F231" s="122"/>
      <c r="G231" s="49"/>
      <c r="H231" s="49"/>
      <c r="I231" s="127"/>
      <c r="J231" s="9"/>
      <c r="L231" s="122"/>
      <c r="M231" s="122"/>
      <c r="N231" s="49"/>
      <c r="O231" s="51"/>
      <c r="P231" s="127"/>
      <c r="Q231" s="9"/>
      <c r="R231" s="120"/>
      <c r="S231" s="120"/>
      <c r="T231" s="122"/>
      <c r="U231" s="49"/>
      <c r="V231" s="51"/>
      <c r="W231" s="127"/>
      <c r="X231" s="9"/>
      <c r="Y231" s="120"/>
      <c r="Z231" s="120"/>
      <c r="AA231" s="122"/>
      <c r="AB231" s="49"/>
      <c r="AC231" s="51"/>
      <c r="AD231" s="127"/>
      <c r="AE231" s="9"/>
      <c r="AF231" s="120"/>
      <c r="AG231" s="120"/>
      <c r="AH231" s="122"/>
      <c r="AI231" s="49"/>
      <c r="AJ231" s="51"/>
    </row>
    <row r="232">
      <c r="A232" s="7"/>
      <c r="B232" s="127"/>
      <c r="C232" s="78" t="s">
        <v>104</v>
      </c>
      <c r="D232" s="123"/>
      <c r="E232" s="48"/>
      <c r="F232" s="120"/>
      <c r="G232" s="49"/>
      <c r="H232" s="49"/>
      <c r="I232" s="127"/>
      <c r="J232" s="9"/>
      <c r="K232" s="122"/>
      <c r="L232" s="122"/>
      <c r="M232" s="122"/>
      <c r="N232" s="49"/>
      <c r="O232" s="51"/>
      <c r="P232" s="127"/>
      <c r="Q232" s="9"/>
      <c r="R232" s="120"/>
      <c r="S232" s="120"/>
      <c r="T232" s="122"/>
      <c r="U232" s="49"/>
      <c r="V232" s="51"/>
      <c r="W232" s="127"/>
      <c r="X232" s="9"/>
      <c r="Y232" s="120"/>
      <c r="Z232" s="120"/>
      <c r="AA232" s="122"/>
      <c r="AB232" s="49"/>
      <c r="AC232" s="51"/>
      <c r="AD232" s="127"/>
      <c r="AE232" s="9"/>
      <c r="AF232" s="120"/>
      <c r="AG232" s="120"/>
      <c r="AH232" s="122"/>
      <c r="AI232" s="49"/>
      <c r="AJ232" s="51"/>
    </row>
    <row r="233">
      <c r="B233" s="2" t="s">
        <v>0</v>
      </c>
      <c r="C233" s="2" t="s">
        <v>1</v>
      </c>
      <c r="D233" s="3" t="s">
        <v>99</v>
      </c>
      <c r="E233" s="2" t="s">
        <v>100</v>
      </c>
      <c r="F233" s="2"/>
      <c r="G233" s="2" t="s">
        <v>101</v>
      </c>
      <c r="H233" s="2"/>
      <c r="I233" s="2" t="s">
        <v>0</v>
      </c>
      <c r="J233" s="2" t="s">
        <v>1</v>
      </c>
      <c r="K233" s="3" t="s">
        <v>99</v>
      </c>
      <c r="L233" s="2" t="s">
        <v>100</v>
      </c>
      <c r="M233" s="2"/>
      <c r="N233" s="2" t="s">
        <v>101</v>
      </c>
      <c r="O233" s="5"/>
      <c r="P233" s="2" t="s">
        <v>0</v>
      </c>
      <c r="Q233" s="2" t="s">
        <v>1</v>
      </c>
      <c r="R233" s="3" t="s">
        <v>99</v>
      </c>
      <c r="S233" s="2" t="s">
        <v>100</v>
      </c>
      <c r="T233" s="2"/>
      <c r="U233" s="2" t="s">
        <v>101</v>
      </c>
      <c r="V233" s="5"/>
      <c r="W233" s="2" t="s">
        <v>0</v>
      </c>
      <c r="X233" s="2" t="s">
        <v>1</v>
      </c>
      <c r="Y233" s="3" t="s">
        <v>99</v>
      </c>
      <c r="Z233" s="2" t="s">
        <v>100</v>
      </c>
      <c r="AA233" s="2"/>
      <c r="AB233" s="2" t="s">
        <v>101</v>
      </c>
      <c r="AC233" s="5"/>
      <c r="AD233" s="2" t="s">
        <v>0</v>
      </c>
      <c r="AE233" s="2" t="s">
        <v>1</v>
      </c>
      <c r="AF233" s="3" t="s">
        <v>99</v>
      </c>
      <c r="AG233" s="2" t="s">
        <v>100</v>
      </c>
      <c r="AH233" s="2"/>
      <c r="AI233" s="2" t="s">
        <v>101</v>
      </c>
      <c r="AJ233" s="5"/>
    </row>
    <row r="234">
      <c r="A234" s="60" t="s">
        <v>39</v>
      </c>
      <c r="B234" s="12"/>
      <c r="C234" s="9" t="s">
        <v>10</v>
      </c>
      <c r="D234" s="120"/>
      <c r="E234" s="49"/>
      <c r="F234" s="49"/>
      <c r="G234" s="49"/>
      <c r="H234" s="49"/>
      <c r="I234" s="12"/>
      <c r="J234" s="9" t="s">
        <v>10</v>
      </c>
      <c r="K234" s="120"/>
      <c r="L234" s="49"/>
      <c r="M234" s="49"/>
      <c r="N234" s="49"/>
      <c r="O234" s="51"/>
      <c r="P234" s="12">
        <v>45339.0</v>
      </c>
      <c r="Q234" s="9" t="s">
        <v>10</v>
      </c>
      <c r="R234" s="120"/>
      <c r="S234" s="49"/>
      <c r="T234" s="49"/>
      <c r="U234" s="49"/>
      <c r="V234" s="51"/>
      <c r="W234" s="12"/>
      <c r="X234" s="9" t="s">
        <v>10</v>
      </c>
      <c r="Y234" s="120"/>
      <c r="Z234" s="49"/>
      <c r="AA234" s="49"/>
      <c r="AB234" s="49"/>
      <c r="AC234" s="51"/>
      <c r="AD234" s="12"/>
      <c r="AE234" s="9" t="s">
        <v>10</v>
      </c>
      <c r="AF234" s="120"/>
      <c r="AG234" s="49"/>
      <c r="AH234" s="49"/>
      <c r="AI234" s="49"/>
      <c r="AJ234" s="51"/>
    </row>
    <row r="235">
      <c r="A235" s="19"/>
      <c r="B235" s="19"/>
      <c r="C235" s="9">
        <v>202.0</v>
      </c>
      <c r="D235" s="122"/>
      <c r="E235" s="49"/>
      <c r="F235" s="49"/>
      <c r="G235" s="49"/>
      <c r="H235" s="49"/>
      <c r="I235" s="19"/>
      <c r="J235" s="9">
        <v>202.0</v>
      </c>
      <c r="K235" s="122"/>
      <c r="L235" s="49"/>
      <c r="M235" s="49"/>
      <c r="N235" s="49"/>
      <c r="O235" s="51"/>
      <c r="P235" s="19"/>
      <c r="Q235" s="9">
        <v>202.0</v>
      </c>
      <c r="R235" s="122"/>
      <c r="S235" s="49"/>
      <c r="T235" s="49"/>
      <c r="U235" s="49"/>
      <c r="V235" s="51"/>
      <c r="W235" s="19"/>
      <c r="X235" s="9">
        <v>202.0</v>
      </c>
      <c r="Y235" s="122"/>
      <c r="Z235" s="49"/>
      <c r="AA235" s="49"/>
      <c r="AB235" s="49"/>
      <c r="AC235" s="51"/>
      <c r="AD235" s="19"/>
      <c r="AE235" s="9">
        <v>202.0</v>
      </c>
      <c r="AF235" s="122"/>
      <c r="AG235" s="49"/>
      <c r="AH235" s="49"/>
      <c r="AI235" s="49"/>
      <c r="AJ235" s="51"/>
    </row>
    <row r="236">
      <c r="A236" s="19"/>
      <c r="B236" s="19"/>
      <c r="C236" s="9">
        <v>213.0</v>
      </c>
      <c r="D236" s="122"/>
      <c r="E236" s="49"/>
      <c r="F236" s="49"/>
      <c r="G236" s="49"/>
      <c r="H236" s="49"/>
      <c r="I236" s="19"/>
      <c r="J236" s="9">
        <v>213.0</v>
      </c>
      <c r="K236" s="122"/>
      <c r="L236" s="49"/>
      <c r="M236" s="49"/>
      <c r="N236" s="49"/>
      <c r="O236" s="51"/>
      <c r="P236" s="19"/>
      <c r="Q236" s="9">
        <v>213.0</v>
      </c>
      <c r="R236" s="122"/>
      <c r="S236" s="49"/>
      <c r="T236" s="49"/>
      <c r="U236" s="49"/>
      <c r="V236" s="51"/>
      <c r="W236" s="19"/>
      <c r="X236" s="9">
        <v>213.0</v>
      </c>
      <c r="Y236" s="122"/>
      <c r="Z236" s="49"/>
      <c r="AA236" s="49"/>
      <c r="AB236" s="49"/>
      <c r="AC236" s="51"/>
      <c r="AD236" s="19"/>
      <c r="AE236" s="9">
        <v>213.0</v>
      </c>
      <c r="AF236" s="122"/>
      <c r="AG236" s="49"/>
      <c r="AH236" s="49"/>
      <c r="AI236" s="49"/>
      <c r="AJ236" s="51"/>
    </row>
    <row r="237">
      <c r="A237" s="19"/>
      <c r="B237" s="19"/>
      <c r="C237" s="9">
        <v>307.0</v>
      </c>
      <c r="D237" s="122"/>
      <c r="E237" s="49"/>
      <c r="F237" s="49"/>
      <c r="G237" s="49"/>
      <c r="H237" s="49"/>
      <c r="I237" s="19"/>
      <c r="J237" s="9">
        <v>307.0</v>
      </c>
      <c r="K237" s="122"/>
      <c r="L237" s="49"/>
      <c r="M237" s="49"/>
      <c r="N237" s="49"/>
      <c r="O237" s="51"/>
      <c r="P237" s="19"/>
      <c r="Q237" s="9">
        <v>307.0</v>
      </c>
      <c r="R237" s="122"/>
      <c r="S237" s="49"/>
      <c r="T237" s="49"/>
      <c r="U237" s="49"/>
      <c r="V237" s="51"/>
      <c r="W237" s="19"/>
      <c r="X237" s="9">
        <v>307.0</v>
      </c>
      <c r="Y237" s="122"/>
      <c r="Z237" s="49"/>
      <c r="AA237" s="49"/>
      <c r="AB237" s="49"/>
      <c r="AC237" s="51"/>
      <c r="AD237" s="19"/>
      <c r="AE237" s="9">
        <v>307.0</v>
      </c>
      <c r="AF237" s="122"/>
      <c r="AG237" s="49"/>
      <c r="AH237" s="49"/>
      <c r="AI237" s="49"/>
      <c r="AJ237" s="51"/>
    </row>
    <row r="238">
      <c r="A238" s="19"/>
      <c r="B238" s="19"/>
      <c r="C238" s="9">
        <v>313.0</v>
      </c>
      <c r="D238" s="122"/>
      <c r="E238" s="49"/>
      <c r="F238" s="49"/>
      <c r="G238" s="49"/>
      <c r="H238" s="49"/>
      <c r="I238" s="19"/>
      <c r="J238" s="9">
        <v>313.0</v>
      </c>
      <c r="K238" s="122"/>
      <c r="L238" s="49"/>
      <c r="M238" s="49"/>
      <c r="N238" s="49"/>
      <c r="O238" s="51"/>
      <c r="P238" s="19"/>
      <c r="Q238" s="9">
        <v>313.0</v>
      </c>
      <c r="R238" s="122"/>
      <c r="S238" s="49"/>
      <c r="T238" s="49"/>
      <c r="U238" s="49"/>
      <c r="V238" s="51"/>
      <c r="W238" s="19"/>
      <c r="X238" s="9">
        <v>313.0</v>
      </c>
      <c r="Y238" s="122"/>
      <c r="Z238" s="49"/>
      <c r="AA238" s="49"/>
      <c r="AB238" s="49"/>
      <c r="AC238" s="51"/>
      <c r="AD238" s="19"/>
      <c r="AE238" s="9">
        <v>313.0</v>
      </c>
      <c r="AF238" s="122"/>
      <c r="AG238" s="49"/>
      <c r="AH238" s="49"/>
      <c r="AI238" s="49"/>
      <c r="AJ238" s="51"/>
    </row>
    <row r="239">
      <c r="A239" s="19"/>
      <c r="B239" s="19"/>
      <c r="C239" s="9" t="s">
        <v>19</v>
      </c>
      <c r="D239" s="122"/>
      <c r="E239" s="49"/>
      <c r="F239" s="49"/>
      <c r="G239" s="49"/>
      <c r="H239" s="49"/>
      <c r="I239" s="19"/>
      <c r="J239" s="9" t="s">
        <v>19</v>
      </c>
      <c r="K239" s="122"/>
      <c r="L239" s="49"/>
      <c r="M239" s="49"/>
      <c r="N239" s="49"/>
      <c r="O239" s="51"/>
      <c r="P239" s="19"/>
      <c r="Q239" s="9" t="s">
        <v>19</v>
      </c>
      <c r="R239" s="123"/>
      <c r="S239" s="48"/>
      <c r="T239" s="49"/>
      <c r="U239" s="49"/>
      <c r="V239" s="51"/>
      <c r="W239" s="19"/>
      <c r="X239" s="9" t="s">
        <v>19</v>
      </c>
      <c r="Y239" s="122"/>
      <c r="Z239" s="49"/>
      <c r="AA239" s="49"/>
      <c r="AB239" s="49"/>
      <c r="AC239" s="51"/>
      <c r="AD239" s="19"/>
      <c r="AE239" s="9" t="s">
        <v>19</v>
      </c>
      <c r="AF239" s="122"/>
      <c r="AG239" s="49"/>
      <c r="AH239" s="49"/>
      <c r="AI239" s="49"/>
      <c r="AJ239" s="51"/>
    </row>
    <row r="240">
      <c r="A240" s="53"/>
      <c r="B240" s="53"/>
      <c r="C240" s="9" t="s">
        <v>22</v>
      </c>
      <c r="D240" s="123"/>
      <c r="E240" s="48"/>
      <c r="F240" s="120"/>
      <c r="G240" s="130"/>
      <c r="H240" s="130"/>
      <c r="I240" s="53"/>
      <c r="J240" s="9" t="s">
        <v>22</v>
      </c>
      <c r="K240" s="123"/>
      <c r="L240" s="48"/>
      <c r="M240" s="120"/>
      <c r="N240" s="126"/>
      <c r="O240" s="131"/>
      <c r="P240" s="53"/>
      <c r="Q240" s="9" t="s">
        <v>22</v>
      </c>
      <c r="R240" s="123"/>
      <c r="S240" s="48"/>
      <c r="T240" s="122"/>
      <c r="U240" s="49"/>
      <c r="V240" s="131"/>
      <c r="W240" s="19"/>
      <c r="X240" s="9" t="s">
        <v>22</v>
      </c>
      <c r="Y240" s="125"/>
      <c r="Z240" s="48"/>
      <c r="AA240" s="122"/>
      <c r="AB240" s="49"/>
      <c r="AC240" s="131"/>
      <c r="AD240" s="19"/>
      <c r="AE240" s="9" t="s">
        <v>22</v>
      </c>
      <c r="AF240" s="125"/>
      <c r="AG240" s="48"/>
      <c r="AH240" s="122"/>
      <c r="AI240" s="49"/>
      <c r="AJ240" s="131"/>
    </row>
    <row r="241">
      <c r="A241" s="132"/>
      <c r="B241" s="127"/>
      <c r="C241" s="9" t="s">
        <v>104</v>
      </c>
      <c r="D241" s="123"/>
      <c r="E241" s="48"/>
      <c r="F241" s="120"/>
      <c r="G241" s="130"/>
      <c r="H241" s="130"/>
      <c r="I241" s="127"/>
      <c r="J241" s="9" t="s">
        <v>103</v>
      </c>
      <c r="K241" s="120"/>
      <c r="L241" s="120"/>
      <c r="M241" s="120"/>
      <c r="N241" s="126"/>
      <c r="O241" s="131"/>
      <c r="P241" s="127"/>
      <c r="Q241" s="9" t="s">
        <v>103</v>
      </c>
      <c r="R241" s="123"/>
      <c r="S241" s="48"/>
      <c r="T241" s="122"/>
      <c r="U241" s="49"/>
      <c r="V241" s="131"/>
      <c r="W241" s="53"/>
      <c r="X241" s="9" t="s">
        <v>103</v>
      </c>
      <c r="Y241" s="122"/>
      <c r="Z241" s="122"/>
      <c r="AA241" s="122"/>
      <c r="AB241" s="49"/>
      <c r="AC241" s="131"/>
      <c r="AD241" s="53"/>
      <c r="AE241" s="9" t="s">
        <v>103</v>
      </c>
      <c r="AF241" s="122"/>
      <c r="AG241" s="122"/>
      <c r="AH241" s="122"/>
      <c r="AI241" s="49"/>
      <c r="AJ241" s="131"/>
    </row>
    <row r="242">
      <c r="O242" s="55"/>
      <c r="V242" s="55"/>
      <c r="AC242" s="55"/>
      <c r="AJ242" s="55"/>
    </row>
    <row r="243">
      <c r="O243" s="55"/>
      <c r="V243" s="55"/>
      <c r="AC243" s="55"/>
      <c r="AJ243" s="55"/>
    </row>
    <row r="244">
      <c r="B244" s="78" t="s">
        <v>103</v>
      </c>
      <c r="O244" s="55"/>
      <c r="V244" s="55"/>
      <c r="AC244" s="55"/>
      <c r="AJ244" s="55"/>
    </row>
    <row r="245">
      <c r="B245" s="78" t="s">
        <v>99</v>
      </c>
      <c r="O245" s="55"/>
      <c r="V245" s="55"/>
      <c r="AC245" s="55"/>
      <c r="AJ245" s="55"/>
    </row>
    <row r="246">
      <c r="B246" s="78" t="s">
        <v>104</v>
      </c>
      <c r="O246" s="55"/>
      <c r="V246" s="55"/>
      <c r="AC246" s="55"/>
      <c r="AJ246" s="55"/>
    </row>
    <row r="247">
      <c r="B247" s="78" t="s">
        <v>109</v>
      </c>
      <c r="O247" s="55"/>
      <c r="V247" s="55"/>
      <c r="AC247" s="55"/>
      <c r="AJ247" s="55"/>
    </row>
    <row r="248">
      <c r="B248" s="78" t="s">
        <v>110</v>
      </c>
      <c r="O248" s="55"/>
      <c r="V248" s="55"/>
      <c r="AC248" s="55"/>
      <c r="AJ248" s="55"/>
    </row>
    <row r="249">
      <c r="B249" s="78" t="s">
        <v>111</v>
      </c>
      <c r="O249" s="55"/>
      <c r="V249" s="55"/>
      <c r="AC249" s="55"/>
      <c r="AJ249" s="55"/>
    </row>
    <row r="250">
      <c r="B250" s="78" t="s">
        <v>112</v>
      </c>
      <c r="O250" s="55"/>
      <c r="V250" s="55"/>
      <c r="AC250" s="55"/>
      <c r="AJ250" s="55"/>
    </row>
    <row r="251">
      <c r="B251" s="78" t="s">
        <v>113</v>
      </c>
      <c r="O251" s="55"/>
      <c r="V251" s="55"/>
      <c r="AC251" s="55"/>
      <c r="AJ251" s="55"/>
    </row>
    <row r="252">
      <c r="B252" s="78" t="s">
        <v>114</v>
      </c>
      <c r="O252" s="55"/>
      <c r="V252" s="55"/>
      <c r="AC252" s="55"/>
      <c r="AJ252" s="55"/>
    </row>
    <row r="253">
      <c r="B253" s="78" t="s">
        <v>115</v>
      </c>
      <c r="O253" s="55"/>
      <c r="V253" s="55"/>
      <c r="AC253" s="55"/>
      <c r="AJ253" s="55"/>
    </row>
    <row r="254">
      <c r="D254" s="133"/>
      <c r="O254" s="55"/>
      <c r="V254" s="55"/>
      <c r="AC254" s="55"/>
      <c r="AJ254" s="55"/>
    </row>
    <row r="255">
      <c r="D255" s="133"/>
      <c r="E255" s="78" t="s">
        <v>116</v>
      </c>
      <c r="O255" s="55"/>
      <c r="V255" s="55"/>
      <c r="AC255" s="55"/>
      <c r="AJ255" s="55"/>
    </row>
    <row r="256">
      <c r="D256" s="133"/>
      <c r="O256" s="55"/>
      <c r="V256" s="55"/>
      <c r="AC256" s="55"/>
      <c r="AJ256" s="55"/>
    </row>
    <row r="257">
      <c r="D257" s="133"/>
      <c r="F257" s="78" t="s">
        <v>117</v>
      </c>
      <c r="G257" s="134">
        <f>D69+K9+K33</f>
        <v>0</v>
      </c>
      <c r="O257" s="55"/>
      <c r="V257" s="55"/>
      <c r="AC257" s="55"/>
      <c r="AJ257" s="55"/>
    </row>
    <row r="258">
      <c r="D258" s="133"/>
      <c r="F258" s="78" t="s">
        <v>118</v>
      </c>
      <c r="G258" s="134">
        <f>D81+K21+K45</f>
        <v>0</v>
      </c>
      <c r="O258" s="55"/>
      <c r="V258" s="55"/>
      <c r="AC258" s="55"/>
      <c r="AJ258" s="55"/>
    </row>
    <row r="259">
      <c r="D259" s="133"/>
      <c r="O259" s="55"/>
      <c r="V259" s="55"/>
      <c r="AC259" s="55"/>
      <c r="AJ259" s="55"/>
    </row>
    <row r="260">
      <c r="D260" s="133"/>
      <c r="O260" s="55"/>
      <c r="V260" s="55"/>
      <c r="AC260" s="55"/>
      <c r="AJ260" s="55"/>
    </row>
    <row r="261">
      <c r="D261" s="133"/>
      <c r="O261" s="55"/>
      <c r="V261" s="55"/>
      <c r="AC261" s="55"/>
      <c r="AJ261" s="55"/>
    </row>
    <row r="262">
      <c r="D262" s="133"/>
      <c r="O262" s="55"/>
      <c r="V262" s="55"/>
      <c r="AC262" s="55"/>
      <c r="AJ262" s="55"/>
    </row>
    <row r="263">
      <c r="D263" s="133"/>
      <c r="O263" s="55"/>
      <c r="V263" s="55"/>
      <c r="AC263" s="55"/>
      <c r="AJ263" s="55"/>
    </row>
    <row r="264">
      <c r="D264" s="133"/>
      <c r="O264" s="55"/>
      <c r="V264" s="55"/>
      <c r="AC264" s="55"/>
      <c r="AJ264" s="55"/>
    </row>
    <row r="265">
      <c r="D265" s="133"/>
      <c r="O265" s="55"/>
      <c r="V265" s="55"/>
      <c r="AC265" s="55"/>
      <c r="AJ265" s="55"/>
    </row>
    <row r="266">
      <c r="D266" s="133"/>
      <c r="O266" s="55"/>
      <c r="V266" s="55"/>
      <c r="AC266" s="55"/>
      <c r="AJ266" s="55"/>
    </row>
    <row r="267">
      <c r="D267" s="133"/>
      <c r="O267" s="55"/>
      <c r="V267" s="55"/>
      <c r="AC267" s="55"/>
      <c r="AJ267" s="55"/>
    </row>
    <row r="268">
      <c r="D268" s="133"/>
      <c r="O268" s="55"/>
      <c r="V268" s="55"/>
      <c r="AC268" s="55"/>
      <c r="AJ268" s="55"/>
    </row>
    <row r="269">
      <c r="D269" s="133"/>
      <c r="O269" s="55"/>
      <c r="V269" s="55"/>
      <c r="AC269" s="55"/>
      <c r="AJ269" s="55"/>
    </row>
    <row r="270">
      <c r="D270" s="133"/>
      <c r="O270" s="55"/>
      <c r="V270" s="55"/>
      <c r="AC270" s="55"/>
      <c r="AJ270" s="55"/>
    </row>
    <row r="271">
      <c r="D271" s="133"/>
      <c r="O271" s="55"/>
      <c r="V271" s="55"/>
      <c r="AC271" s="55"/>
      <c r="AJ271" s="55"/>
    </row>
    <row r="272">
      <c r="D272" s="133"/>
      <c r="O272" s="55"/>
      <c r="V272" s="55"/>
      <c r="AC272" s="55"/>
      <c r="AJ272" s="55"/>
    </row>
    <row r="273">
      <c r="D273" s="133"/>
      <c r="O273" s="55"/>
      <c r="V273" s="55"/>
      <c r="AC273" s="55"/>
      <c r="AJ273" s="55"/>
    </row>
    <row r="274">
      <c r="D274" s="133"/>
      <c r="O274" s="55"/>
      <c r="V274" s="55"/>
      <c r="AC274" s="55"/>
      <c r="AJ274" s="55"/>
    </row>
    <row r="275">
      <c r="D275" s="133"/>
      <c r="O275" s="55"/>
      <c r="V275" s="55"/>
      <c r="AC275" s="55"/>
      <c r="AJ275" s="55"/>
    </row>
    <row r="276">
      <c r="D276" s="133"/>
      <c r="O276" s="55"/>
      <c r="V276" s="55"/>
      <c r="AC276" s="55"/>
      <c r="AJ276" s="55"/>
    </row>
    <row r="277">
      <c r="D277" s="133"/>
      <c r="O277" s="55"/>
      <c r="V277" s="55"/>
      <c r="AC277" s="55"/>
      <c r="AJ277" s="55"/>
    </row>
    <row r="278">
      <c r="D278" s="133"/>
      <c r="O278" s="55"/>
      <c r="V278" s="55"/>
      <c r="AC278" s="55"/>
      <c r="AJ278" s="55"/>
    </row>
    <row r="279">
      <c r="D279" s="133"/>
      <c r="O279" s="55"/>
      <c r="V279" s="55"/>
      <c r="AC279" s="55"/>
      <c r="AJ279" s="55"/>
    </row>
    <row r="280">
      <c r="D280" s="133"/>
      <c r="O280" s="55"/>
      <c r="V280" s="55"/>
      <c r="AC280" s="55"/>
      <c r="AJ280" s="55"/>
    </row>
    <row r="281">
      <c r="D281" s="133"/>
      <c r="O281" s="55"/>
      <c r="V281" s="55"/>
      <c r="AC281" s="55"/>
      <c r="AJ281" s="55"/>
    </row>
    <row r="282">
      <c r="D282" s="133"/>
      <c r="O282" s="55"/>
      <c r="V282" s="55"/>
      <c r="AC282" s="55"/>
      <c r="AJ282" s="55"/>
    </row>
    <row r="283">
      <c r="D283" s="133"/>
      <c r="O283" s="55"/>
      <c r="V283" s="55"/>
      <c r="AC283" s="55"/>
      <c r="AJ283" s="55"/>
    </row>
    <row r="284">
      <c r="D284" s="133"/>
      <c r="O284" s="55"/>
      <c r="V284" s="55"/>
      <c r="AC284" s="55"/>
      <c r="AJ284" s="55"/>
    </row>
    <row r="285">
      <c r="D285" s="133"/>
      <c r="O285" s="55"/>
      <c r="V285" s="55"/>
      <c r="AC285" s="55"/>
      <c r="AJ285" s="55"/>
    </row>
    <row r="286">
      <c r="D286" s="133"/>
      <c r="O286" s="55"/>
      <c r="V286" s="55"/>
      <c r="AC286" s="55"/>
      <c r="AJ286" s="55"/>
    </row>
    <row r="287">
      <c r="D287" s="133"/>
      <c r="O287" s="55"/>
      <c r="V287" s="55"/>
      <c r="AC287" s="55"/>
      <c r="AJ287" s="55"/>
    </row>
    <row r="288">
      <c r="D288" s="133"/>
      <c r="O288" s="55"/>
      <c r="V288" s="55"/>
      <c r="AC288" s="55"/>
      <c r="AJ288" s="55"/>
    </row>
    <row r="289">
      <c r="D289" s="133"/>
      <c r="O289" s="55"/>
      <c r="V289" s="55"/>
      <c r="AC289" s="55"/>
      <c r="AJ289" s="55"/>
    </row>
    <row r="290">
      <c r="D290" s="133"/>
      <c r="O290" s="55"/>
      <c r="V290" s="55"/>
      <c r="AC290" s="55"/>
      <c r="AJ290" s="55"/>
    </row>
    <row r="291">
      <c r="D291" s="133"/>
      <c r="O291" s="55"/>
      <c r="V291" s="55"/>
      <c r="AC291" s="55"/>
      <c r="AJ291" s="55"/>
    </row>
    <row r="292">
      <c r="D292" s="133"/>
      <c r="O292" s="55"/>
      <c r="V292" s="55"/>
      <c r="AC292" s="55"/>
      <c r="AJ292" s="55"/>
    </row>
    <row r="293">
      <c r="D293" s="133"/>
      <c r="O293" s="55"/>
      <c r="V293" s="55"/>
      <c r="AC293" s="55"/>
      <c r="AJ293" s="55"/>
    </row>
    <row r="294">
      <c r="D294" s="133"/>
      <c r="O294" s="55"/>
      <c r="V294" s="55"/>
      <c r="AC294" s="55"/>
      <c r="AJ294" s="55"/>
    </row>
    <row r="295">
      <c r="D295" s="133"/>
      <c r="O295" s="55"/>
      <c r="V295" s="55"/>
      <c r="AC295" s="55"/>
      <c r="AJ295" s="55"/>
    </row>
    <row r="296">
      <c r="D296" s="133"/>
      <c r="O296" s="55"/>
      <c r="V296" s="55"/>
      <c r="AC296" s="55"/>
      <c r="AJ296" s="55"/>
    </row>
    <row r="297">
      <c r="D297" s="133"/>
      <c r="O297" s="55"/>
      <c r="V297" s="55"/>
      <c r="AC297" s="55"/>
      <c r="AJ297" s="55"/>
    </row>
    <row r="298">
      <c r="D298" s="133"/>
      <c r="O298" s="55"/>
      <c r="V298" s="55"/>
      <c r="AC298" s="55"/>
      <c r="AJ298" s="55"/>
    </row>
    <row r="299">
      <c r="D299" s="133"/>
      <c r="O299" s="55"/>
      <c r="V299" s="55"/>
      <c r="AC299" s="55"/>
      <c r="AJ299" s="55"/>
    </row>
    <row r="300">
      <c r="D300" s="133"/>
      <c r="O300" s="55"/>
      <c r="V300" s="55"/>
      <c r="AC300" s="55"/>
      <c r="AJ300" s="55"/>
    </row>
    <row r="301">
      <c r="D301" s="133"/>
      <c r="O301" s="55"/>
      <c r="V301" s="55"/>
      <c r="AC301" s="55"/>
      <c r="AJ301" s="55"/>
    </row>
    <row r="302">
      <c r="D302" s="133"/>
      <c r="O302" s="55"/>
      <c r="V302" s="55"/>
      <c r="AC302" s="55"/>
      <c r="AJ302" s="55"/>
    </row>
    <row r="303">
      <c r="D303" s="133"/>
      <c r="O303" s="55"/>
      <c r="V303" s="55"/>
      <c r="AC303" s="55"/>
      <c r="AJ303" s="55"/>
    </row>
    <row r="304">
      <c r="D304" s="133"/>
      <c r="O304" s="55"/>
      <c r="V304" s="55"/>
      <c r="AC304" s="55"/>
      <c r="AJ304" s="55"/>
    </row>
    <row r="305">
      <c r="D305" s="133"/>
      <c r="O305" s="55"/>
      <c r="V305" s="55"/>
      <c r="AC305" s="55"/>
      <c r="AJ305" s="55"/>
    </row>
    <row r="306">
      <c r="D306" s="133"/>
      <c r="O306" s="55"/>
      <c r="V306" s="55"/>
      <c r="AC306" s="55"/>
      <c r="AJ306" s="55"/>
    </row>
    <row r="307">
      <c r="D307" s="133"/>
      <c r="O307" s="55"/>
      <c r="V307" s="55"/>
      <c r="AC307" s="55"/>
      <c r="AJ307" s="55"/>
    </row>
    <row r="308">
      <c r="D308" s="133"/>
      <c r="O308" s="55"/>
      <c r="V308" s="55"/>
      <c r="AC308" s="55"/>
      <c r="AJ308" s="55"/>
    </row>
    <row r="309">
      <c r="D309" s="133"/>
      <c r="O309" s="55"/>
      <c r="V309" s="55"/>
      <c r="AC309" s="55"/>
      <c r="AJ309" s="55"/>
    </row>
    <row r="310">
      <c r="D310" s="133"/>
      <c r="O310" s="55"/>
      <c r="V310" s="55"/>
      <c r="AC310" s="55"/>
      <c r="AJ310" s="55"/>
    </row>
    <row r="311">
      <c r="D311" s="133"/>
      <c r="O311" s="55"/>
      <c r="V311" s="55"/>
      <c r="AC311" s="55"/>
      <c r="AJ311" s="55"/>
    </row>
    <row r="312">
      <c r="D312" s="133"/>
      <c r="O312" s="55"/>
      <c r="V312" s="55"/>
      <c r="AC312" s="55"/>
      <c r="AJ312" s="55"/>
    </row>
    <row r="313">
      <c r="D313" s="133"/>
      <c r="O313" s="55"/>
      <c r="V313" s="55"/>
      <c r="AC313" s="55"/>
      <c r="AJ313" s="55"/>
    </row>
    <row r="314">
      <c r="D314" s="133"/>
      <c r="O314" s="55"/>
      <c r="V314" s="55"/>
      <c r="AC314" s="55"/>
      <c r="AJ314" s="55"/>
    </row>
    <row r="315">
      <c r="D315" s="133"/>
      <c r="O315" s="55"/>
      <c r="V315" s="55"/>
      <c r="AC315" s="55"/>
      <c r="AJ315" s="55"/>
    </row>
    <row r="316">
      <c r="D316" s="133"/>
      <c r="O316" s="55"/>
      <c r="V316" s="55"/>
      <c r="AC316" s="55"/>
      <c r="AJ316" s="55"/>
    </row>
    <row r="317">
      <c r="D317" s="133"/>
      <c r="O317" s="55"/>
      <c r="V317" s="55"/>
      <c r="AC317" s="55"/>
      <c r="AJ317" s="55"/>
    </row>
    <row r="318">
      <c r="D318" s="133"/>
      <c r="O318" s="55"/>
      <c r="V318" s="55"/>
      <c r="AC318" s="55"/>
      <c r="AJ318" s="55"/>
    </row>
    <row r="319">
      <c r="D319" s="133"/>
      <c r="O319" s="55"/>
      <c r="V319" s="55"/>
      <c r="AC319" s="55"/>
      <c r="AJ319" s="55"/>
    </row>
    <row r="320">
      <c r="D320" s="133"/>
      <c r="O320" s="55"/>
      <c r="V320" s="55"/>
      <c r="AC320" s="55"/>
      <c r="AJ320" s="55"/>
    </row>
    <row r="321">
      <c r="D321" s="133"/>
      <c r="O321" s="55"/>
      <c r="V321" s="55"/>
      <c r="AC321" s="55"/>
      <c r="AJ321" s="55"/>
    </row>
    <row r="322">
      <c r="D322" s="133"/>
      <c r="O322" s="55"/>
      <c r="V322" s="55"/>
      <c r="AC322" s="55"/>
      <c r="AJ322" s="55"/>
    </row>
    <row r="323">
      <c r="D323" s="133"/>
      <c r="O323" s="55"/>
      <c r="V323" s="55"/>
      <c r="AC323" s="55"/>
      <c r="AJ323" s="55"/>
    </row>
    <row r="324">
      <c r="D324" s="133"/>
      <c r="O324" s="55"/>
      <c r="V324" s="55"/>
      <c r="AC324" s="55"/>
      <c r="AJ324" s="55"/>
    </row>
    <row r="325">
      <c r="D325" s="133"/>
      <c r="O325" s="55"/>
      <c r="V325" s="55"/>
      <c r="AC325" s="55"/>
      <c r="AJ325" s="55"/>
    </row>
    <row r="326">
      <c r="D326" s="133"/>
      <c r="O326" s="55"/>
      <c r="V326" s="55"/>
      <c r="AC326" s="55"/>
      <c r="AJ326" s="55"/>
    </row>
    <row r="327">
      <c r="D327" s="133"/>
      <c r="O327" s="55"/>
      <c r="V327" s="55"/>
      <c r="AC327" s="55"/>
      <c r="AJ327" s="55"/>
    </row>
    <row r="328">
      <c r="D328" s="133"/>
      <c r="O328" s="55"/>
      <c r="V328" s="55"/>
      <c r="AC328" s="55"/>
      <c r="AJ328" s="55"/>
    </row>
    <row r="329">
      <c r="D329" s="133"/>
      <c r="O329" s="55"/>
      <c r="V329" s="55"/>
      <c r="AC329" s="55"/>
      <c r="AJ329" s="55"/>
    </row>
    <row r="330">
      <c r="D330" s="133"/>
      <c r="O330" s="55"/>
      <c r="V330" s="55"/>
      <c r="AC330" s="55"/>
      <c r="AJ330" s="55"/>
    </row>
    <row r="331">
      <c r="D331" s="133"/>
      <c r="O331" s="55"/>
      <c r="V331" s="55"/>
      <c r="AC331" s="55"/>
      <c r="AJ331" s="55"/>
    </row>
    <row r="332">
      <c r="D332" s="133"/>
      <c r="O332" s="55"/>
      <c r="V332" s="55"/>
      <c r="AC332" s="55"/>
      <c r="AJ332" s="55"/>
    </row>
    <row r="333">
      <c r="D333" s="133"/>
      <c r="O333" s="55"/>
      <c r="V333" s="55"/>
      <c r="AC333" s="55"/>
      <c r="AJ333" s="55"/>
    </row>
    <row r="334">
      <c r="D334" s="133"/>
      <c r="O334" s="55"/>
      <c r="V334" s="55"/>
      <c r="AC334" s="55"/>
      <c r="AJ334" s="55"/>
    </row>
    <row r="335">
      <c r="D335" s="133"/>
      <c r="O335" s="55"/>
      <c r="V335" s="55"/>
      <c r="AC335" s="55"/>
      <c r="AJ335" s="55"/>
    </row>
    <row r="336">
      <c r="D336" s="133"/>
      <c r="O336" s="55"/>
      <c r="V336" s="55"/>
      <c r="AC336" s="55"/>
      <c r="AJ336" s="55"/>
    </row>
    <row r="337">
      <c r="D337" s="133"/>
      <c r="O337" s="55"/>
      <c r="V337" s="55"/>
      <c r="AC337" s="55"/>
      <c r="AJ337" s="55"/>
    </row>
    <row r="338">
      <c r="D338" s="133"/>
      <c r="O338" s="55"/>
      <c r="V338" s="55"/>
      <c r="AC338" s="55"/>
      <c r="AJ338" s="55"/>
    </row>
    <row r="339">
      <c r="D339" s="133"/>
      <c r="O339" s="55"/>
      <c r="V339" s="55"/>
      <c r="AC339" s="55"/>
      <c r="AJ339" s="55"/>
    </row>
    <row r="340">
      <c r="D340" s="133"/>
      <c r="O340" s="55"/>
      <c r="V340" s="55"/>
      <c r="AC340" s="55"/>
      <c r="AJ340" s="55"/>
    </row>
    <row r="341">
      <c r="D341" s="133"/>
      <c r="O341" s="55"/>
      <c r="V341" s="55"/>
      <c r="AC341" s="55"/>
      <c r="AJ341" s="55"/>
    </row>
    <row r="342">
      <c r="D342" s="133"/>
      <c r="O342" s="55"/>
      <c r="V342" s="55"/>
      <c r="AC342" s="55"/>
      <c r="AJ342" s="55"/>
    </row>
    <row r="343">
      <c r="D343" s="133"/>
      <c r="O343" s="55"/>
      <c r="V343" s="55"/>
      <c r="AC343" s="55"/>
      <c r="AJ343" s="55"/>
    </row>
    <row r="344">
      <c r="D344" s="133"/>
      <c r="O344" s="55"/>
      <c r="V344" s="55"/>
      <c r="AC344" s="55"/>
      <c r="AJ344" s="55"/>
    </row>
    <row r="345">
      <c r="D345" s="133"/>
      <c r="O345" s="55"/>
      <c r="V345" s="55"/>
      <c r="AC345" s="55"/>
      <c r="AJ345" s="55"/>
    </row>
    <row r="346">
      <c r="D346" s="133"/>
      <c r="O346" s="55"/>
      <c r="V346" s="55"/>
      <c r="AC346" s="55"/>
      <c r="AJ346" s="55"/>
    </row>
    <row r="347">
      <c r="D347" s="133"/>
      <c r="O347" s="55"/>
      <c r="V347" s="55"/>
      <c r="AC347" s="55"/>
      <c r="AJ347" s="55"/>
    </row>
    <row r="348">
      <c r="D348" s="133"/>
      <c r="O348" s="55"/>
      <c r="V348" s="55"/>
      <c r="AC348" s="55"/>
      <c r="AJ348" s="55"/>
    </row>
    <row r="349">
      <c r="D349" s="133"/>
      <c r="O349" s="55"/>
      <c r="V349" s="55"/>
      <c r="AC349" s="55"/>
      <c r="AJ349" s="55"/>
    </row>
    <row r="350">
      <c r="D350" s="133"/>
      <c r="O350" s="55"/>
      <c r="V350" s="55"/>
      <c r="AC350" s="55"/>
      <c r="AJ350" s="55"/>
    </row>
    <row r="351">
      <c r="D351" s="133"/>
      <c r="O351" s="55"/>
      <c r="V351" s="55"/>
      <c r="AC351" s="55"/>
      <c r="AJ351" s="55"/>
    </row>
    <row r="352">
      <c r="D352" s="133"/>
      <c r="O352" s="55"/>
      <c r="V352" s="55"/>
      <c r="AC352" s="55"/>
      <c r="AJ352" s="55"/>
    </row>
    <row r="353">
      <c r="D353" s="133"/>
      <c r="O353" s="55"/>
      <c r="V353" s="55"/>
      <c r="AC353" s="55"/>
      <c r="AJ353" s="55"/>
    </row>
    <row r="354">
      <c r="D354" s="133"/>
      <c r="O354" s="55"/>
      <c r="V354" s="55"/>
      <c r="AC354" s="55"/>
      <c r="AJ354" s="55"/>
    </row>
    <row r="355">
      <c r="D355" s="133"/>
      <c r="O355" s="55"/>
      <c r="V355" s="55"/>
      <c r="AC355" s="55"/>
      <c r="AJ355" s="55"/>
    </row>
    <row r="356">
      <c r="D356" s="133"/>
      <c r="O356" s="55"/>
      <c r="V356" s="55"/>
      <c r="AC356" s="55"/>
      <c r="AJ356" s="55"/>
    </row>
    <row r="357">
      <c r="D357" s="133"/>
      <c r="O357" s="55"/>
      <c r="V357" s="55"/>
      <c r="AC357" s="55"/>
      <c r="AJ357" s="55"/>
    </row>
    <row r="358">
      <c r="D358" s="133"/>
      <c r="O358" s="55"/>
      <c r="V358" s="55"/>
      <c r="AC358" s="55"/>
      <c r="AJ358" s="55"/>
    </row>
    <row r="359">
      <c r="D359" s="133"/>
      <c r="O359" s="55"/>
      <c r="V359" s="55"/>
      <c r="AC359" s="55"/>
      <c r="AJ359" s="55"/>
    </row>
    <row r="360">
      <c r="D360" s="133"/>
      <c r="O360" s="55"/>
      <c r="V360" s="55"/>
      <c r="AC360" s="55"/>
      <c r="AJ360" s="55"/>
    </row>
    <row r="361">
      <c r="D361" s="133"/>
      <c r="O361" s="55"/>
      <c r="V361" s="55"/>
      <c r="AC361" s="55"/>
      <c r="AJ361" s="55"/>
    </row>
    <row r="362">
      <c r="D362" s="133"/>
      <c r="O362" s="55"/>
      <c r="V362" s="55"/>
      <c r="AC362" s="55"/>
      <c r="AJ362" s="55"/>
    </row>
    <row r="363">
      <c r="D363" s="133"/>
      <c r="O363" s="55"/>
      <c r="V363" s="55"/>
      <c r="AC363" s="55"/>
      <c r="AJ363" s="55"/>
    </row>
    <row r="364">
      <c r="D364" s="133"/>
      <c r="O364" s="55"/>
      <c r="V364" s="55"/>
      <c r="AC364" s="55"/>
      <c r="AJ364" s="55"/>
    </row>
    <row r="365">
      <c r="D365" s="133"/>
      <c r="O365" s="55"/>
      <c r="V365" s="55"/>
      <c r="AC365" s="55"/>
      <c r="AJ365" s="55"/>
    </row>
    <row r="366">
      <c r="D366" s="133"/>
      <c r="O366" s="55"/>
      <c r="V366" s="55"/>
      <c r="AC366" s="55"/>
      <c r="AJ366" s="55"/>
    </row>
    <row r="367">
      <c r="D367" s="133"/>
      <c r="O367" s="55"/>
      <c r="V367" s="55"/>
      <c r="AC367" s="55"/>
      <c r="AJ367" s="55"/>
    </row>
    <row r="368">
      <c r="D368" s="133"/>
      <c r="O368" s="55"/>
      <c r="V368" s="55"/>
      <c r="AC368" s="55"/>
      <c r="AJ368" s="55"/>
    </row>
    <row r="369">
      <c r="D369" s="133"/>
      <c r="O369" s="55"/>
      <c r="V369" s="55"/>
      <c r="AC369" s="55"/>
      <c r="AJ369" s="55"/>
    </row>
    <row r="370">
      <c r="D370" s="133"/>
      <c r="O370" s="55"/>
      <c r="V370" s="55"/>
      <c r="AC370" s="55"/>
      <c r="AJ370" s="55"/>
    </row>
    <row r="371">
      <c r="D371" s="133"/>
      <c r="O371" s="55"/>
      <c r="V371" s="55"/>
      <c r="AC371" s="55"/>
      <c r="AJ371" s="55"/>
    </row>
    <row r="372">
      <c r="D372" s="133"/>
      <c r="O372" s="55"/>
      <c r="V372" s="55"/>
      <c r="AC372" s="55"/>
      <c r="AJ372" s="55"/>
    </row>
    <row r="373">
      <c r="D373" s="133"/>
      <c r="O373" s="55"/>
      <c r="V373" s="55"/>
      <c r="AC373" s="55"/>
      <c r="AJ373" s="55"/>
    </row>
    <row r="374">
      <c r="D374" s="133"/>
      <c r="O374" s="55"/>
      <c r="V374" s="55"/>
      <c r="AC374" s="55"/>
      <c r="AJ374" s="55"/>
    </row>
    <row r="375">
      <c r="D375" s="133"/>
      <c r="O375" s="55"/>
      <c r="V375" s="55"/>
      <c r="AC375" s="55"/>
      <c r="AJ375" s="55"/>
    </row>
    <row r="376">
      <c r="D376" s="133"/>
      <c r="O376" s="55"/>
      <c r="V376" s="55"/>
      <c r="AC376" s="55"/>
      <c r="AJ376" s="55"/>
    </row>
    <row r="377">
      <c r="D377" s="133"/>
      <c r="O377" s="55"/>
      <c r="V377" s="55"/>
      <c r="AC377" s="55"/>
      <c r="AJ377" s="55"/>
    </row>
    <row r="378">
      <c r="D378" s="133"/>
      <c r="O378" s="55"/>
      <c r="V378" s="55"/>
      <c r="AC378" s="55"/>
      <c r="AJ378" s="55"/>
    </row>
    <row r="379">
      <c r="D379" s="133"/>
      <c r="O379" s="55"/>
      <c r="V379" s="55"/>
      <c r="AC379" s="55"/>
      <c r="AJ379" s="55"/>
    </row>
    <row r="380">
      <c r="D380" s="133"/>
      <c r="O380" s="55"/>
      <c r="V380" s="55"/>
      <c r="AC380" s="55"/>
      <c r="AJ380" s="55"/>
    </row>
    <row r="381">
      <c r="D381" s="133"/>
      <c r="O381" s="55"/>
      <c r="V381" s="55"/>
      <c r="AC381" s="55"/>
      <c r="AJ381" s="55"/>
    </row>
    <row r="382">
      <c r="D382" s="133"/>
      <c r="O382" s="55"/>
      <c r="V382" s="55"/>
      <c r="AC382" s="55"/>
      <c r="AJ382" s="55"/>
    </row>
    <row r="383">
      <c r="D383" s="133"/>
      <c r="O383" s="55"/>
      <c r="V383" s="55"/>
      <c r="AC383" s="55"/>
      <c r="AJ383" s="55"/>
    </row>
    <row r="384">
      <c r="D384" s="133"/>
      <c r="O384" s="55"/>
      <c r="V384" s="55"/>
      <c r="AC384" s="55"/>
      <c r="AJ384" s="55"/>
    </row>
    <row r="385">
      <c r="D385" s="133"/>
      <c r="O385" s="55"/>
      <c r="V385" s="55"/>
      <c r="AC385" s="55"/>
      <c r="AJ385" s="55"/>
    </row>
    <row r="386">
      <c r="D386" s="133"/>
      <c r="O386" s="55"/>
      <c r="V386" s="55"/>
      <c r="AC386" s="55"/>
      <c r="AJ386" s="55"/>
    </row>
    <row r="387">
      <c r="D387" s="133"/>
      <c r="O387" s="55"/>
      <c r="V387" s="55"/>
      <c r="AC387" s="55"/>
      <c r="AJ387" s="55"/>
    </row>
    <row r="388">
      <c r="D388" s="133"/>
      <c r="O388" s="55"/>
      <c r="V388" s="55"/>
      <c r="AC388" s="55"/>
      <c r="AJ388" s="55"/>
    </row>
    <row r="389">
      <c r="D389" s="133"/>
      <c r="O389" s="55"/>
      <c r="V389" s="55"/>
      <c r="AC389" s="55"/>
      <c r="AJ389" s="55"/>
    </row>
    <row r="390">
      <c r="D390" s="133"/>
      <c r="O390" s="55"/>
      <c r="V390" s="55"/>
      <c r="AC390" s="55"/>
      <c r="AJ390" s="55"/>
    </row>
    <row r="391">
      <c r="D391" s="133"/>
      <c r="O391" s="55"/>
      <c r="V391" s="55"/>
      <c r="AC391" s="55"/>
      <c r="AJ391" s="55"/>
    </row>
    <row r="392">
      <c r="D392" s="133"/>
      <c r="O392" s="55"/>
      <c r="V392" s="55"/>
      <c r="AC392" s="55"/>
      <c r="AJ392" s="55"/>
    </row>
    <row r="393">
      <c r="D393" s="133"/>
      <c r="O393" s="55"/>
      <c r="V393" s="55"/>
      <c r="AC393" s="55"/>
      <c r="AJ393" s="55"/>
    </row>
    <row r="394">
      <c r="D394" s="133"/>
      <c r="O394" s="55"/>
      <c r="V394" s="55"/>
      <c r="AC394" s="55"/>
      <c r="AJ394" s="55"/>
    </row>
    <row r="395">
      <c r="D395" s="133"/>
      <c r="O395" s="55"/>
      <c r="V395" s="55"/>
      <c r="AC395" s="55"/>
      <c r="AJ395" s="55"/>
    </row>
    <row r="396">
      <c r="D396" s="133"/>
      <c r="O396" s="55"/>
      <c r="V396" s="55"/>
      <c r="AC396" s="55"/>
      <c r="AJ396" s="55"/>
    </row>
    <row r="397">
      <c r="D397" s="133"/>
      <c r="O397" s="55"/>
      <c r="V397" s="55"/>
      <c r="AC397" s="55"/>
      <c r="AJ397" s="55"/>
    </row>
    <row r="398">
      <c r="D398" s="133"/>
      <c r="O398" s="55"/>
      <c r="V398" s="55"/>
      <c r="AC398" s="55"/>
      <c r="AJ398" s="55"/>
    </row>
    <row r="399">
      <c r="D399" s="133"/>
      <c r="O399" s="55"/>
      <c r="V399" s="55"/>
      <c r="AC399" s="55"/>
      <c r="AJ399" s="55"/>
    </row>
    <row r="400">
      <c r="D400" s="133"/>
      <c r="O400" s="55"/>
      <c r="V400" s="55"/>
      <c r="AC400" s="55"/>
      <c r="AJ400" s="55"/>
    </row>
    <row r="401">
      <c r="D401" s="133"/>
      <c r="O401" s="55"/>
      <c r="V401" s="55"/>
      <c r="AC401" s="55"/>
      <c r="AJ401" s="55"/>
    </row>
    <row r="402">
      <c r="D402" s="133"/>
      <c r="O402" s="55"/>
      <c r="V402" s="55"/>
      <c r="AC402" s="55"/>
      <c r="AJ402" s="55"/>
    </row>
    <row r="403">
      <c r="D403" s="133"/>
      <c r="O403" s="55"/>
      <c r="V403" s="55"/>
      <c r="AC403" s="55"/>
      <c r="AJ403" s="55"/>
    </row>
    <row r="404">
      <c r="D404" s="133"/>
      <c r="O404" s="55"/>
      <c r="V404" s="55"/>
      <c r="AC404" s="55"/>
      <c r="AJ404" s="55"/>
    </row>
    <row r="405">
      <c r="D405" s="133"/>
      <c r="O405" s="55"/>
      <c r="V405" s="55"/>
      <c r="AC405" s="55"/>
      <c r="AJ405" s="55"/>
    </row>
    <row r="406">
      <c r="D406" s="133"/>
      <c r="O406" s="55"/>
      <c r="V406" s="55"/>
      <c r="AC406" s="55"/>
      <c r="AJ406" s="55"/>
    </row>
    <row r="407">
      <c r="D407" s="133"/>
      <c r="O407" s="55"/>
      <c r="V407" s="55"/>
      <c r="AC407" s="55"/>
      <c r="AJ407" s="55"/>
    </row>
    <row r="408">
      <c r="D408" s="133"/>
      <c r="O408" s="55"/>
      <c r="V408" s="55"/>
      <c r="AC408" s="55"/>
      <c r="AJ408" s="55"/>
    </row>
    <row r="409">
      <c r="D409" s="133"/>
      <c r="O409" s="55"/>
      <c r="V409" s="55"/>
      <c r="AC409" s="55"/>
      <c r="AJ409" s="55"/>
    </row>
    <row r="410">
      <c r="D410" s="133"/>
      <c r="O410" s="55"/>
      <c r="V410" s="55"/>
      <c r="AC410" s="55"/>
      <c r="AJ410" s="55"/>
    </row>
    <row r="411">
      <c r="D411" s="133"/>
      <c r="O411" s="55"/>
      <c r="V411" s="55"/>
      <c r="AC411" s="55"/>
      <c r="AJ411" s="55"/>
    </row>
    <row r="412">
      <c r="D412" s="133"/>
      <c r="O412" s="55"/>
      <c r="V412" s="55"/>
      <c r="AC412" s="55"/>
      <c r="AJ412" s="55"/>
    </row>
    <row r="413">
      <c r="D413" s="133"/>
      <c r="O413" s="55"/>
      <c r="V413" s="55"/>
      <c r="AC413" s="55"/>
      <c r="AJ413" s="55"/>
    </row>
    <row r="414">
      <c r="D414" s="133"/>
      <c r="O414" s="55"/>
      <c r="V414" s="55"/>
      <c r="AC414" s="55"/>
      <c r="AJ414" s="55"/>
    </row>
    <row r="415">
      <c r="D415" s="133"/>
      <c r="O415" s="55"/>
      <c r="V415" s="55"/>
      <c r="AC415" s="55"/>
      <c r="AJ415" s="55"/>
    </row>
    <row r="416">
      <c r="D416" s="133"/>
      <c r="O416" s="55"/>
      <c r="V416" s="55"/>
      <c r="AC416" s="55"/>
      <c r="AJ416" s="55"/>
    </row>
    <row r="417">
      <c r="D417" s="133"/>
      <c r="O417" s="55"/>
      <c r="V417" s="55"/>
      <c r="AC417" s="55"/>
      <c r="AJ417" s="55"/>
    </row>
    <row r="418">
      <c r="D418" s="133"/>
      <c r="O418" s="55"/>
      <c r="V418" s="55"/>
      <c r="AC418" s="55"/>
      <c r="AJ418" s="55"/>
    </row>
    <row r="419">
      <c r="D419" s="133"/>
      <c r="O419" s="55"/>
      <c r="V419" s="55"/>
      <c r="AC419" s="55"/>
      <c r="AJ419" s="55"/>
    </row>
    <row r="420">
      <c r="D420" s="133"/>
      <c r="O420" s="55"/>
      <c r="V420" s="55"/>
      <c r="AC420" s="55"/>
      <c r="AJ420" s="55"/>
    </row>
    <row r="421">
      <c r="D421" s="133"/>
      <c r="O421" s="55"/>
      <c r="V421" s="55"/>
      <c r="AC421" s="55"/>
      <c r="AJ421" s="55"/>
    </row>
    <row r="422">
      <c r="D422" s="133"/>
      <c r="O422" s="55"/>
      <c r="V422" s="55"/>
      <c r="AC422" s="55"/>
      <c r="AJ422" s="55"/>
    </row>
    <row r="423">
      <c r="D423" s="133"/>
      <c r="O423" s="55"/>
      <c r="V423" s="55"/>
      <c r="AC423" s="55"/>
      <c r="AJ423" s="55"/>
    </row>
    <row r="424">
      <c r="D424" s="133"/>
      <c r="O424" s="55"/>
      <c r="V424" s="55"/>
      <c r="AC424" s="55"/>
      <c r="AJ424" s="55"/>
    </row>
    <row r="425">
      <c r="D425" s="133"/>
      <c r="O425" s="55"/>
      <c r="V425" s="55"/>
      <c r="AC425" s="55"/>
      <c r="AJ425" s="55"/>
    </row>
    <row r="426">
      <c r="D426" s="133"/>
      <c r="O426" s="55"/>
      <c r="V426" s="55"/>
      <c r="AC426" s="55"/>
      <c r="AJ426" s="55"/>
    </row>
    <row r="427">
      <c r="D427" s="133"/>
      <c r="O427" s="55"/>
      <c r="V427" s="55"/>
      <c r="AC427" s="55"/>
      <c r="AJ427" s="55"/>
    </row>
    <row r="428">
      <c r="D428" s="133"/>
      <c r="O428" s="55"/>
      <c r="V428" s="55"/>
      <c r="AC428" s="55"/>
      <c r="AJ428" s="55"/>
    </row>
    <row r="429">
      <c r="D429" s="133"/>
      <c r="O429" s="55"/>
      <c r="V429" s="55"/>
      <c r="AC429" s="55"/>
      <c r="AJ429" s="55"/>
    </row>
    <row r="430">
      <c r="D430" s="133"/>
      <c r="O430" s="55"/>
      <c r="V430" s="55"/>
      <c r="AC430" s="55"/>
      <c r="AJ430" s="55"/>
    </row>
    <row r="431">
      <c r="D431" s="133"/>
      <c r="O431" s="55"/>
      <c r="V431" s="55"/>
      <c r="AC431" s="55"/>
      <c r="AJ431" s="55"/>
    </row>
    <row r="432">
      <c r="D432" s="133"/>
      <c r="O432" s="55"/>
      <c r="V432" s="55"/>
      <c r="AC432" s="55"/>
      <c r="AJ432" s="55"/>
    </row>
    <row r="433">
      <c r="D433" s="133"/>
      <c r="O433" s="55"/>
      <c r="V433" s="55"/>
      <c r="AC433" s="55"/>
      <c r="AJ433" s="55"/>
    </row>
    <row r="434">
      <c r="D434" s="133"/>
      <c r="O434" s="55"/>
      <c r="V434" s="55"/>
      <c r="AC434" s="55"/>
      <c r="AJ434" s="55"/>
    </row>
    <row r="435">
      <c r="D435" s="133"/>
      <c r="O435" s="55"/>
      <c r="V435" s="55"/>
      <c r="AC435" s="55"/>
      <c r="AJ435" s="55"/>
    </row>
    <row r="436">
      <c r="D436" s="133"/>
      <c r="O436" s="55"/>
      <c r="V436" s="55"/>
      <c r="AC436" s="55"/>
      <c r="AJ436" s="55"/>
    </row>
    <row r="437">
      <c r="D437" s="133"/>
      <c r="O437" s="55"/>
      <c r="V437" s="55"/>
      <c r="AC437" s="55"/>
      <c r="AJ437" s="55"/>
    </row>
    <row r="438">
      <c r="D438" s="133"/>
      <c r="O438" s="55"/>
      <c r="V438" s="55"/>
      <c r="AC438" s="55"/>
      <c r="AJ438" s="55"/>
    </row>
    <row r="439">
      <c r="D439" s="133"/>
      <c r="O439" s="55"/>
      <c r="V439" s="55"/>
      <c r="AC439" s="55"/>
      <c r="AJ439" s="55"/>
    </row>
    <row r="440">
      <c r="D440" s="133"/>
      <c r="O440" s="55"/>
      <c r="V440" s="55"/>
      <c r="AC440" s="55"/>
      <c r="AJ440" s="55"/>
    </row>
    <row r="441">
      <c r="D441" s="133"/>
      <c r="O441" s="55"/>
      <c r="V441" s="55"/>
      <c r="AC441" s="55"/>
      <c r="AJ441" s="55"/>
    </row>
    <row r="442">
      <c r="D442" s="133"/>
      <c r="O442" s="55"/>
      <c r="V442" s="55"/>
      <c r="AC442" s="55"/>
      <c r="AJ442" s="55"/>
    </row>
    <row r="443">
      <c r="D443" s="133"/>
      <c r="O443" s="55"/>
      <c r="V443" s="55"/>
      <c r="AC443" s="55"/>
      <c r="AJ443" s="55"/>
    </row>
    <row r="444">
      <c r="D444" s="133"/>
      <c r="O444" s="55"/>
      <c r="V444" s="55"/>
      <c r="AC444" s="55"/>
      <c r="AJ444" s="55"/>
    </row>
    <row r="445">
      <c r="D445" s="133"/>
      <c r="O445" s="55"/>
      <c r="V445" s="55"/>
      <c r="AC445" s="55"/>
      <c r="AJ445" s="55"/>
    </row>
    <row r="446">
      <c r="D446" s="133"/>
      <c r="O446" s="55"/>
      <c r="V446" s="55"/>
      <c r="AC446" s="55"/>
      <c r="AJ446" s="55"/>
    </row>
    <row r="447">
      <c r="D447" s="133"/>
      <c r="O447" s="55"/>
      <c r="V447" s="55"/>
      <c r="AC447" s="55"/>
      <c r="AJ447" s="55"/>
    </row>
    <row r="448">
      <c r="D448" s="133"/>
      <c r="O448" s="55"/>
      <c r="V448" s="55"/>
      <c r="AC448" s="55"/>
      <c r="AJ448" s="55"/>
    </row>
    <row r="449">
      <c r="D449" s="133"/>
      <c r="O449" s="55"/>
      <c r="V449" s="55"/>
      <c r="AC449" s="55"/>
      <c r="AJ449" s="55"/>
    </row>
    <row r="450">
      <c r="D450" s="133"/>
      <c r="O450" s="55"/>
      <c r="V450" s="55"/>
      <c r="AC450" s="55"/>
      <c r="AJ450" s="55"/>
    </row>
    <row r="451">
      <c r="D451" s="133"/>
      <c r="O451" s="55"/>
      <c r="V451" s="55"/>
      <c r="AC451" s="55"/>
      <c r="AJ451" s="55"/>
    </row>
    <row r="452">
      <c r="D452" s="133"/>
      <c r="O452" s="55"/>
      <c r="V452" s="55"/>
      <c r="AC452" s="55"/>
      <c r="AJ452" s="55"/>
    </row>
    <row r="453">
      <c r="D453" s="133"/>
      <c r="O453" s="55"/>
      <c r="V453" s="55"/>
      <c r="AC453" s="55"/>
      <c r="AJ453" s="55"/>
    </row>
    <row r="454">
      <c r="D454" s="133"/>
      <c r="O454" s="55"/>
      <c r="V454" s="55"/>
      <c r="AC454" s="55"/>
      <c r="AJ454" s="55"/>
    </row>
    <row r="455">
      <c r="D455" s="133"/>
      <c r="O455" s="55"/>
      <c r="V455" s="55"/>
      <c r="AC455" s="55"/>
      <c r="AJ455" s="55"/>
    </row>
    <row r="456">
      <c r="D456" s="133"/>
      <c r="O456" s="55"/>
      <c r="V456" s="55"/>
      <c r="AC456" s="55"/>
      <c r="AJ456" s="55"/>
    </row>
    <row r="457">
      <c r="D457" s="133"/>
      <c r="O457" s="55"/>
      <c r="V457" s="55"/>
      <c r="AC457" s="55"/>
      <c r="AJ457" s="55"/>
    </row>
    <row r="458">
      <c r="D458" s="133"/>
      <c r="O458" s="55"/>
      <c r="V458" s="55"/>
      <c r="AC458" s="55"/>
      <c r="AJ458" s="55"/>
    </row>
    <row r="459">
      <c r="D459" s="133"/>
      <c r="O459" s="55"/>
      <c r="V459" s="55"/>
      <c r="AC459" s="55"/>
      <c r="AJ459" s="55"/>
    </row>
    <row r="460">
      <c r="D460" s="133"/>
      <c r="O460" s="55"/>
      <c r="V460" s="55"/>
      <c r="AC460" s="55"/>
      <c r="AJ460" s="55"/>
    </row>
    <row r="461">
      <c r="D461" s="133"/>
      <c r="O461" s="55"/>
      <c r="V461" s="55"/>
      <c r="AC461" s="55"/>
      <c r="AJ461" s="55"/>
    </row>
    <row r="462">
      <c r="D462" s="133"/>
      <c r="O462" s="55"/>
      <c r="V462" s="55"/>
      <c r="AC462" s="55"/>
      <c r="AJ462" s="55"/>
    </row>
    <row r="463">
      <c r="D463" s="133"/>
      <c r="O463" s="55"/>
      <c r="V463" s="55"/>
      <c r="AC463" s="55"/>
      <c r="AJ463" s="55"/>
    </row>
    <row r="464">
      <c r="D464" s="133"/>
      <c r="O464" s="55"/>
      <c r="V464" s="55"/>
      <c r="AC464" s="55"/>
      <c r="AJ464" s="55"/>
    </row>
    <row r="465">
      <c r="D465" s="133"/>
      <c r="O465" s="55"/>
      <c r="V465" s="55"/>
      <c r="AC465" s="55"/>
      <c r="AJ465" s="55"/>
    </row>
    <row r="466">
      <c r="D466" s="133"/>
      <c r="O466" s="55"/>
      <c r="V466" s="55"/>
      <c r="AC466" s="55"/>
      <c r="AJ466" s="55"/>
    </row>
    <row r="467">
      <c r="D467" s="133"/>
      <c r="O467" s="55"/>
      <c r="V467" s="55"/>
      <c r="AC467" s="55"/>
      <c r="AJ467" s="55"/>
    </row>
    <row r="468">
      <c r="D468" s="133"/>
      <c r="O468" s="55"/>
      <c r="V468" s="55"/>
      <c r="AC468" s="55"/>
      <c r="AJ468" s="55"/>
    </row>
    <row r="469">
      <c r="D469" s="133"/>
      <c r="O469" s="55"/>
      <c r="V469" s="55"/>
      <c r="AC469" s="55"/>
      <c r="AJ469" s="55"/>
    </row>
    <row r="470">
      <c r="D470" s="133"/>
      <c r="O470" s="55"/>
      <c r="V470" s="55"/>
      <c r="AC470" s="55"/>
      <c r="AJ470" s="55"/>
    </row>
    <row r="471">
      <c r="D471" s="133"/>
      <c r="O471" s="55"/>
      <c r="V471" s="55"/>
      <c r="AC471" s="55"/>
      <c r="AJ471" s="55"/>
    </row>
    <row r="472">
      <c r="D472" s="133"/>
      <c r="O472" s="55"/>
      <c r="V472" s="55"/>
      <c r="AC472" s="55"/>
      <c r="AJ472" s="55"/>
    </row>
    <row r="473">
      <c r="D473" s="133"/>
      <c r="O473" s="55"/>
      <c r="V473" s="55"/>
      <c r="AC473" s="55"/>
      <c r="AJ473" s="55"/>
    </row>
    <row r="474">
      <c r="D474" s="133"/>
      <c r="O474" s="55"/>
      <c r="V474" s="55"/>
      <c r="AC474" s="55"/>
      <c r="AJ474" s="55"/>
    </row>
    <row r="475">
      <c r="D475" s="133"/>
      <c r="O475" s="55"/>
      <c r="V475" s="55"/>
      <c r="AC475" s="55"/>
      <c r="AJ475" s="55"/>
    </row>
    <row r="476">
      <c r="D476" s="133"/>
      <c r="O476" s="55"/>
      <c r="V476" s="55"/>
      <c r="AC476" s="55"/>
      <c r="AJ476" s="55"/>
    </row>
    <row r="477">
      <c r="D477" s="133"/>
      <c r="O477" s="55"/>
      <c r="V477" s="55"/>
      <c r="AC477" s="55"/>
      <c r="AJ477" s="55"/>
    </row>
    <row r="478">
      <c r="D478" s="133"/>
      <c r="O478" s="55"/>
      <c r="V478" s="55"/>
      <c r="AC478" s="55"/>
      <c r="AJ478" s="55"/>
    </row>
    <row r="479">
      <c r="D479" s="133"/>
      <c r="O479" s="55"/>
      <c r="V479" s="55"/>
      <c r="AC479" s="55"/>
      <c r="AJ479" s="55"/>
    </row>
    <row r="480">
      <c r="D480" s="133"/>
      <c r="O480" s="55"/>
      <c r="V480" s="55"/>
      <c r="AC480" s="55"/>
      <c r="AJ480" s="55"/>
    </row>
    <row r="481">
      <c r="D481" s="133"/>
      <c r="O481" s="55"/>
      <c r="V481" s="55"/>
      <c r="AC481" s="55"/>
      <c r="AJ481" s="55"/>
    </row>
    <row r="482">
      <c r="D482" s="133"/>
      <c r="O482" s="55"/>
      <c r="V482" s="55"/>
      <c r="AC482" s="55"/>
      <c r="AJ482" s="55"/>
    </row>
    <row r="483">
      <c r="D483" s="133"/>
      <c r="O483" s="55"/>
      <c r="V483" s="55"/>
      <c r="AC483" s="55"/>
      <c r="AJ483" s="55"/>
    </row>
    <row r="484">
      <c r="D484" s="133"/>
      <c r="O484" s="55"/>
      <c r="V484" s="55"/>
      <c r="AC484" s="55"/>
      <c r="AJ484" s="55"/>
    </row>
    <row r="485">
      <c r="D485" s="133"/>
      <c r="O485" s="55"/>
      <c r="V485" s="55"/>
      <c r="AC485" s="55"/>
      <c r="AJ485" s="55"/>
    </row>
    <row r="486">
      <c r="D486" s="133"/>
      <c r="O486" s="55"/>
      <c r="V486" s="55"/>
      <c r="AC486" s="55"/>
      <c r="AJ486" s="55"/>
    </row>
    <row r="487">
      <c r="D487" s="133"/>
      <c r="O487" s="55"/>
      <c r="V487" s="55"/>
      <c r="AC487" s="55"/>
      <c r="AJ487" s="55"/>
    </row>
    <row r="488">
      <c r="D488" s="133"/>
      <c r="O488" s="55"/>
      <c r="V488" s="55"/>
      <c r="AC488" s="55"/>
      <c r="AJ488" s="55"/>
    </row>
    <row r="489">
      <c r="D489" s="133"/>
      <c r="O489" s="55"/>
      <c r="V489" s="55"/>
      <c r="AC489" s="55"/>
      <c r="AJ489" s="55"/>
    </row>
    <row r="490">
      <c r="D490" s="133"/>
      <c r="O490" s="55"/>
      <c r="V490" s="55"/>
      <c r="AC490" s="55"/>
      <c r="AJ490" s="55"/>
    </row>
    <row r="491">
      <c r="D491" s="133"/>
      <c r="O491" s="55"/>
      <c r="V491" s="55"/>
      <c r="AC491" s="55"/>
      <c r="AJ491" s="55"/>
    </row>
    <row r="492">
      <c r="D492" s="133"/>
      <c r="O492" s="55"/>
      <c r="V492" s="55"/>
      <c r="AC492" s="55"/>
      <c r="AJ492" s="55"/>
    </row>
    <row r="493">
      <c r="D493" s="133"/>
      <c r="O493" s="55"/>
      <c r="V493" s="55"/>
      <c r="AC493" s="55"/>
      <c r="AJ493" s="55"/>
    </row>
    <row r="494">
      <c r="D494" s="133"/>
      <c r="O494" s="55"/>
      <c r="V494" s="55"/>
      <c r="AC494" s="55"/>
      <c r="AJ494" s="55"/>
    </row>
    <row r="495">
      <c r="D495" s="133"/>
      <c r="O495" s="55"/>
      <c r="V495" s="55"/>
      <c r="AC495" s="55"/>
      <c r="AJ495" s="55"/>
    </row>
    <row r="496">
      <c r="D496" s="133"/>
      <c r="O496" s="55"/>
      <c r="V496" s="55"/>
      <c r="AC496" s="55"/>
      <c r="AJ496" s="55"/>
    </row>
    <row r="497">
      <c r="D497" s="133"/>
      <c r="O497" s="55"/>
      <c r="V497" s="55"/>
      <c r="AC497" s="55"/>
      <c r="AJ497" s="55"/>
    </row>
    <row r="498">
      <c r="D498" s="133"/>
      <c r="O498" s="55"/>
      <c r="V498" s="55"/>
      <c r="AC498" s="55"/>
      <c r="AJ498" s="55"/>
    </row>
    <row r="499">
      <c r="D499" s="133"/>
      <c r="O499" s="55"/>
      <c r="V499" s="55"/>
      <c r="AC499" s="55"/>
      <c r="AJ499" s="55"/>
    </row>
    <row r="500">
      <c r="D500" s="133"/>
      <c r="O500" s="55"/>
      <c r="V500" s="55"/>
      <c r="AC500" s="55"/>
      <c r="AJ500" s="55"/>
    </row>
    <row r="501">
      <c r="D501" s="133"/>
      <c r="O501" s="55"/>
      <c r="V501" s="55"/>
      <c r="AC501" s="55"/>
      <c r="AJ501" s="55"/>
    </row>
    <row r="502">
      <c r="D502" s="133"/>
      <c r="O502" s="55"/>
      <c r="V502" s="55"/>
      <c r="AC502" s="55"/>
      <c r="AJ502" s="55"/>
    </row>
    <row r="503">
      <c r="D503" s="133"/>
      <c r="O503" s="55"/>
      <c r="V503" s="55"/>
      <c r="AC503" s="55"/>
      <c r="AJ503" s="55"/>
    </row>
    <row r="504">
      <c r="D504" s="133"/>
      <c r="O504" s="55"/>
      <c r="V504" s="55"/>
      <c r="AC504" s="55"/>
      <c r="AJ504" s="55"/>
    </row>
    <row r="505">
      <c r="D505" s="133"/>
      <c r="O505" s="55"/>
      <c r="V505" s="55"/>
      <c r="AC505" s="55"/>
      <c r="AJ505" s="55"/>
    </row>
    <row r="506">
      <c r="D506" s="133"/>
      <c r="O506" s="55"/>
      <c r="V506" s="55"/>
      <c r="AC506" s="55"/>
      <c r="AJ506" s="55"/>
    </row>
    <row r="507">
      <c r="D507" s="133"/>
      <c r="O507" s="55"/>
      <c r="V507" s="55"/>
      <c r="AC507" s="55"/>
      <c r="AJ507" s="55"/>
    </row>
    <row r="508">
      <c r="D508" s="133"/>
      <c r="O508" s="55"/>
      <c r="V508" s="55"/>
      <c r="AC508" s="55"/>
      <c r="AJ508" s="55"/>
    </row>
    <row r="509">
      <c r="D509" s="133"/>
      <c r="O509" s="55"/>
      <c r="V509" s="55"/>
      <c r="AC509" s="55"/>
      <c r="AJ509" s="55"/>
    </row>
    <row r="510">
      <c r="D510" s="133"/>
      <c r="O510" s="55"/>
      <c r="V510" s="55"/>
      <c r="AC510" s="55"/>
      <c r="AJ510" s="55"/>
    </row>
    <row r="511">
      <c r="D511" s="133"/>
      <c r="O511" s="55"/>
      <c r="V511" s="55"/>
      <c r="AC511" s="55"/>
      <c r="AJ511" s="55"/>
    </row>
    <row r="512">
      <c r="D512" s="133"/>
      <c r="O512" s="55"/>
      <c r="V512" s="55"/>
      <c r="AC512" s="55"/>
      <c r="AJ512" s="55"/>
    </row>
    <row r="513">
      <c r="D513" s="133"/>
      <c r="O513" s="55"/>
      <c r="V513" s="55"/>
      <c r="AC513" s="55"/>
      <c r="AJ513" s="55"/>
    </row>
    <row r="514">
      <c r="D514" s="133"/>
      <c r="O514" s="55"/>
      <c r="V514" s="55"/>
      <c r="AC514" s="55"/>
      <c r="AJ514" s="55"/>
    </row>
    <row r="515">
      <c r="D515" s="133"/>
      <c r="O515" s="55"/>
      <c r="V515" s="55"/>
      <c r="AC515" s="55"/>
      <c r="AJ515" s="55"/>
    </row>
    <row r="516">
      <c r="D516" s="133"/>
      <c r="O516" s="55"/>
      <c r="V516" s="55"/>
      <c r="AC516" s="55"/>
      <c r="AJ516" s="55"/>
    </row>
    <row r="517">
      <c r="D517" s="133"/>
      <c r="O517" s="55"/>
      <c r="V517" s="55"/>
      <c r="AC517" s="55"/>
      <c r="AJ517" s="55"/>
    </row>
    <row r="518">
      <c r="D518" s="133"/>
      <c r="O518" s="55"/>
      <c r="V518" s="55"/>
      <c r="AC518" s="55"/>
      <c r="AJ518" s="55"/>
    </row>
    <row r="519">
      <c r="D519" s="133"/>
      <c r="O519" s="55"/>
      <c r="V519" s="55"/>
      <c r="AC519" s="55"/>
      <c r="AJ519" s="55"/>
    </row>
    <row r="520">
      <c r="D520" s="133"/>
      <c r="O520" s="55"/>
      <c r="V520" s="55"/>
      <c r="AC520" s="55"/>
      <c r="AJ520" s="55"/>
    </row>
    <row r="521">
      <c r="D521" s="133"/>
      <c r="O521" s="55"/>
      <c r="V521" s="55"/>
      <c r="AC521" s="55"/>
      <c r="AJ521" s="55"/>
    </row>
    <row r="522">
      <c r="D522" s="133"/>
      <c r="O522" s="55"/>
      <c r="V522" s="55"/>
      <c r="AC522" s="55"/>
      <c r="AJ522" s="55"/>
    </row>
    <row r="523">
      <c r="D523" s="133"/>
      <c r="O523" s="55"/>
      <c r="V523" s="55"/>
      <c r="AC523" s="55"/>
      <c r="AJ523" s="55"/>
    </row>
    <row r="524">
      <c r="D524" s="133"/>
      <c r="O524" s="55"/>
      <c r="V524" s="55"/>
      <c r="AC524" s="55"/>
      <c r="AJ524" s="55"/>
    </row>
    <row r="525">
      <c r="D525" s="133"/>
      <c r="O525" s="55"/>
      <c r="V525" s="55"/>
      <c r="AC525" s="55"/>
      <c r="AJ525" s="55"/>
    </row>
    <row r="526">
      <c r="D526" s="133"/>
      <c r="O526" s="55"/>
      <c r="V526" s="55"/>
      <c r="AC526" s="55"/>
      <c r="AJ526" s="55"/>
    </row>
    <row r="527">
      <c r="D527" s="133"/>
      <c r="O527" s="55"/>
      <c r="V527" s="55"/>
      <c r="AC527" s="55"/>
      <c r="AJ527" s="55"/>
    </row>
    <row r="528">
      <c r="D528" s="133"/>
      <c r="O528" s="55"/>
      <c r="V528" s="55"/>
      <c r="AC528" s="55"/>
      <c r="AJ528" s="55"/>
    </row>
    <row r="529">
      <c r="D529" s="133"/>
      <c r="O529" s="55"/>
      <c r="V529" s="55"/>
      <c r="AC529" s="55"/>
      <c r="AJ529" s="55"/>
    </row>
    <row r="530">
      <c r="D530" s="133"/>
      <c r="O530" s="55"/>
      <c r="V530" s="55"/>
      <c r="AC530" s="55"/>
      <c r="AJ530" s="55"/>
    </row>
    <row r="531">
      <c r="D531" s="133"/>
      <c r="O531" s="55"/>
      <c r="V531" s="55"/>
      <c r="AC531" s="55"/>
      <c r="AJ531" s="55"/>
    </row>
    <row r="532">
      <c r="D532" s="133"/>
      <c r="O532" s="55"/>
      <c r="V532" s="55"/>
      <c r="AC532" s="55"/>
      <c r="AJ532" s="55"/>
    </row>
    <row r="533">
      <c r="D533" s="133"/>
      <c r="O533" s="55"/>
      <c r="V533" s="55"/>
      <c r="AC533" s="55"/>
      <c r="AJ533" s="55"/>
    </row>
    <row r="534">
      <c r="D534" s="133"/>
      <c r="O534" s="55"/>
      <c r="V534" s="55"/>
      <c r="AC534" s="55"/>
      <c r="AJ534" s="55"/>
    </row>
    <row r="535">
      <c r="D535" s="133"/>
      <c r="O535" s="55"/>
      <c r="V535" s="55"/>
      <c r="AC535" s="55"/>
      <c r="AJ535" s="55"/>
    </row>
    <row r="536">
      <c r="D536" s="133"/>
      <c r="O536" s="55"/>
      <c r="V536" s="55"/>
      <c r="AC536" s="55"/>
      <c r="AJ536" s="55"/>
    </row>
    <row r="537">
      <c r="D537" s="133"/>
      <c r="O537" s="55"/>
      <c r="V537" s="55"/>
      <c r="AC537" s="55"/>
      <c r="AJ537" s="55"/>
    </row>
    <row r="538">
      <c r="D538" s="133"/>
      <c r="O538" s="55"/>
      <c r="V538" s="55"/>
      <c r="AC538" s="55"/>
      <c r="AJ538" s="55"/>
    </row>
    <row r="539">
      <c r="D539" s="133"/>
      <c r="O539" s="55"/>
      <c r="V539" s="55"/>
      <c r="AC539" s="55"/>
      <c r="AJ539" s="55"/>
    </row>
    <row r="540">
      <c r="D540" s="133"/>
      <c r="O540" s="55"/>
      <c r="V540" s="55"/>
      <c r="AC540" s="55"/>
      <c r="AJ540" s="55"/>
    </row>
    <row r="541">
      <c r="D541" s="133"/>
      <c r="O541" s="55"/>
      <c r="V541" s="55"/>
      <c r="AC541" s="55"/>
      <c r="AJ541" s="55"/>
    </row>
    <row r="542">
      <c r="D542" s="133"/>
      <c r="O542" s="55"/>
      <c r="V542" s="55"/>
      <c r="AC542" s="55"/>
      <c r="AJ542" s="55"/>
    </row>
    <row r="543">
      <c r="D543" s="133"/>
      <c r="O543" s="55"/>
      <c r="V543" s="55"/>
      <c r="AC543" s="55"/>
      <c r="AJ543" s="55"/>
    </row>
    <row r="544">
      <c r="D544" s="133"/>
      <c r="O544" s="55"/>
      <c r="V544" s="55"/>
      <c r="AC544" s="55"/>
      <c r="AJ544" s="55"/>
    </row>
    <row r="545">
      <c r="D545" s="133"/>
      <c r="O545" s="55"/>
      <c r="V545" s="55"/>
      <c r="AC545" s="55"/>
      <c r="AJ545" s="55"/>
    </row>
    <row r="546">
      <c r="D546" s="133"/>
      <c r="O546" s="55"/>
      <c r="V546" s="55"/>
      <c r="AC546" s="55"/>
      <c r="AJ546" s="55"/>
    </row>
    <row r="547">
      <c r="D547" s="133"/>
      <c r="O547" s="55"/>
      <c r="V547" s="55"/>
      <c r="AC547" s="55"/>
      <c r="AJ547" s="55"/>
    </row>
    <row r="548">
      <c r="D548" s="133"/>
      <c r="O548" s="55"/>
      <c r="V548" s="55"/>
      <c r="AC548" s="55"/>
      <c r="AJ548" s="55"/>
    </row>
    <row r="549">
      <c r="D549" s="133"/>
      <c r="O549" s="55"/>
      <c r="V549" s="55"/>
      <c r="AC549" s="55"/>
      <c r="AJ549" s="55"/>
    </row>
    <row r="550">
      <c r="D550" s="133"/>
      <c r="O550" s="55"/>
      <c r="V550" s="55"/>
      <c r="AC550" s="55"/>
      <c r="AJ550" s="55"/>
    </row>
    <row r="551">
      <c r="D551" s="133"/>
      <c r="O551" s="55"/>
      <c r="V551" s="55"/>
      <c r="AC551" s="55"/>
      <c r="AJ551" s="55"/>
    </row>
    <row r="552">
      <c r="D552" s="133"/>
      <c r="O552" s="55"/>
      <c r="V552" s="55"/>
      <c r="AC552" s="55"/>
      <c r="AJ552" s="55"/>
    </row>
    <row r="553">
      <c r="D553" s="133"/>
      <c r="O553" s="55"/>
      <c r="V553" s="55"/>
      <c r="AC553" s="55"/>
      <c r="AJ553" s="55"/>
    </row>
    <row r="554">
      <c r="D554" s="133"/>
      <c r="O554" s="55"/>
      <c r="V554" s="55"/>
      <c r="AC554" s="55"/>
      <c r="AJ554" s="55"/>
    </row>
    <row r="555">
      <c r="D555" s="133"/>
      <c r="O555" s="55"/>
      <c r="V555" s="55"/>
      <c r="AC555" s="55"/>
      <c r="AJ555" s="55"/>
    </row>
    <row r="556">
      <c r="D556" s="133"/>
      <c r="O556" s="55"/>
      <c r="V556" s="55"/>
      <c r="AC556" s="55"/>
      <c r="AJ556" s="55"/>
    </row>
    <row r="557">
      <c r="D557" s="133"/>
      <c r="O557" s="55"/>
      <c r="V557" s="55"/>
      <c r="AC557" s="55"/>
      <c r="AJ557" s="55"/>
    </row>
    <row r="558">
      <c r="D558" s="133"/>
      <c r="O558" s="55"/>
      <c r="V558" s="55"/>
      <c r="AC558" s="55"/>
      <c r="AJ558" s="55"/>
    </row>
    <row r="559">
      <c r="D559" s="133"/>
      <c r="O559" s="55"/>
      <c r="V559" s="55"/>
      <c r="AC559" s="55"/>
      <c r="AJ559" s="55"/>
    </row>
    <row r="560">
      <c r="D560" s="133"/>
      <c r="O560" s="55"/>
      <c r="V560" s="55"/>
      <c r="AC560" s="55"/>
      <c r="AJ560" s="55"/>
    </row>
    <row r="561">
      <c r="D561" s="133"/>
      <c r="O561" s="55"/>
      <c r="V561" s="55"/>
      <c r="AC561" s="55"/>
      <c r="AJ561" s="55"/>
    </row>
    <row r="562">
      <c r="D562" s="133"/>
      <c r="O562" s="55"/>
      <c r="V562" s="55"/>
      <c r="AC562" s="55"/>
      <c r="AJ562" s="55"/>
    </row>
    <row r="563">
      <c r="D563" s="133"/>
      <c r="O563" s="55"/>
      <c r="V563" s="55"/>
      <c r="AC563" s="55"/>
      <c r="AJ563" s="55"/>
    </row>
    <row r="564">
      <c r="D564" s="133"/>
      <c r="O564" s="55"/>
      <c r="V564" s="55"/>
      <c r="AC564" s="55"/>
      <c r="AJ564" s="55"/>
    </row>
    <row r="565">
      <c r="D565" s="133"/>
      <c r="O565" s="55"/>
      <c r="V565" s="55"/>
      <c r="AC565" s="55"/>
      <c r="AJ565" s="55"/>
    </row>
    <row r="566">
      <c r="D566" s="133"/>
      <c r="O566" s="55"/>
      <c r="V566" s="55"/>
      <c r="AC566" s="55"/>
      <c r="AJ566" s="55"/>
    </row>
    <row r="567">
      <c r="D567" s="133"/>
      <c r="O567" s="55"/>
      <c r="V567" s="55"/>
      <c r="AC567" s="55"/>
      <c r="AJ567" s="55"/>
    </row>
    <row r="568">
      <c r="D568" s="133"/>
      <c r="O568" s="55"/>
      <c r="V568" s="55"/>
      <c r="AC568" s="55"/>
      <c r="AJ568" s="55"/>
    </row>
    <row r="569">
      <c r="D569" s="133"/>
      <c r="O569" s="55"/>
      <c r="V569" s="55"/>
      <c r="AC569" s="55"/>
      <c r="AJ569" s="55"/>
    </row>
    <row r="570">
      <c r="D570" s="133"/>
      <c r="O570" s="55"/>
      <c r="V570" s="55"/>
      <c r="AC570" s="55"/>
      <c r="AJ570" s="55"/>
    </row>
    <row r="571">
      <c r="D571" s="133"/>
      <c r="O571" s="55"/>
      <c r="V571" s="55"/>
      <c r="AC571" s="55"/>
      <c r="AJ571" s="55"/>
    </row>
    <row r="572">
      <c r="D572" s="133"/>
      <c r="O572" s="55"/>
      <c r="V572" s="55"/>
      <c r="AC572" s="55"/>
      <c r="AJ572" s="55"/>
    </row>
    <row r="573">
      <c r="D573" s="133"/>
      <c r="O573" s="55"/>
      <c r="V573" s="55"/>
      <c r="AC573" s="55"/>
      <c r="AJ573" s="55"/>
    </row>
    <row r="574">
      <c r="D574" s="133"/>
      <c r="O574" s="55"/>
      <c r="V574" s="55"/>
      <c r="AC574" s="55"/>
      <c r="AJ574" s="55"/>
    </row>
    <row r="575">
      <c r="D575" s="133"/>
      <c r="O575" s="55"/>
      <c r="V575" s="55"/>
      <c r="AC575" s="55"/>
      <c r="AJ575" s="55"/>
    </row>
    <row r="576">
      <c r="D576" s="133"/>
      <c r="O576" s="55"/>
      <c r="V576" s="55"/>
      <c r="AC576" s="55"/>
      <c r="AJ576" s="55"/>
    </row>
    <row r="577">
      <c r="D577" s="133"/>
      <c r="O577" s="55"/>
      <c r="V577" s="55"/>
      <c r="AC577" s="55"/>
      <c r="AJ577" s="55"/>
    </row>
    <row r="578">
      <c r="D578" s="133"/>
      <c r="O578" s="55"/>
      <c r="V578" s="55"/>
      <c r="AC578" s="55"/>
      <c r="AJ578" s="55"/>
    </row>
    <row r="579">
      <c r="D579" s="133"/>
      <c r="O579" s="55"/>
      <c r="V579" s="55"/>
      <c r="AC579" s="55"/>
      <c r="AJ579" s="55"/>
    </row>
    <row r="580">
      <c r="D580" s="133"/>
      <c r="O580" s="55"/>
      <c r="V580" s="55"/>
      <c r="AC580" s="55"/>
      <c r="AJ580" s="55"/>
    </row>
    <row r="581">
      <c r="D581" s="133"/>
      <c r="O581" s="55"/>
      <c r="V581" s="55"/>
      <c r="AC581" s="55"/>
      <c r="AJ581" s="55"/>
    </row>
    <row r="582">
      <c r="D582" s="133"/>
      <c r="O582" s="55"/>
      <c r="V582" s="55"/>
      <c r="AC582" s="55"/>
      <c r="AJ582" s="55"/>
    </row>
    <row r="583">
      <c r="D583" s="133"/>
      <c r="O583" s="55"/>
      <c r="V583" s="55"/>
      <c r="AC583" s="55"/>
      <c r="AJ583" s="55"/>
    </row>
    <row r="584">
      <c r="D584" s="133"/>
      <c r="O584" s="55"/>
      <c r="V584" s="55"/>
      <c r="AC584" s="55"/>
      <c r="AJ584" s="55"/>
    </row>
    <row r="585">
      <c r="D585" s="133"/>
      <c r="O585" s="55"/>
      <c r="V585" s="55"/>
      <c r="AC585" s="55"/>
      <c r="AJ585" s="55"/>
    </row>
    <row r="586">
      <c r="D586" s="133"/>
      <c r="O586" s="55"/>
      <c r="V586" s="55"/>
      <c r="AC586" s="55"/>
      <c r="AJ586" s="55"/>
    </row>
    <row r="587">
      <c r="D587" s="133"/>
      <c r="O587" s="55"/>
      <c r="V587" s="55"/>
      <c r="AC587" s="55"/>
      <c r="AJ587" s="55"/>
    </row>
    <row r="588">
      <c r="D588" s="133"/>
      <c r="O588" s="55"/>
      <c r="V588" s="55"/>
      <c r="AC588" s="55"/>
      <c r="AJ588" s="55"/>
    </row>
    <row r="589">
      <c r="D589" s="133"/>
      <c r="O589" s="55"/>
      <c r="V589" s="55"/>
      <c r="AC589" s="55"/>
      <c r="AJ589" s="55"/>
    </row>
    <row r="590">
      <c r="D590" s="133"/>
      <c r="O590" s="55"/>
      <c r="V590" s="55"/>
      <c r="AC590" s="55"/>
      <c r="AJ590" s="55"/>
    </row>
    <row r="591">
      <c r="D591" s="133"/>
      <c r="O591" s="55"/>
      <c r="V591" s="55"/>
      <c r="AC591" s="55"/>
      <c r="AJ591" s="55"/>
    </row>
    <row r="592">
      <c r="D592" s="133"/>
      <c r="O592" s="55"/>
      <c r="V592" s="55"/>
      <c r="AC592" s="55"/>
      <c r="AJ592" s="55"/>
    </row>
    <row r="593">
      <c r="D593" s="133"/>
      <c r="O593" s="55"/>
      <c r="V593" s="55"/>
      <c r="AC593" s="55"/>
      <c r="AJ593" s="55"/>
    </row>
    <row r="594">
      <c r="D594" s="133"/>
      <c r="O594" s="55"/>
      <c r="V594" s="55"/>
      <c r="AC594" s="55"/>
      <c r="AJ594" s="55"/>
    </row>
    <row r="595">
      <c r="D595" s="133"/>
      <c r="O595" s="55"/>
      <c r="V595" s="55"/>
      <c r="AC595" s="55"/>
      <c r="AJ595" s="55"/>
    </row>
    <row r="596">
      <c r="D596" s="133"/>
      <c r="O596" s="55"/>
      <c r="V596" s="55"/>
      <c r="AC596" s="55"/>
      <c r="AJ596" s="55"/>
    </row>
    <row r="597">
      <c r="D597" s="133"/>
      <c r="O597" s="55"/>
      <c r="V597" s="55"/>
      <c r="AC597" s="55"/>
      <c r="AJ597" s="55"/>
    </row>
    <row r="598">
      <c r="D598" s="133"/>
      <c r="O598" s="55"/>
      <c r="V598" s="55"/>
      <c r="AC598" s="55"/>
      <c r="AJ598" s="55"/>
    </row>
    <row r="599">
      <c r="D599" s="133"/>
      <c r="O599" s="55"/>
      <c r="V599" s="55"/>
      <c r="AC599" s="55"/>
      <c r="AJ599" s="55"/>
    </row>
    <row r="600">
      <c r="D600" s="133"/>
      <c r="O600" s="55"/>
      <c r="V600" s="55"/>
      <c r="AC600" s="55"/>
      <c r="AJ600" s="55"/>
    </row>
    <row r="601">
      <c r="D601" s="133"/>
      <c r="O601" s="55"/>
      <c r="V601" s="55"/>
      <c r="AC601" s="55"/>
      <c r="AJ601" s="55"/>
    </row>
    <row r="602">
      <c r="D602" s="133"/>
      <c r="O602" s="55"/>
      <c r="V602" s="55"/>
      <c r="AC602" s="55"/>
      <c r="AJ602" s="55"/>
    </row>
    <row r="603">
      <c r="D603" s="133"/>
      <c r="O603" s="55"/>
      <c r="V603" s="55"/>
      <c r="AC603" s="55"/>
      <c r="AJ603" s="55"/>
    </row>
    <row r="604">
      <c r="D604" s="133"/>
      <c r="O604" s="55"/>
      <c r="V604" s="55"/>
      <c r="AC604" s="55"/>
      <c r="AJ604" s="55"/>
    </row>
    <row r="605">
      <c r="D605" s="133"/>
      <c r="O605" s="55"/>
      <c r="V605" s="55"/>
      <c r="AC605" s="55"/>
      <c r="AJ605" s="55"/>
    </row>
    <row r="606">
      <c r="D606" s="133"/>
      <c r="O606" s="55"/>
      <c r="V606" s="55"/>
      <c r="AC606" s="55"/>
      <c r="AJ606" s="55"/>
    </row>
    <row r="607">
      <c r="D607" s="133"/>
      <c r="O607" s="55"/>
      <c r="V607" s="55"/>
      <c r="AC607" s="55"/>
      <c r="AJ607" s="55"/>
    </row>
    <row r="608">
      <c r="D608" s="133"/>
      <c r="O608" s="55"/>
      <c r="V608" s="55"/>
      <c r="AC608" s="55"/>
      <c r="AJ608" s="55"/>
    </row>
    <row r="609">
      <c r="D609" s="133"/>
      <c r="O609" s="55"/>
      <c r="V609" s="55"/>
      <c r="AC609" s="55"/>
      <c r="AJ609" s="55"/>
    </row>
    <row r="610">
      <c r="D610" s="133"/>
      <c r="O610" s="55"/>
      <c r="V610" s="55"/>
      <c r="AC610" s="55"/>
      <c r="AJ610" s="55"/>
    </row>
    <row r="611">
      <c r="D611" s="133"/>
      <c r="O611" s="55"/>
      <c r="V611" s="55"/>
      <c r="AC611" s="55"/>
      <c r="AJ611" s="55"/>
    </row>
    <row r="612">
      <c r="D612" s="133"/>
      <c r="O612" s="55"/>
      <c r="V612" s="55"/>
      <c r="AC612" s="55"/>
      <c r="AJ612" s="55"/>
    </row>
    <row r="613">
      <c r="D613" s="133"/>
      <c r="O613" s="55"/>
      <c r="V613" s="55"/>
      <c r="AC613" s="55"/>
      <c r="AJ613" s="55"/>
    </row>
    <row r="614">
      <c r="D614" s="133"/>
      <c r="O614" s="55"/>
      <c r="V614" s="55"/>
      <c r="AC614" s="55"/>
      <c r="AJ614" s="55"/>
    </row>
    <row r="615">
      <c r="D615" s="133"/>
      <c r="O615" s="55"/>
      <c r="V615" s="55"/>
      <c r="AC615" s="55"/>
      <c r="AJ615" s="55"/>
    </row>
    <row r="616">
      <c r="D616" s="133"/>
      <c r="O616" s="55"/>
      <c r="V616" s="55"/>
      <c r="AC616" s="55"/>
      <c r="AJ616" s="55"/>
    </row>
    <row r="617">
      <c r="D617" s="133"/>
      <c r="O617" s="55"/>
      <c r="V617" s="55"/>
      <c r="AC617" s="55"/>
      <c r="AJ617" s="55"/>
    </row>
    <row r="618">
      <c r="D618" s="133"/>
      <c r="O618" s="55"/>
      <c r="V618" s="55"/>
      <c r="AC618" s="55"/>
      <c r="AJ618" s="55"/>
    </row>
    <row r="619">
      <c r="D619" s="133"/>
      <c r="O619" s="55"/>
      <c r="V619" s="55"/>
      <c r="AC619" s="55"/>
      <c r="AJ619" s="55"/>
    </row>
    <row r="620">
      <c r="D620" s="133"/>
      <c r="O620" s="55"/>
      <c r="V620" s="55"/>
      <c r="AC620" s="55"/>
      <c r="AJ620" s="55"/>
    </row>
    <row r="621">
      <c r="D621" s="133"/>
      <c r="O621" s="55"/>
      <c r="V621" s="55"/>
      <c r="AC621" s="55"/>
      <c r="AJ621" s="55"/>
    </row>
    <row r="622">
      <c r="D622" s="133"/>
      <c r="O622" s="55"/>
      <c r="V622" s="55"/>
      <c r="AC622" s="55"/>
      <c r="AJ622" s="55"/>
    </row>
    <row r="623">
      <c r="D623" s="133"/>
      <c r="O623" s="55"/>
      <c r="V623" s="55"/>
      <c r="AC623" s="55"/>
      <c r="AJ623" s="55"/>
    </row>
    <row r="624">
      <c r="D624" s="133"/>
      <c r="O624" s="55"/>
      <c r="V624" s="55"/>
      <c r="AC624" s="55"/>
      <c r="AJ624" s="55"/>
    </row>
    <row r="625">
      <c r="D625" s="133"/>
      <c r="O625" s="55"/>
      <c r="V625" s="55"/>
      <c r="AC625" s="55"/>
      <c r="AJ625" s="55"/>
    </row>
    <row r="626">
      <c r="D626" s="133"/>
      <c r="O626" s="55"/>
      <c r="V626" s="55"/>
      <c r="AC626" s="55"/>
      <c r="AJ626" s="55"/>
    </row>
    <row r="627">
      <c r="D627" s="133"/>
      <c r="O627" s="55"/>
      <c r="V627" s="55"/>
      <c r="AC627" s="55"/>
      <c r="AJ627" s="55"/>
    </row>
    <row r="628">
      <c r="D628" s="133"/>
      <c r="O628" s="55"/>
      <c r="V628" s="55"/>
      <c r="AC628" s="55"/>
      <c r="AJ628" s="55"/>
    </row>
    <row r="629">
      <c r="D629" s="133"/>
      <c r="O629" s="55"/>
      <c r="V629" s="55"/>
      <c r="AC629" s="55"/>
      <c r="AJ629" s="55"/>
    </row>
    <row r="630">
      <c r="D630" s="133"/>
      <c r="O630" s="55"/>
      <c r="V630" s="55"/>
      <c r="AC630" s="55"/>
      <c r="AJ630" s="55"/>
    </row>
    <row r="631">
      <c r="D631" s="133"/>
      <c r="O631" s="55"/>
      <c r="V631" s="55"/>
      <c r="AC631" s="55"/>
      <c r="AJ631" s="55"/>
    </row>
    <row r="632">
      <c r="D632" s="133"/>
      <c r="O632" s="55"/>
      <c r="V632" s="55"/>
      <c r="AC632" s="55"/>
      <c r="AJ632" s="55"/>
    </row>
    <row r="633">
      <c r="D633" s="133"/>
      <c r="O633" s="55"/>
      <c r="V633" s="55"/>
      <c r="AC633" s="55"/>
      <c r="AJ633" s="55"/>
    </row>
    <row r="634">
      <c r="D634" s="133"/>
      <c r="O634" s="55"/>
      <c r="V634" s="55"/>
      <c r="AC634" s="55"/>
      <c r="AJ634" s="55"/>
    </row>
    <row r="635">
      <c r="D635" s="133"/>
      <c r="O635" s="55"/>
      <c r="V635" s="55"/>
      <c r="AC635" s="55"/>
      <c r="AJ635" s="55"/>
    </row>
    <row r="636">
      <c r="D636" s="133"/>
      <c r="O636" s="55"/>
      <c r="V636" s="55"/>
      <c r="AC636" s="55"/>
      <c r="AJ636" s="55"/>
    </row>
    <row r="637">
      <c r="D637" s="133"/>
      <c r="O637" s="55"/>
      <c r="V637" s="55"/>
      <c r="AC637" s="55"/>
      <c r="AJ637" s="55"/>
    </row>
    <row r="638">
      <c r="D638" s="133"/>
      <c r="O638" s="55"/>
      <c r="V638" s="55"/>
      <c r="AC638" s="55"/>
      <c r="AJ638" s="55"/>
    </row>
    <row r="639">
      <c r="D639" s="133"/>
      <c r="O639" s="55"/>
      <c r="V639" s="55"/>
      <c r="AC639" s="55"/>
      <c r="AJ639" s="55"/>
    </row>
    <row r="640">
      <c r="D640" s="133"/>
      <c r="O640" s="55"/>
      <c r="V640" s="55"/>
      <c r="AC640" s="55"/>
      <c r="AJ640" s="55"/>
    </row>
    <row r="641">
      <c r="D641" s="133"/>
      <c r="O641" s="55"/>
      <c r="V641" s="55"/>
      <c r="AC641" s="55"/>
      <c r="AJ641" s="55"/>
    </row>
    <row r="642">
      <c r="D642" s="133"/>
      <c r="O642" s="55"/>
      <c r="V642" s="55"/>
      <c r="AC642" s="55"/>
      <c r="AJ642" s="55"/>
    </row>
    <row r="643">
      <c r="D643" s="133"/>
      <c r="O643" s="55"/>
      <c r="V643" s="55"/>
      <c r="AC643" s="55"/>
      <c r="AJ643" s="55"/>
    </row>
    <row r="644">
      <c r="D644" s="133"/>
      <c r="O644" s="55"/>
      <c r="V644" s="55"/>
      <c r="AC644" s="55"/>
      <c r="AJ644" s="55"/>
    </row>
    <row r="645">
      <c r="D645" s="133"/>
      <c r="O645" s="55"/>
      <c r="V645" s="55"/>
      <c r="AC645" s="55"/>
      <c r="AJ645" s="55"/>
    </row>
    <row r="646">
      <c r="D646" s="133"/>
      <c r="O646" s="55"/>
      <c r="V646" s="55"/>
      <c r="AC646" s="55"/>
      <c r="AJ646" s="55"/>
    </row>
    <row r="647">
      <c r="D647" s="133"/>
      <c r="O647" s="55"/>
      <c r="V647" s="55"/>
      <c r="AC647" s="55"/>
      <c r="AJ647" s="55"/>
    </row>
    <row r="648">
      <c r="D648" s="133"/>
      <c r="O648" s="55"/>
      <c r="V648" s="55"/>
      <c r="AC648" s="55"/>
      <c r="AJ648" s="55"/>
    </row>
    <row r="649">
      <c r="D649" s="133"/>
      <c r="O649" s="55"/>
      <c r="V649" s="55"/>
      <c r="AC649" s="55"/>
      <c r="AJ649" s="55"/>
    </row>
    <row r="650">
      <c r="D650" s="133"/>
      <c r="O650" s="55"/>
      <c r="V650" s="55"/>
      <c r="AC650" s="55"/>
      <c r="AJ650" s="55"/>
    </row>
    <row r="651">
      <c r="D651" s="133"/>
      <c r="O651" s="55"/>
      <c r="V651" s="55"/>
      <c r="AC651" s="55"/>
      <c r="AJ651" s="55"/>
    </row>
    <row r="652">
      <c r="D652" s="133"/>
      <c r="O652" s="55"/>
      <c r="V652" s="55"/>
      <c r="AC652" s="55"/>
      <c r="AJ652" s="55"/>
    </row>
    <row r="653">
      <c r="D653" s="133"/>
      <c r="O653" s="55"/>
      <c r="V653" s="55"/>
      <c r="AC653" s="55"/>
      <c r="AJ653" s="55"/>
    </row>
    <row r="654">
      <c r="D654" s="133"/>
      <c r="O654" s="55"/>
      <c r="V654" s="55"/>
      <c r="AC654" s="55"/>
      <c r="AJ654" s="55"/>
    </row>
    <row r="655">
      <c r="D655" s="133"/>
      <c r="O655" s="55"/>
      <c r="V655" s="55"/>
      <c r="AC655" s="55"/>
      <c r="AJ655" s="55"/>
    </row>
    <row r="656">
      <c r="D656" s="133"/>
      <c r="O656" s="55"/>
      <c r="V656" s="55"/>
      <c r="AC656" s="55"/>
      <c r="AJ656" s="55"/>
    </row>
    <row r="657">
      <c r="D657" s="133"/>
      <c r="O657" s="55"/>
      <c r="V657" s="55"/>
      <c r="AC657" s="55"/>
      <c r="AJ657" s="55"/>
    </row>
    <row r="658">
      <c r="D658" s="133"/>
      <c r="O658" s="55"/>
      <c r="V658" s="55"/>
      <c r="AC658" s="55"/>
      <c r="AJ658" s="55"/>
    </row>
    <row r="659">
      <c r="D659" s="133"/>
      <c r="O659" s="55"/>
      <c r="V659" s="55"/>
      <c r="AC659" s="55"/>
      <c r="AJ659" s="55"/>
    </row>
    <row r="660">
      <c r="D660" s="133"/>
      <c r="O660" s="55"/>
      <c r="V660" s="55"/>
      <c r="AC660" s="55"/>
      <c r="AJ660" s="55"/>
    </row>
    <row r="661">
      <c r="D661" s="133"/>
      <c r="O661" s="55"/>
      <c r="V661" s="55"/>
      <c r="AC661" s="55"/>
      <c r="AJ661" s="55"/>
    </row>
    <row r="662">
      <c r="D662" s="133"/>
      <c r="O662" s="55"/>
      <c r="V662" s="55"/>
      <c r="AC662" s="55"/>
      <c r="AJ662" s="55"/>
    </row>
    <row r="663">
      <c r="D663" s="133"/>
      <c r="O663" s="55"/>
      <c r="V663" s="55"/>
      <c r="AC663" s="55"/>
      <c r="AJ663" s="55"/>
    </row>
    <row r="664">
      <c r="D664" s="133"/>
      <c r="O664" s="55"/>
      <c r="V664" s="55"/>
      <c r="AC664" s="55"/>
      <c r="AJ664" s="55"/>
    </row>
    <row r="665">
      <c r="D665" s="133"/>
      <c r="O665" s="55"/>
      <c r="V665" s="55"/>
      <c r="AC665" s="55"/>
      <c r="AJ665" s="55"/>
    </row>
    <row r="666">
      <c r="D666" s="133"/>
      <c r="O666" s="55"/>
      <c r="V666" s="55"/>
      <c r="AC666" s="55"/>
      <c r="AJ666" s="55"/>
    </row>
    <row r="667">
      <c r="D667" s="133"/>
      <c r="O667" s="55"/>
      <c r="V667" s="55"/>
      <c r="AC667" s="55"/>
      <c r="AJ667" s="55"/>
    </row>
    <row r="668">
      <c r="D668" s="133"/>
      <c r="O668" s="55"/>
      <c r="V668" s="55"/>
      <c r="AC668" s="55"/>
      <c r="AJ668" s="55"/>
    </row>
    <row r="669">
      <c r="D669" s="133"/>
      <c r="O669" s="55"/>
      <c r="V669" s="55"/>
      <c r="AC669" s="55"/>
      <c r="AJ669" s="55"/>
    </row>
    <row r="670">
      <c r="D670" s="133"/>
      <c r="O670" s="55"/>
      <c r="V670" s="55"/>
      <c r="AC670" s="55"/>
      <c r="AJ670" s="55"/>
    </row>
    <row r="671">
      <c r="D671" s="133"/>
      <c r="O671" s="55"/>
      <c r="V671" s="55"/>
      <c r="AC671" s="55"/>
      <c r="AJ671" s="55"/>
    </row>
    <row r="672">
      <c r="D672" s="133"/>
      <c r="O672" s="55"/>
      <c r="V672" s="55"/>
      <c r="AC672" s="55"/>
      <c r="AJ672" s="55"/>
    </row>
    <row r="673">
      <c r="D673" s="133"/>
      <c r="O673" s="55"/>
      <c r="V673" s="55"/>
      <c r="AC673" s="55"/>
      <c r="AJ673" s="55"/>
    </row>
    <row r="674">
      <c r="D674" s="133"/>
      <c r="O674" s="55"/>
      <c r="V674" s="55"/>
      <c r="AC674" s="55"/>
      <c r="AJ674" s="55"/>
    </row>
    <row r="675">
      <c r="D675" s="133"/>
      <c r="O675" s="55"/>
      <c r="V675" s="55"/>
      <c r="AC675" s="55"/>
      <c r="AJ675" s="55"/>
    </row>
    <row r="676">
      <c r="D676" s="133"/>
      <c r="O676" s="55"/>
      <c r="V676" s="55"/>
      <c r="AC676" s="55"/>
      <c r="AJ676" s="55"/>
    </row>
    <row r="677">
      <c r="D677" s="133"/>
      <c r="O677" s="55"/>
      <c r="V677" s="55"/>
      <c r="AC677" s="55"/>
      <c r="AJ677" s="55"/>
    </row>
    <row r="678">
      <c r="D678" s="133"/>
      <c r="O678" s="55"/>
      <c r="V678" s="55"/>
      <c r="AC678" s="55"/>
      <c r="AJ678" s="55"/>
    </row>
    <row r="679">
      <c r="D679" s="133"/>
      <c r="O679" s="55"/>
      <c r="V679" s="55"/>
      <c r="AC679" s="55"/>
      <c r="AJ679" s="55"/>
    </row>
    <row r="680">
      <c r="D680" s="133"/>
      <c r="O680" s="55"/>
      <c r="V680" s="55"/>
      <c r="AC680" s="55"/>
      <c r="AJ680" s="55"/>
    </row>
    <row r="681">
      <c r="D681" s="133"/>
      <c r="O681" s="55"/>
      <c r="V681" s="55"/>
      <c r="AC681" s="55"/>
      <c r="AJ681" s="55"/>
    </row>
    <row r="682">
      <c r="D682" s="133"/>
      <c r="O682" s="55"/>
      <c r="V682" s="55"/>
      <c r="AC682" s="55"/>
      <c r="AJ682" s="55"/>
    </row>
    <row r="683">
      <c r="D683" s="133"/>
      <c r="O683" s="55"/>
      <c r="V683" s="55"/>
      <c r="AC683" s="55"/>
      <c r="AJ683" s="55"/>
    </row>
    <row r="684">
      <c r="D684" s="133"/>
      <c r="O684" s="55"/>
      <c r="V684" s="55"/>
      <c r="AC684" s="55"/>
      <c r="AJ684" s="55"/>
    </row>
    <row r="685">
      <c r="D685" s="133"/>
      <c r="O685" s="55"/>
      <c r="V685" s="55"/>
      <c r="AC685" s="55"/>
      <c r="AJ685" s="55"/>
    </row>
    <row r="686">
      <c r="D686" s="133"/>
      <c r="O686" s="55"/>
      <c r="V686" s="55"/>
      <c r="AC686" s="55"/>
      <c r="AJ686" s="55"/>
    </row>
    <row r="687">
      <c r="D687" s="133"/>
      <c r="O687" s="55"/>
      <c r="V687" s="55"/>
      <c r="AC687" s="55"/>
      <c r="AJ687" s="55"/>
    </row>
    <row r="688">
      <c r="D688" s="133"/>
      <c r="O688" s="55"/>
      <c r="V688" s="55"/>
      <c r="AC688" s="55"/>
      <c r="AJ688" s="55"/>
    </row>
    <row r="689">
      <c r="D689" s="133"/>
      <c r="O689" s="55"/>
      <c r="V689" s="55"/>
      <c r="AC689" s="55"/>
      <c r="AJ689" s="55"/>
    </row>
    <row r="690">
      <c r="D690" s="133"/>
      <c r="O690" s="55"/>
      <c r="V690" s="55"/>
      <c r="AC690" s="55"/>
      <c r="AJ690" s="55"/>
    </row>
    <row r="691">
      <c r="D691" s="133"/>
      <c r="O691" s="55"/>
      <c r="V691" s="55"/>
      <c r="AC691" s="55"/>
      <c r="AJ691" s="55"/>
    </row>
    <row r="692">
      <c r="D692" s="133"/>
      <c r="O692" s="55"/>
      <c r="V692" s="55"/>
      <c r="AC692" s="55"/>
      <c r="AJ692" s="55"/>
    </row>
    <row r="693">
      <c r="D693" s="133"/>
      <c r="O693" s="55"/>
      <c r="V693" s="55"/>
      <c r="AC693" s="55"/>
      <c r="AJ693" s="55"/>
    </row>
    <row r="694">
      <c r="D694" s="133"/>
      <c r="O694" s="55"/>
      <c r="V694" s="55"/>
      <c r="AC694" s="55"/>
      <c r="AJ694" s="55"/>
    </row>
    <row r="695">
      <c r="D695" s="133"/>
      <c r="O695" s="55"/>
      <c r="V695" s="55"/>
      <c r="AC695" s="55"/>
      <c r="AJ695" s="55"/>
    </row>
    <row r="696">
      <c r="D696" s="133"/>
      <c r="O696" s="55"/>
      <c r="V696" s="55"/>
      <c r="AC696" s="55"/>
      <c r="AJ696" s="55"/>
    </row>
    <row r="697">
      <c r="D697" s="133"/>
      <c r="O697" s="55"/>
      <c r="V697" s="55"/>
      <c r="AC697" s="55"/>
      <c r="AJ697" s="55"/>
    </row>
    <row r="698">
      <c r="D698" s="133"/>
      <c r="O698" s="55"/>
      <c r="V698" s="55"/>
      <c r="AC698" s="55"/>
      <c r="AJ698" s="55"/>
    </row>
    <row r="699">
      <c r="D699" s="133"/>
      <c r="O699" s="55"/>
      <c r="V699" s="55"/>
      <c r="AC699" s="55"/>
      <c r="AJ699" s="55"/>
    </row>
    <row r="700">
      <c r="D700" s="133"/>
      <c r="O700" s="55"/>
      <c r="V700" s="55"/>
      <c r="AC700" s="55"/>
      <c r="AJ700" s="55"/>
    </row>
    <row r="701">
      <c r="D701" s="133"/>
      <c r="O701" s="55"/>
      <c r="V701" s="55"/>
      <c r="AC701" s="55"/>
      <c r="AJ701" s="55"/>
    </row>
    <row r="702">
      <c r="D702" s="133"/>
      <c r="O702" s="55"/>
      <c r="V702" s="55"/>
      <c r="AC702" s="55"/>
      <c r="AJ702" s="55"/>
    </row>
    <row r="703">
      <c r="D703" s="133"/>
      <c r="O703" s="55"/>
      <c r="V703" s="55"/>
      <c r="AC703" s="55"/>
      <c r="AJ703" s="55"/>
    </row>
    <row r="704">
      <c r="D704" s="133"/>
      <c r="O704" s="55"/>
      <c r="V704" s="55"/>
      <c r="AC704" s="55"/>
      <c r="AJ704" s="55"/>
    </row>
    <row r="705">
      <c r="D705" s="133"/>
      <c r="O705" s="55"/>
      <c r="V705" s="55"/>
      <c r="AC705" s="55"/>
      <c r="AJ705" s="55"/>
    </row>
    <row r="706">
      <c r="D706" s="133"/>
      <c r="O706" s="55"/>
      <c r="V706" s="55"/>
      <c r="AC706" s="55"/>
      <c r="AJ706" s="55"/>
    </row>
    <row r="707">
      <c r="D707" s="133"/>
      <c r="O707" s="55"/>
      <c r="V707" s="55"/>
      <c r="AC707" s="55"/>
      <c r="AJ707" s="55"/>
    </row>
    <row r="708">
      <c r="D708" s="133"/>
      <c r="O708" s="55"/>
      <c r="V708" s="55"/>
      <c r="AC708" s="55"/>
      <c r="AJ708" s="55"/>
    </row>
    <row r="709">
      <c r="D709" s="133"/>
      <c r="O709" s="55"/>
      <c r="V709" s="55"/>
      <c r="AC709" s="55"/>
      <c r="AJ709" s="55"/>
    </row>
    <row r="710">
      <c r="D710" s="133"/>
      <c r="O710" s="55"/>
      <c r="V710" s="55"/>
      <c r="AC710" s="55"/>
      <c r="AJ710" s="55"/>
    </row>
    <row r="711">
      <c r="D711" s="133"/>
      <c r="O711" s="55"/>
      <c r="V711" s="55"/>
      <c r="AC711" s="55"/>
      <c r="AJ711" s="55"/>
    </row>
    <row r="712">
      <c r="D712" s="133"/>
      <c r="O712" s="55"/>
      <c r="V712" s="55"/>
      <c r="AC712" s="55"/>
      <c r="AJ712" s="55"/>
    </row>
    <row r="713">
      <c r="D713" s="133"/>
      <c r="O713" s="55"/>
      <c r="V713" s="55"/>
      <c r="AC713" s="55"/>
      <c r="AJ713" s="55"/>
    </row>
    <row r="714">
      <c r="D714" s="133"/>
      <c r="O714" s="55"/>
      <c r="V714" s="55"/>
      <c r="AC714" s="55"/>
      <c r="AJ714" s="55"/>
    </row>
    <row r="715">
      <c r="D715" s="133"/>
      <c r="O715" s="55"/>
      <c r="V715" s="55"/>
      <c r="AC715" s="55"/>
      <c r="AJ715" s="55"/>
    </row>
    <row r="716">
      <c r="D716" s="133"/>
      <c r="O716" s="55"/>
      <c r="V716" s="55"/>
      <c r="AC716" s="55"/>
      <c r="AJ716" s="55"/>
    </row>
    <row r="717">
      <c r="D717" s="133"/>
      <c r="O717" s="55"/>
      <c r="V717" s="55"/>
      <c r="AC717" s="55"/>
      <c r="AJ717" s="55"/>
    </row>
    <row r="718">
      <c r="D718" s="133"/>
      <c r="O718" s="55"/>
      <c r="V718" s="55"/>
      <c r="AC718" s="55"/>
      <c r="AJ718" s="55"/>
    </row>
    <row r="719">
      <c r="D719" s="133"/>
      <c r="O719" s="55"/>
      <c r="V719" s="55"/>
      <c r="AC719" s="55"/>
      <c r="AJ719" s="55"/>
    </row>
    <row r="720">
      <c r="D720" s="133"/>
      <c r="O720" s="55"/>
      <c r="V720" s="55"/>
      <c r="AC720" s="55"/>
      <c r="AJ720" s="55"/>
    </row>
    <row r="721">
      <c r="D721" s="133"/>
      <c r="O721" s="55"/>
      <c r="V721" s="55"/>
      <c r="AC721" s="55"/>
      <c r="AJ721" s="55"/>
    </row>
    <row r="722">
      <c r="D722" s="133"/>
      <c r="O722" s="55"/>
      <c r="V722" s="55"/>
      <c r="AC722" s="55"/>
      <c r="AJ722" s="55"/>
    </row>
    <row r="723">
      <c r="D723" s="133"/>
      <c r="O723" s="55"/>
      <c r="V723" s="55"/>
      <c r="AC723" s="55"/>
      <c r="AJ723" s="55"/>
    </row>
    <row r="724">
      <c r="D724" s="133"/>
      <c r="O724" s="55"/>
      <c r="V724" s="55"/>
      <c r="AC724" s="55"/>
      <c r="AJ724" s="55"/>
    </row>
    <row r="725">
      <c r="D725" s="133"/>
      <c r="O725" s="55"/>
      <c r="V725" s="55"/>
      <c r="AC725" s="55"/>
      <c r="AJ725" s="55"/>
    </row>
    <row r="726">
      <c r="D726" s="133"/>
      <c r="O726" s="55"/>
      <c r="V726" s="55"/>
      <c r="AC726" s="55"/>
      <c r="AJ726" s="55"/>
    </row>
    <row r="727">
      <c r="D727" s="133"/>
      <c r="O727" s="55"/>
      <c r="V727" s="55"/>
      <c r="AC727" s="55"/>
      <c r="AJ727" s="55"/>
    </row>
    <row r="728">
      <c r="D728" s="133"/>
      <c r="O728" s="55"/>
      <c r="V728" s="55"/>
      <c r="AC728" s="55"/>
      <c r="AJ728" s="55"/>
    </row>
    <row r="729">
      <c r="D729" s="133"/>
      <c r="O729" s="55"/>
      <c r="V729" s="55"/>
      <c r="AC729" s="55"/>
      <c r="AJ729" s="55"/>
    </row>
    <row r="730">
      <c r="D730" s="133"/>
      <c r="O730" s="55"/>
      <c r="V730" s="55"/>
      <c r="AC730" s="55"/>
      <c r="AJ730" s="55"/>
    </row>
    <row r="731">
      <c r="D731" s="133"/>
      <c r="O731" s="55"/>
      <c r="V731" s="55"/>
      <c r="AC731" s="55"/>
      <c r="AJ731" s="55"/>
    </row>
    <row r="732">
      <c r="D732" s="133"/>
      <c r="O732" s="55"/>
      <c r="V732" s="55"/>
      <c r="AC732" s="55"/>
      <c r="AJ732" s="55"/>
    </row>
    <row r="733">
      <c r="D733" s="133"/>
      <c r="O733" s="55"/>
      <c r="V733" s="55"/>
      <c r="AC733" s="55"/>
      <c r="AJ733" s="55"/>
    </row>
    <row r="734">
      <c r="D734" s="133"/>
      <c r="O734" s="55"/>
      <c r="V734" s="55"/>
      <c r="AC734" s="55"/>
      <c r="AJ734" s="55"/>
    </row>
    <row r="735">
      <c r="D735" s="133"/>
      <c r="O735" s="55"/>
      <c r="V735" s="55"/>
      <c r="AC735" s="55"/>
      <c r="AJ735" s="55"/>
    </row>
    <row r="736">
      <c r="D736" s="133"/>
      <c r="O736" s="55"/>
      <c r="V736" s="55"/>
      <c r="AC736" s="55"/>
      <c r="AJ736" s="55"/>
    </row>
    <row r="737">
      <c r="D737" s="133"/>
      <c r="O737" s="55"/>
      <c r="V737" s="55"/>
      <c r="AC737" s="55"/>
      <c r="AJ737" s="55"/>
    </row>
    <row r="738">
      <c r="D738" s="133"/>
      <c r="O738" s="55"/>
      <c r="V738" s="55"/>
      <c r="AC738" s="55"/>
      <c r="AJ738" s="55"/>
    </row>
    <row r="739">
      <c r="D739" s="133"/>
      <c r="O739" s="55"/>
      <c r="V739" s="55"/>
      <c r="AC739" s="55"/>
      <c r="AJ739" s="55"/>
    </row>
    <row r="740">
      <c r="D740" s="133"/>
      <c r="O740" s="55"/>
      <c r="V740" s="55"/>
      <c r="AC740" s="55"/>
      <c r="AJ740" s="55"/>
    </row>
    <row r="741">
      <c r="D741" s="133"/>
      <c r="O741" s="55"/>
      <c r="V741" s="55"/>
      <c r="AC741" s="55"/>
      <c r="AJ741" s="55"/>
    </row>
    <row r="742">
      <c r="D742" s="133"/>
      <c r="O742" s="55"/>
      <c r="V742" s="55"/>
      <c r="AC742" s="55"/>
      <c r="AJ742" s="55"/>
    </row>
    <row r="743">
      <c r="D743" s="133"/>
      <c r="O743" s="55"/>
      <c r="V743" s="55"/>
      <c r="AC743" s="55"/>
      <c r="AJ743" s="55"/>
    </row>
    <row r="744">
      <c r="D744" s="133"/>
      <c r="O744" s="55"/>
      <c r="V744" s="55"/>
      <c r="AC744" s="55"/>
      <c r="AJ744" s="55"/>
    </row>
    <row r="745">
      <c r="D745" s="133"/>
      <c r="O745" s="55"/>
      <c r="V745" s="55"/>
      <c r="AC745" s="55"/>
      <c r="AJ745" s="55"/>
    </row>
    <row r="746">
      <c r="D746" s="133"/>
      <c r="O746" s="55"/>
      <c r="V746" s="55"/>
      <c r="AC746" s="55"/>
      <c r="AJ746" s="55"/>
    </row>
    <row r="747">
      <c r="D747" s="133"/>
      <c r="O747" s="55"/>
      <c r="V747" s="55"/>
      <c r="AC747" s="55"/>
      <c r="AJ747" s="55"/>
    </row>
    <row r="748">
      <c r="D748" s="133"/>
      <c r="O748" s="55"/>
      <c r="V748" s="55"/>
      <c r="AC748" s="55"/>
      <c r="AJ748" s="55"/>
    </row>
    <row r="749">
      <c r="D749" s="133"/>
      <c r="O749" s="55"/>
      <c r="V749" s="55"/>
      <c r="AC749" s="55"/>
      <c r="AJ749" s="55"/>
    </row>
    <row r="750">
      <c r="D750" s="133"/>
      <c r="O750" s="55"/>
      <c r="V750" s="55"/>
      <c r="AC750" s="55"/>
      <c r="AJ750" s="55"/>
    </row>
    <row r="751">
      <c r="D751" s="133"/>
      <c r="O751" s="55"/>
      <c r="V751" s="55"/>
      <c r="AC751" s="55"/>
      <c r="AJ751" s="55"/>
    </row>
    <row r="752">
      <c r="D752" s="133"/>
      <c r="O752" s="55"/>
      <c r="V752" s="55"/>
      <c r="AC752" s="55"/>
      <c r="AJ752" s="55"/>
    </row>
    <row r="753">
      <c r="D753" s="133"/>
      <c r="O753" s="55"/>
      <c r="V753" s="55"/>
      <c r="AC753" s="55"/>
      <c r="AJ753" s="55"/>
    </row>
    <row r="754">
      <c r="D754" s="133"/>
      <c r="O754" s="55"/>
      <c r="V754" s="55"/>
      <c r="AC754" s="55"/>
      <c r="AJ754" s="55"/>
    </row>
    <row r="755">
      <c r="D755" s="133"/>
      <c r="O755" s="55"/>
      <c r="V755" s="55"/>
      <c r="AC755" s="55"/>
      <c r="AJ755" s="55"/>
    </row>
    <row r="756">
      <c r="D756" s="133"/>
      <c r="O756" s="55"/>
      <c r="V756" s="55"/>
      <c r="AC756" s="55"/>
      <c r="AJ756" s="55"/>
    </row>
    <row r="757">
      <c r="D757" s="133"/>
      <c r="O757" s="55"/>
      <c r="V757" s="55"/>
      <c r="AC757" s="55"/>
      <c r="AJ757" s="55"/>
    </row>
    <row r="758">
      <c r="D758" s="133"/>
      <c r="O758" s="55"/>
      <c r="V758" s="55"/>
      <c r="AC758" s="55"/>
      <c r="AJ758" s="55"/>
    </row>
    <row r="759">
      <c r="D759" s="133"/>
      <c r="O759" s="55"/>
      <c r="V759" s="55"/>
      <c r="AC759" s="55"/>
      <c r="AJ759" s="55"/>
    </row>
    <row r="760">
      <c r="D760" s="133"/>
      <c r="O760" s="55"/>
      <c r="V760" s="55"/>
      <c r="AC760" s="55"/>
      <c r="AJ760" s="55"/>
    </row>
    <row r="761">
      <c r="D761" s="133"/>
      <c r="O761" s="55"/>
      <c r="V761" s="55"/>
      <c r="AC761" s="55"/>
      <c r="AJ761" s="55"/>
    </row>
    <row r="762">
      <c r="D762" s="133"/>
      <c r="O762" s="55"/>
      <c r="V762" s="55"/>
      <c r="AC762" s="55"/>
      <c r="AJ762" s="55"/>
    </row>
    <row r="763">
      <c r="D763" s="133"/>
      <c r="O763" s="55"/>
      <c r="V763" s="55"/>
      <c r="AC763" s="55"/>
      <c r="AJ763" s="55"/>
    </row>
    <row r="764">
      <c r="D764" s="133"/>
      <c r="O764" s="55"/>
      <c r="V764" s="55"/>
      <c r="AC764" s="55"/>
      <c r="AJ764" s="55"/>
    </row>
    <row r="765">
      <c r="D765" s="133"/>
      <c r="O765" s="55"/>
      <c r="V765" s="55"/>
      <c r="AC765" s="55"/>
      <c r="AJ765" s="55"/>
    </row>
    <row r="766">
      <c r="D766" s="133"/>
      <c r="O766" s="55"/>
      <c r="V766" s="55"/>
      <c r="AC766" s="55"/>
      <c r="AJ766" s="55"/>
    </row>
    <row r="767">
      <c r="D767" s="133"/>
      <c r="O767" s="55"/>
      <c r="V767" s="55"/>
      <c r="AC767" s="55"/>
      <c r="AJ767" s="55"/>
    </row>
    <row r="768">
      <c r="D768" s="133"/>
      <c r="O768" s="55"/>
      <c r="V768" s="55"/>
      <c r="AC768" s="55"/>
      <c r="AJ768" s="55"/>
    </row>
    <row r="769">
      <c r="D769" s="133"/>
      <c r="O769" s="55"/>
      <c r="V769" s="55"/>
      <c r="AC769" s="55"/>
      <c r="AJ769" s="55"/>
    </row>
    <row r="770">
      <c r="D770" s="133"/>
      <c r="O770" s="55"/>
      <c r="V770" s="55"/>
      <c r="AC770" s="55"/>
      <c r="AJ770" s="55"/>
    </row>
    <row r="771">
      <c r="D771" s="133"/>
      <c r="O771" s="55"/>
      <c r="V771" s="55"/>
      <c r="AC771" s="55"/>
      <c r="AJ771" s="55"/>
    </row>
    <row r="772">
      <c r="D772" s="133"/>
      <c r="O772" s="55"/>
      <c r="V772" s="55"/>
      <c r="AC772" s="55"/>
      <c r="AJ772" s="55"/>
    </row>
    <row r="773">
      <c r="D773" s="133"/>
      <c r="O773" s="55"/>
      <c r="V773" s="55"/>
      <c r="AC773" s="55"/>
      <c r="AJ773" s="55"/>
    </row>
    <row r="774">
      <c r="D774" s="133"/>
      <c r="O774" s="55"/>
      <c r="V774" s="55"/>
      <c r="AC774" s="55"/>
      <c r="AJ774" s="55"/>
    </row>
    <row r="775">
      <c r="D775" s="133"/>
      <c r="O775" s="55"/>
      <c r="V775" s="55"/>
      <c r="AC775" s="55"/>
      <c r="AJ775" s="55"/>
    </row>
    <row r="776">
      <c r="D776" s="133"/>
      <c r="O776" s="55"/>
      <c r="V776" s="55"/>
      <c r="AC776" s="55"/>
      <c r="AJ776" s="55"/>
    </row>
    <row r="777">
      <c r="D777" s="133"/>
      <c r="O777" s="55"/>
      <c r="V777" s="55"/>
      <c r="AC777" s="55"/>
      <c r="AJ777" s="55"/>
    </row>
    <row r="778">
      <c r="D778" s="133"/>
      <c r="O778" s="55"/>
      <c r="V778" s="55"/>
      <c r="AC778" s="55"/>
      <c r="AJ778" s="55"/>
    </row>
    <row r="779">
      <c r="D779" s="133"/>
      <c r="O779" s="55"/>
      <c r="V779" s="55"/>
      <c r="AC779" s="55"/>
      <c r="AJ779" s="55"/>
    </row>
    <row r="780">
      <c r="D780" s="133"/>
      <c r="O780" s="55"/>
      <c r="V780" s="55"/>
      <c r="AC780" s="55"/>
      <c r="AJ780" s="55"/>
    </row>
    <row r="781">
      <c r="D781" s="133"/>
      <c r="O781" s="55"/>
      <c r="V781" s="55"/>
      <c r="AC781" s="55"/>
      <c r="AJ781" s="55"/>
    </row>
    <row r="782">
      <c r="D782" s="133"/>
      <c r="O782" s="55"/>
      <c r="V782" s="55"/>
      <c r="AC782" s="55"/>
      <c r="AJ782" s="55"/>
    </row>
    <row r="783">
      <c r="D783" s="133"/>
      <c r="O783" s="55"/>
      <c r="V783" s="55"/>
      <c r="AC783" s="55"/>
      <c r="AJ783" s="55"/>
    </row>
    <row r="784">
      <c r="D784" s="133"/>
      <c r="O784" s="55"/>
      <c r="V784" s="55"/>
      <c r="AC784" s="55"/>
      <c r="AJ784" s="55"/>
    </row>
    <row r="785">
      <c r="D785" s="133"/>
      <c r="O785" s="55"/>
      <c r="V785" s="55"/>
      <c r="AC785" s="55"/>
      <c r="AJ785" s="55"/>
    </row>
    <row r="786">
      <c r="D786" s="133"/>
      <c r="O786" s="55"/>
      <c r="V786" s="55"/>
      <c r="AC786" s="55"/>
      <c r="AJ786" s="55"/>
    </row>
    <row r="787">
      <c r="D787" s="133"/>
      <c r="O787" s="55"/>
      <c r="V787" s="55"/>
      <c r="AC787" s="55"/>
      <c r="AJ787" s="55"/>
    </row>
    <row r="788">
      <c r="D788" s="133"/>
      <c r="O788" s="55"/>
      <c r="V788" s="55"/>
      <c r="AC788" s="55"/>
      <c r="AJ788" s="55"/>
    </row>
    <row r="789">
      <c r="D789" s="133"/>
      <c r="O789" s="55"/>
      <c r="V789" s="55"/>
      <c r="AC789" s="55"/>
      <c r="AJ789" s="55"/>
    </row>
    <row r="790">
      <c r="D790" s="133"/>
      <c r="O790" s="55"/>
      <c r="V790" s="55"/>
      <c r="AC790" s="55"/>
      <c r="AJ790" s="55"/>
    </row>
    <row r="791">
      <c r="D791" s="133"/>
      <c r="O791" s="55"/>
      <c r="V791" s="55"/>
      <c r="AC791" s="55"/>
      <c r="AJ791" s="55"/>
    </row>
    <row r="792">
      <c r="D792" s="133"/>
      <c r="O792" s="55"/>
      <c r="V792" s="55"/>
      <c r="AC792" s="55"/>
      <c r="AJ792" s="55"/>
    </row>
    <row r="793">
      <c r="D793" s="133"/>
      <c r="O793" s="55"/>
      <c r="V793" s="55"/>
      <c r="AC793" s="55"/>
      <c r="AJ793" s="55"/>
    </row>
    <row r="794">
      <c r="D794" s="133"/>
      <c r="O794" s="55"/>
      <c r="V794" s="55"/>
      <c r="AC794" s="55"/>
      <c r="AJ794" s="55"/>
    </row>
    <row r="795">
      <c r="D795" s="133"/>
      <c r="O795" s="55"/>
      <c r="V795" s="55"/>
      <c r="AC795" s="55"/>
      <c r="AJ795" s="55"/>
    </row>
    <row r="796">
      <c r="D796" s="133"/>
      <c r="O796" s="55"/>
      <c r="V796" s="55"/>
      <c r="AC796" s="55"/>
      <c r="AJ796" s="55"/>
    </row>
    <row r="797">
      <c r="D797" s="133"/>
      <c r="O797" s="55"/>
      <c r="V797" s="55"/>
      <c r="AC797" s="55"/>
      <c r="AJ797" s="55"/>
    </row>
    <row r="798">
      <c r="D798" s="133"/>
      <c r="O798" s="55"/>
      <c r="V798" s="55"/>
      <c r="AC798" s="55"/>
      <c r="AJ798" s="55"/>
    </row>
    <row r="799">
      <c r="D799" s="133"/>
      <c r="O799" s="55"/>
      <c r="V799" s="55"/>
      <c r="AC799" s="55"/>
      <c r="AJ799" s="55"/>
    </row>
    <row r="800">
      <c r="D800" s="133"/>
      <c r="O800" s="55"/>
      <c r="V800" s="55"/>
      <c r="AC800" s="55"/>
      <c r="AJ800" s="55"/>
    </row>
    <row r="801">
      <c r="D801" s="133"/>
      <c r="O801" s="55"/>
      <c r="V801" s="55"/>
      <c r="AC801" s="55"/>
      <c r="AJ801" s="55"/>
    </row>
    <row r="802">
      <c r="D802" s="133"/>
      <c r="O802" s="55"/>
      <c r="V802" s="55"/>
      <c r="AC802" s="55"/>
      <c r="AJ802" s="55"/>
    </row>
    <row r="803">
      <c r="D803" s="133"/>
      <c r="O803" s="55"/>
      <c r="V803" s="55"/>
      <c r="AC803" s="55"/>
      <c r="AJ803" s="55"/>
    </row>
    <row r="804">
      <c r="D804" s="133"/>
      <c r="O804" s="55"/>
      <c r="V804" s="55"/>
      <c r="AC804" s="55"/>
      <c r="AJ804" s="55"/>
    </row>
    <row r="805">
      <c r="D805" s="133"/>
      <c r="O805" s="55"/>
      <c r="V805" s="55"/>
      <c r="AC805" s="55"/>
      <c r="AJ805" s="55"/>
    </row>
    <row r="806">
      <c r="D806" s="133"/>
      <c r="O806" s="55"/>
      <c r="V806" s="55"/>
      <c r="AC806" s="55"/>
      <c r="AJ806" s="55"/>
    </row>
    <row r="807">
      <c r="D807" s="133"/>
      <c r="O807" s="55"/>
      <c r="V807" s="55"/>
      <c r="AC807" s="55"/>
      <c r="AJ807" s="55"/>
    </row>
    <row r="808">
      <c r="D808" s="133"/>
      <c r="O808" s="55"/>
      <c r="V808" s="55"/>
      <c r="AC808" s="55"/>
      <c r="AJ808" s="55"/>
    </row>
    <row r="809">
      <c r="D809" s="133"/>
      <c r="O809" s="55"/>
      <c r="V809" s="55"/>
      <c r="AC809" s="55"/>
      <c r="AJ809" s="55"/>
    </row>
    <row r="810">
      <c r="D810" s="133"/>
      <c r="O810" s="55"/>
      <c r="V810" s="55"/>
      <c r="AC810" s="55"/>
      <c r="AJ810" s="55"/>
    </row>
    <row r="811">
      <c r="D811" s="133"/>
      <c r="O811" s="55"/>
      <c r="V811" s="55"/>
      <c r="AC811" s="55"/>
      <c r="AJ811" s="55"/>
    </row>
    <row r="812">
      <c r="D812" s="133"/>
      <c r="O812" s="55"/>
      <c r="V812" s="55"/>
      <c r="AC812" s="55"/>
      <c r="AJ812" s="55"/>
    </row>
    <row r="813">
      <c r="D813" s="133"/>
      <c r="O813" s="55"/>
      <c r="V813" s="55"/>
      <c r="AC813" s="55"/>
      <c r="AJ813" s="55"/>
    </row>
    <row r="814">
      <c r="D814" s="133"/>
      <c r="O814" s="55"/>
      <c r="V814" s="55"/>
      <c r="AC814" s="55"/>
      <c r="AJ814" s="55"/>
    </row>
    <row r="815">
      <c r="D815" s="133"/>
      <c r="O815" s="55"/>
      <c r="V815" s="55"/>
      <c r="AC815" s="55"/>
      <c r="AJ815" s="55"/>
    </row>
    <row r="816">
      <c r="D816" s="133"/>
      <c r="O816" s="55"/>
      <c r="V816" s="55"/>
      <c r="AC816" s="55"/>
      <c r="AJ816" s="55"/>
    </row>
    <row r="817">
      <c r="D817" s="133"/>
      <c r="O817" s="55"/>
      <c r="V817" s="55"/>
      <c r="AC817" s="55"/>
      <c r="AJ817" s="55"/>
    </row>
    <row r="818">
      <c r="D818" s="133"/>
      <c r="O818" s="55"/>
      <c r="V818" s="55"/>
      <c r="AC818" s="55"/>
      <c r="AJ818" s="55"/>
    </row>
    <row r="819">
      <c r="D819" s="133"/>
      <c r="O819" s="55"/>
      <c r="V819" s="55"/>
      <c r="AC819" s="55"/>
      <c r="AJ819" s="55"/>
    </row>
    <row r="820">
      <c r="D820" s="133"/>
      <c r="O820" s="55"/>
      <c r="V820" s="55"/>
      <c r="AC820" s="55"/>
      <c r="AJ820" s="55"/>
    </row>
    <row r="821">
      <c r="D821" s="133"/>
      <c r="O821" s="55"/>
      <c r="V821" s="55"/>
      <c r="AC821" s="55"/>
      <c r="AJ821" s="55"/>
    </row>
    <row r="822">
      <c r="D822" s="133"/>
      <c r="O822" s="55"/>
      <c r="V822" s="55"/>
      <c r="AC822" s="55"/>
      <c r="AJ822" s="55"/>
    </row>
    <row r="823">
      <c r="D823" s="133"/>
      <c r="O823" s="55"/>
      <c r="V823" s="55"/>
      <c r="AC823" s="55"/>
      <c r="AJ823" s="55"/>
    </row>
    <row r="824">
      <c r="D824" s="133"/>
      <c r="O824" s="55"/>
      <c r="V824" s="55"/>
      <c r="AC824" s="55"/>
      <c r="AJ824" s="55"/>
    </row>
    <row r="825">
      <c r="D825" s="133"/>
      <c r="O825" s="55"/>
      <c r="V825" s="55"/>
      <c r="AC825" s="55"/>
      <c r="AJ825" s="55"/>
    </row>
    <row r="826">
      <c r="D826" s="133"/>
      <c r="O826" s="55"/>
      <c r="V826" s="55"/>
      <c r="AC826" s="55"/>
      <c r="AJ826" s="55"/>
    </row>
    <row r="827">
      <c r="D827" s="133"/>
      <c r="O827" s="55"/>
      <c r="V827" s="55"/>
      <c r="AC827" s="55"/>
      <c r="AJ827" s="55"/>
    </row>
    <row r="828">
      <c r="D828" s="133"/>
      <c r="O828" s="55"/>
      <c r="V828" s="55"/>
      <c r="AC828" s="55"/>
      <c r="AJ828" s="55"/>
    </row>
    <row r="829">
      <c r="D829" s="133"/>
      <c r="O829" s="55"/>
      <c r="V829" s="55"/>
      <c r="AC829" s="55"/>
      <c r="AJ829" s="55"/>
    </row>
    <row r="830">
      <c r="D830" s="133"/>
      <c r="O830" s="55"/>
      <c r="V830" s="55"/>
      <c r="AC830" s="55"/>
      <c r="AJ830" s="55"/>
    </row>
    <row r="831">
      <c r="D831" s="133"/>
      <c r="O831" s="55"/>
      <c r="V831" s="55"/>
      <c r="AC831" s="55"/>
      <c r="AJ831" s="55"/>
    </row>
    <row r="832">
      <c r="D832" s="133"/>
      <c r="O832" s="55"/>
      <c r="V832" s="55"/>
      <c r="AC832" s="55"/>
      <c r="AJ832" s="55"/>
    </row>
    <row r="833">
      <c r="D833" s="133"/>
      <c r="O833" s="55"/>
      <c r="V833" s="55"/>
      <c r="AC833" s="55"/>
      <c r="AJ833" s="55"/>
    </row>
    <row r="834">
      <c r="D834" s="133"/>
      <c r="O834" s="55"/>
      <c r="V834" s="55"/>
      <c r="AC834" s="55"/>
      <c r="AJ834" s="55"/>
    </row>
    <row r="835">
      <c r="D835" s="133"/>
      <c r="O835" s="55"/>
      <c r="V835" s="55"/>
      <c r="AC835" s="55"/>
      <c r="AJ835" s="55"/>
    </row>
    <row r="836">
      <c r="D836" s="133"/>
      <c r="O836" s="55"/>
      <c r="V836" s="55"/>
      <c r="AC836" s="55"/>
      <c r="AJ836" s="55"/>
    </row>
    <row r="837">
      <c r="D837" s="133"/>
      <c r="O837" s="55"/>
      <c r="V837" s="55"/>
      <c r="AC837" s="55"/>
      <c r="AJ837" s="55"/>
    </row>
    <row r="838">
      <c r="D838" s="133"/>
      <c r="O838" s="55"/>
      <c r="V838" s="55"/>
      <c r="AC838" s="55"/>
      <c r="AJ838" s="55"/>
    </row>
    <row r="839">
      <c r="D839" s="133"/>
      <c r="O839" s="55"/>
      <c r="V839" s="55"/>
      <c r="AC839" s="55"/>
      <c r="AJ839" s="55"/>
    </row>
    <row r="840">
      <c r="D840" s="133"/>
      <c r="O840" s="55"/>
      <c r="V840" s="55"/>
      <c r="AC840" s="55"/>
      <c r="AJ840" s="55"/>
    </row>
    <row r="841">
      <c r="D841" s="133"/>
      <c r="O841" s="55"/>
      <c r="V841" s="55"/>
      <c r="AC841" s="55"/>
      <c r="AJ841" s="55"/>
    </row>
    <row r="842">
      <c r="D842" s="133"/>
      <c r="O842" s="55"/>
      <c r="V842" s="55"/>
      <c r="AC842" s="55"/>
      <c r="AJ842" s="55"/>
    </row>
    <row r="843">
      <c r="D843" s="133"/>
      <c r="O843" s="55"/>
      <c r="V843" s="55"/>
      <c r="AC843" s="55"/>
      <c r="AJ843" s="55"/>
    </row>
    <row r="844">
      <c r="D844" s="133"/>
      <c r="O844" s="55"/>
      <c r="V844" s="55"/>
      <c r="AC844" s="55"/>
      <c r="AJ844" s="55"/>
    </row>
    <row r="845">
      <c r="D845" s="133"/>
      <c r="O845" s="55"/>
      <c r="V845" s="55"/>
      <c r="AC845" s="55"/>
      <c r="AJ845" s="55"/>
    </row>
    <row r="846">
      <c r="D846" s="133"/>
      <c r="O846" s="55"/>
      <c r="V846" s="55"/>
      <c r="AC846" s="55"/>
      <c r="AJ846" s="55"/>
    </row>
    <row r="847">
      <c r="D847" s="133"/>
      <c r="O847" s="55"/>
      <c r="V847" s="55"/>
      <c r="AC847" s="55"/>
      <c r="AJ847" s="55"/>
    </row>
    <row r="848">
      <c r="D848" s="133"/>
      <c r="O848" s="55"/>
      <c r="V848" s="55"/>
      <c r="AC848" s="55"/>
      <c r="AJ848" s="55"/>
    </row>
    <row r="849">
      <c r="D849" s="133"/>
      <c r="O849" s="55"/>
      <c r="V849" s="55"/>
      <c r="AC849" s="55"/>
      <c r="AJ849" s="55"/>
    </row>
    <row r="850">
      <c r="D850" s="133"/>
      <c r="O850" s="55"/>
      <c r="V850" s="55"/>
      <c r="AC850" s="55"/>
      <c r="AJ850" s="55"/>
    </row>
    <row r="851">
      <c r="D851" s="133"/>
      <c r="O851" s="55"/>
      <c r="V851" s="55"/>
      <c r="AC851" s="55"/>
      <c r="AJ851" s="55"/>
    </row>
    <row r="852">
      <c r="D852" s="133"/>
      <c r="O852" s="55"/>
      <c r="V852" s="55"/>
      <c r="AC852" s="55"/>
      <c r="AJ852" s="55"/>
    </row>
    <row r="853">
      <c r="D853" s="133"/>
      <c r="O853" s="55"/>
      <c r="V853" s="55"/>
      <c r="AC853" s="55"/>
      <c r="AJ853" s="55"/>
    </row>
    <row r="854">
      <c r="D854" s="133"/>
      <c r="O854" s="55"/>
      <c r="V854" s="55"/>
      <c r="AC854" s="55"/>
      <c r="AJ854" s="55"/>
    </row>
    <row r="855">
      <c r="D855" s="133"/>
      <c r="O855" s="55"/>
      <c r="V855" s="55"/>
      <c r="AC855" s="55"/>
      <c r="AJ855" s="55"/>
    </row>
    <row r="856">
      <c r="D856" s="133"/>
      <c r="O856" s="55"/>
      <c r="V856" s="55"/>
      <c r="AC856" s="55"/>
      <c r="AJ856" s="55"/>
    </row>
    <row r="857">
      <c r="D857" s="133"/>
      <c r="O857" s="55"/>
      <c r="V857" s="55"/>
      <c r="AC857" s="55"/>
      <c r="AJ857" s="55"/>
    </row>
    <row r="858">
      <c r="D858" s="133"/>
      <c r="O858" s="55"/>
      <c r="V858" s="55"/>
      <c r="AC858" s="55"/>
      <c r="AJ858" s="55"/>
    </row>
    <row r="859">
      <c r="D859" s="133"/>
      <c r="O859" s="55"/>
      <c r="V859" s="55"/>
      <c r="AC859" s="55"/>
      <c r="AJ859" s="55"/>
    </row>
    <row r="860">
      <c r="D860" s="133"/>
      <c r="O860" s="55"/>
      <c r="V860" s="55"/>
      <c r="AC860" s="55"/>
      <c r="AJ860" s="55"/>
    </row>
    <row r="861">
      <c r="D861" s="133"/>
      <c r="O861" s="55"/>
      <c r="V861" s="55"/>
      <c r="AC861" s="55"/>
      <c r="AJ861" s="55"/>
    </row>
    <row r="862">
      <c r="D862" s="133"/>
      <c r="O862" s="55"/>
      <c r="V862" s="55"/>
      <c r="AC862" s="55"/>
      <c r="AJ862" s="55"/>
    </row>
    <row r="863">
      <c r="D863" s="133"/>
      <c r="O863" s="55"/>
      <c r="V863" s="55"/>
      <c r="AC863" s="55"/>
      <c r="AJ863" s="55"/>
    </row>
    <row r="864">
      <c r="D864" s="133"/>
      <c r="O864" s="55"/>
      <c r="V864" s="55"/>
      <c r="AC864" s="55"/>
      <c r="AJ864" s="55"/>
    </row>
    <row r="865">
      <c r="D865" s="133"/>
      <c r="O865" s="55"/>
      <c r="V865" s="55"/>
      <c r="AC865" s="55"/>
      <c r="AJ865" s="55"/>
    </row>
    <row r="866">
      <c r="D866" s="133"/>
      <c r="O866" s="55"/>
      <c r="V866" s="55"/>
      <c r="AC866" s="55"/>
      <c r="AJ866" s="55"/>
    </row>
    <row r="867">
      <c r="D867" s="133"/>
      <c r="O867" s="55"/>
      <c r="V867" s="55"/>
      <c r="AC867" s="55"/>
      <c r="AJ867" s="55"/>
    </row>
    <row r="868">
      <c r="D868" s="133"/>
      <c r="O868" s="55"/>
      <c r="V868" s="55"/>
      <c r="AC868" s="55"/>
      <c r="AJ868" s="55"/>
    </row>
    <row r="869">
      <c r="D869" s="133"/>
      <c r="O869" s="55"/>
      <c r="V869" s="55"/>
      <c r="AC869" s="55"/>
      <c r="AJ869" s="55"/>
    </row>
    <row r="870">
      <c r="D870" s="133"/>
      <c r="O870" s="55"/>
      <c r="V870" s="55"/>
      <c r="AC870" s="55"/>
      <c r="AJ870" s="55"/>
    </row>
    <row r="871">
      <c r="D871" s="133"/>
      <c r="O871" s="55"/>
      <c r="V871" s="55"/>
      <c r="AC871" s="55"/>
      <c r="AJ871" s="55"/>
    </row>
    <row r="872">
      <c r="D872" s="133"/>
      <c r="O872" s="55"/>
      <c r="V872" s="55"/>
      <c r="AC872" s="55"/>
      <c r="AJ872" s="55"/>
    </row>
    <row r="873">
      <c r="D873" s="133"/>
      <c r="O873" s="55"/>
      <c r="V873" s="55"/>
      <c r="AC873" s="55"/>
      <c r="AJ873" s="55"/>
    </row>
    <row r="874">
      <c r="D874" s="133"/>
      <c r="O874" s="55"/>
      <c r="V874" s="55"/>
      <c r="AC874" s="55"/>
      <c r="AJ874" s="55"/>
    </row>
    <row r="875">
      <c r="D875" s="133"/>
      <c r="O875" s="55"/>
      <c r="V875" s="55"/>
      <c r="AC875" s="55"/>
      <c r="AJ875" s="55"/>
    </row>
    <row r="876">
      <c r="D876" s="133"/>
      <c r="O876" s="55"/>
      <c r="V876" s="55"/>
      <c r="AC876" s="55"/>
      <c r="AJ876" s="55"/>
    </row>
    <row r="877">
      <c r="D877" s="133"/>
      <c r="O877" s="55"/>
      <c r="V877" s="55"/>
      <c r="AC877" s="55"/>
      <c r="AJ877" s="55"/>
    </row>
    <row r="878">
      <c r="D878" s="133"/>
      <c r="O878" s="55"/>
      <c r="V878" s="55"/>
      <c r="AC878" s="55"/>
      <c r="AJ878" s="55"/>
    </row>
    <row r="879">
      <c r="D879" s="133"/>
      <c r="O879" s="55"/>
      <c r="V879" s="55"/>
      <c r="AC879" s="55"/>
      <c r="AJ879" s="55"/>
    </row>
    <row r="880">
      <c r="D880" s="133"/>
      <c r="O880" s="55"/>
      <c r="V880" s="55"/>
      <c r="AC880" s="55"/>
      <c r="AJ880" s="55"/>
    </row>
    <row r="881">
      <c r="D881" s="133"/>
      <c r="O881" s="55"/>
      <c r="V881" s="55"/>
      <c r="AC881" s="55"/>
      <c r="AJ881" s="55"/>
    </row>
    <row r="882">
      <c r="D882" s="133"/>
      <c r="O882" s="55"/>
      <c r="V882" s="55"/>
      <c r="AC882" s="55"/>
      <c r="AJ882" s="55"/>
    </row>
    <row r="883">
      <c r="D883" s="133"/>
      <c r="O883" s="55"/>
      <c r="V883" s="55"/>
      <c r="AC883" s="55"/>
      <c r="AJ883" s="55"/>
    </row>
    <row r="884">
      <c r="D884" s="133"/>
      <c r="O884" s="55"/>
      <c r="V884" s="55"/>
      <c r="AC884" s="55"/>
      <c r="AJ884" s="55"/>
    </row>
    <row r="885">
      <c r="D885" s="133"/>
      <c r="O885" s="55"/>
      <c r="V885" s="55"/>
      <c r="AC885" s="55"/>
      <c r="AJ885" s="55"/>
    </row>
    <row r="886">
      <c r="D886" s="133"/>
      <c r="O886" s="55"/>
      <c r="V886" s="55"/>
      <c r="AC886" s="55"/>
      <c r="AJ886" s="55"/>
    </row>
    <row r="887">
      <c r="D887" s="133"/>
      <c r="O887" s="55"/>
      <c r="V887" s="55"/>
      <c r="AC887" s="55"/>
      <c r="AJ887" s="55"/>
    </row>
    <row r="888">
      <c r="D888" s="133"/>
      <c r="O888" s="55"/>
      <c r="V888" s="55"/>
      <c r="AC888" s="55"/>
      <c r="AJ888" s="55"/>
    </row>
    <row r="889">
      <c r="D889" s="133"/>
      <c r="O889" s="55"/>
      <c r="V889" s="55"/>
      <c r="AC889" s="55"/>
      <c r="AJ889" s="55"/>
    </row>
    <row r="890">
      <c r="D890" s="133"/>
      <c r="O890" s="55"/>
      <c r="V890" s="55"/>
      <c r="AC890" s="55"/>
      <c r="AJ890" s="55"/>
    </row>
    <row r="891">
      <c r="D891" s="133"/>
      <c r="O891" s="55"/>
      <c r="V891" s="55"/>
      <c r="AC891" s="55"/>
      <c r="AJ891" s="55"/>
    </row>
    <row r="892">
      <c r="D892" s="133"/>
      <c r="O892" s="55"/>
      <c r="V892" s="55"/>
      <c r="AC892" s="55"/>
      <c r="AJ892" s="55"/>
    </row>
    <row r="893">
      <c r="D893" s="133"/>
      <c r="O893" s="55"/>
      <c r="V893" s="55"/>
      <c r="AC893" s="55"/>
      <c r="AJ893" s="55"/>
    </row>
    <row r="894">
      <c r="D894" s="133"/>
      <c r="O894" s="55"/>
      <c r="V894" s="55"/>
      <c r="AC894" s="55"/>
      <c r="AJ894" s="55"/>
    </row>
    <row r="895">
      <c r="D895" s="133"/>
      <c r="O895" s="55"/>
      <c r="V895" s="55"/>
      <c r="AC895" s="55"/>
      <c r="AJ895" s="55"/>
    </row>
    <row r="896">
      <c r="D896" s="133"/>
      <c r="O896" s="55"/>
      <c r="V896" s="55"/>
      <c r="AC896" s="55"/>
      <c r="AJ896" s="55"/>
    </row>
    <row r="897">
      <c r="D897" s="133"/>
      <c r="O897" s="55"/>
      <c r="V897" s="55"/>
      <c r="AC897" s="55"/>
      <c r="AJ897" s="55"/>
    </row>
    <row r="898">
      <c r="D898" s="133"/>
      <c r="O898" s="55"/>
      <c r="V898" s="55"/>
      <c r="AC898" s="55"/>
      <c r="AJ898" s="55"/>
    </row>
    <row r="899">
      <c r="D899" s="133"/>
      <c r="O899" s="55"/>
      <c r="V899" s="55"/>
      <c r="AC899" s="55"/>
      <c r="AJ899" s="55"/>
    </row>
    <row r="900">
      <c r="D900" s="133"/>
      <c r="O900" s="55"/>
      <c r="V900" s="55"/>
      <c r="AC900" s="55"/>
      <c r="AJ900" s="55"/>
    </row>
    <row r="901">
      <c r="D901" s="133"/>
      <c r="O901" s="55"/>
      <c r="V901" s="55"/>
      <c r="AC901" s="55"/>
      <c r="AJ901" s="55"/>
    </row>
    <row r="902">
      <c r="D902" s="133"/>
      <c r="O902" s="55"/>
      <c r="V902" s="55"/>
      <c r="AC902" s="55"/>
      <c r="AJ902" s="55"/>
    </row>
    <row r="903">
      <c r="D903" s="133"/>
      <c r="O903" s="55"/>
      <c r="V903" s="55"/>
      <c r="AC903" s="55"/>
      <c r="AJ903" s="55"/>
    </row>
    <row r="904">
      <c r="D904" s="133"/>
      <c r="O904" s="55"/>
      <c r="V904" s="55"/>
      <c r="AC904" s="55"/>
      <c r="AJ904" s="55"/>
    </row>
    <row r="905">
      <c r="D905" s="133"/>
      <c r="O905" s="55"/>
      <c r="V905" s="55"/>
      <c r="AC905" s="55"/>
      <c r="AJ905" s="55"/>
    </row>
    <row r="906">
      <c r="D906" s="133"/>
      <c r="O906" s="55"/>
      <c r="V906" s="55"/>
      <c r="AC906" s="55"/>
      <c r="AJ906" s="55"/>
    </row>
    <row r="907">
      <c r="D907" s="133"/>
      <c r="O907" s="55"/>
      <c r="V907" s="55"/>
      <c r="AC907" s="55"/>
      <c r="AJ907" s="55"/>
    </row>
    <row r="908">
      <c r="D908" s="133"/>
      <c r="O908" s="55"/>
      <c r="V908" s="55"/>
      <c r="AC908" s="55"/>
      <c r="AJ908" s="55"/>
    </row>
    <row r="909">
      <c r="D909" s="133"/>
      <c r="O909" s="55"/>
      <c r="V909" s="55"/>
      <c r="AC909" s="55"/>
      <c r="AJ909" s="55"/>
    </row>
    <row r="910">
      <c r="D910" s="133"/>
      <c r="O910" s="55"/>
      <c r="V910" s="55"/>
      <c r="AC910" s="55"/>
      <c r="AJ910" s="55"/>
    </row>
    <row r="911">
      <c r="D911" s="133"/>
      <c r="O911" s="55"/>
      <c r="V911" s="55"/>
      <c r="AC911" s="55"/>
      <c r="AJ911" s="55"/>
    </row>
    <row r="912">
      <c r="D912" s="133"/>
      <c r="O912" s="55"/>
      <c r="V912" s="55"/>
      <c r="AC912" s="55"/>
      <c r="AJ912" s="55"/>
    </row>
    <row r="913">
      <c r="D913" s="133"/>
      <c r="O913" s="55"/>
      <c r="V913" s="55"/>
      <c r="AC913" s="55"/>
      <c r="AJ913" s="55"/>
    </row>
    <row r="914">
      <c r="D914" s="133"/>
      <c r="O914" s="55"/>
      <c r="V914" s="55"/>
      <c r="AC914" s="55"/>
      <c r="AJ914" s="55"/>
    </row>
    <row r="915">
      <c r="D915" s="133"/>
      <c r="O915" s="55"/>
      <c r="V915" s="55"/>
      <c r="AC915" s="55"/>
      <c r="AJ915" s="55"/>
    </row>
    <row r="916">
      <c r="D916" s="133"/>
      <c r="O916" s="55"/>
      <c r="V916" s="55"/>
      <c r="AC916" s="55"/>
      <c r="AJ916" s="55"/>
    </row>
    <row r="917">
      <c r="D917" s="133"/>
      <c r="O917" s="55"/>
      <c r="V917" s="55"/>
      <c r="AC917" s="55"/>
      <c r="AJ917" s="55"/>
    </row>
    <row r="918">
      <c r="D918" s="133"/>
      <c r="O918" s="55"/>
      <c r="V918" s="55"/>
      <c r="AC918" s="55"/>
      <c r="AJ918" s="55"/>
    </row>
    <row r="919">
      <c r="D919" s="133"/>
      <c r="O919" s="55"/>
      <c r="V919" s="55"/>
      <c r="AC919" s="55"/>
      <c r="AJ919" s="55"/>
    </row>
    <row r="920">
      <c r="D920" s="133"/>
      <c r="O920" s="55"/>
      <c r="V920" s="55"/>
      <c r="AC920" s="55"/>
      <c r="AJ920" s="55"/>
    </row>
    <row r="921">
      <c r="D921" s="133"/>
      <c r="O921" s="55"/>
      <c r="V921" s="55"/>
      <c r="AC921" s="55"/>
      <c r="AJ921" s="55"/>
    </row>
    <row r="922">
      <c r="D922" s="133"/>
      <c r="O922" s="55"/>
      <c r="V922" s="55"/>
      <c r="AC922" s="55"/>
      <c r="AJ922" s="55"/>
    </row>
    <row r="923">
      <c r="D923" s="133"/>
      <c r="O923" s="55"/>
      <c r="V923" s="55"/>
      <c r="AC923" s="55"/>
      <c r="AJ923" s="55"/>
    </row>
    <row r="924">
      <c r="D924" s="133"/>
      <c r="O924" s="55"/>
      <c r="V924" s="55"/>
      <c r="AC924" s="55"/>
      <c r="AJ924" s="55"/>
    </row>
    <row r="925">
      <c r="D925" s="133"/>
      <c r="O925" s="55"/>
      <c r="V925" s="55"/>
      <c r="AC925" s="55"/>
      <c r="AJ925" s="55"/>
    </row>
    <row r="926">
      <c r="D926" s="133"/>
      <c r="O926" s="55"/>
      <c r="V926" s="55"/>
      <c r="AC926" s="55"/>
      <c r="AJ926" s="55"/>
    </row>
    <row r="927">
      <c r="D927" s="133"/>
      <c r="O927" s="55"/>
      <c r="V927" s="55"/>
      <c r="AC927" s="55"/>
      <c r="AJ927" s="55"/>
    </row>
    <row r="928">
      <c r="D928" s="133"/>
      <c r="O928" s="55"/>
      <c r="V928" s="55"/>
      <c r="AC928" s="55"/>
      <c r="AJ928" s="55"/>
    </row>
    <row r="929">
      <c r="D929" s="133"/>
      <c r="O929" s="55"/>
      <c r="V929" s="55"/>
      <c r="AC929" s="55"/>
      <c r="AJ929" s="55"/>
    </row>
    <row r="930">
      <c r="D930" s="133"/>
      <c r="O930" s="55"/>
      <c r="V930" s="55"/>
      <c r="AC930" s="55"/>
      <c r="AJ930" s="55"/>
    </row>
    <row r="931">
      <c r="D931" s="133"/>
      <c r="O931" s="55"/>
      <c r="V931" s="55"/>
      <c r="AC931" s="55"/>
      <c r="AJ931" s="55"/>
    </row>
    <row r="932">
      <c r="D932" s="133"/>
      <c r="O932" s="55"/>
      <c r="V932" s="55"/>
      <c r="AC932" s="55"/>
      <c r="AJ932" s="55"/>
    </row>
    <row r="933">
      <c r="D933" s="133"/>
      <c r="O933" s="55"/>
      <c r="V933" s="55"/>
      <c r="AC933" s="55"/>
      <c r="AJ933" s="55"/>
    </row>
    <row r="934">
      <c r="D934" s="133"/>
      <c r="O934" s="55"/>
      <c r="V934" s="55"/>
      <c r="AC934" s="55"/>
      <c r="AJ934" s="55"/>
    </row>
    <row r="935">
      <c r="D935" s="133"/>
      <c r="O935" s="55"/>
      <c r="V935" s="55"/>
      <c r="AC935" s="55"/>
      <c r="AJ935" s="55"/>
    </row>
    <row r="936">
      <c r="D936" s="133"/>
      <c r="O936" s="55"/>
      <c r="V936" s="55"/>
      <c r="AC936" s="55"/>
      <c r="AJ936" s="55"/>
    </row>
    <row r="937">
      <c r="D937" s="133"/>
      <c r="O937" s="55"/>
      <c r="V937" s="55"/>
      <c r="AC937" s="55"/>
      <c r="AJ937" s="55"/>
    </row>
    <row r="938">
      <c r="D938" s="133"/>
      <c r="O938" s="55"/>
      <c r="V938" s="55"/>
      <c r="AC938" s="55"/>
      <c r="AJ938" s="55"/>
    </row>
    <row r="939">
      <c r="D939" s="133"/>
      <c r="O939" s="55"/>
      <c r="V939" s="55"/>
      <c r="AC939" s="55"/>
      <c r="AJ939" s="55"/>
    </row>
    <row r="940">
      <c r="D940" s="133"/>
      <c r="O940" s="55"/>
      <c r="V940" s="55"/>
      <c r="AC940" s="55"/>
      <c r="AJ940" s="55"/>
    </row>
    <row r="941">
      <c r="D941" s="133"/>
      <c r="O941" s="55"/>
      <c r="V941" s="55"/>
      <c r="AC941" s="55"/>
      <c r="AJ941" s="55"/>
    </row>
    <row r="942">
      <c r="D942" s="133"/>
      <c r="O942" s="55"/>
      <c r="V942" s="55"/>
      <c r="AC942" s="55"/>
      <c r="AJ942" s="55"/>
    </row>
    <row r="943">
      <c r="D943" s="133"/>
      <c r="O943" s="55"/>
      <c r="V943" s="55"/>
      <c r="AC943" s="55"/>
      <c r="AJ943" s="55"/>
    </row>
    <row r="944">
      <c r="D944" s="133"/>
      <c r="O944" s="55"/>
      <c r="V944" s="55"/>
      <c r="AC944" s="55"/>
      <c r="AJ944" s="55"/>
    </row>
    <row r="945">
      <c r="D945" s="133"/>
      <c r="O945" s="55"/>
      <c r="V945" s="55"/>
      <c r="AC945" s="55"/>
      <c r="AJ945" s="55"/>
    </row>
    <row r="946">
      <c r="D946" s="133"/>
      <c r="O946" s="55"/>
      <c r="V946" s="55"/>
      <c r="AC946" s="55"/>
      <c r="AJ946" s="55"/>
    </row>
    <row r="947">
      <c r="D947" s="133"/>
      <c r="O947" s="55"/>
      <c r="V947" s="55"/>
      <c r="AC947" s="55"/>
      <c r="AJ947" s="55"/>
    </row>
    <row r="948">
      <c r="D948" s="133"/>
      <c r="O948" s="55"/>
      <c r="V948" s="55"/>
      <c r="AC948" s="55"/>
      <c r="AJ948" s="55"/>
    </row>
    <row r="949">
      <c r="D949" s="133"/>
      <c r="O949" s="55"/>
      <c r="V949" s="55"/>
      <c r="AC949" s="55"/>
      <c r="AJ949" s="55"/>
    </row>
    <row r="950">
      <c r="D950" s="133"/>
      <c r="O950" s="55"/>
      <c r="V950" s="55"/>
      <c r="AC950" s="55"/>
      <c r="AJ950" s="55"/>
    </row>
    <row r="951">
      <c r="D951" s="133"/>
      <c r="O951" s="55"/>
      <c r="V951" s="55"/>
      <c r="AC951" s="55"/>
      <c r="AJ951" s="55"/>
    </row>
    <row r="952">
      <c r="D952" s="133"/>
      <c r="O952" s="55"/>
      <c r="V952" s="55"/>
      <c r="AC952" s="55"/>
      <c r="AJ952" s="55"/>
    </row>
    <row r="953">
      <c r="D953" s="133"/>
      <c r="O953" s="55"/>
      <c r="V953" s="55"/>
      <c r="AC953" s="55"/>
      <c r="AJ953" s="55"/>
    </row>
    <row r="954">
      <c r="D954" s="133"/>
      <c r="O954" s="55"/>
      <c r="V954" s="55"/>
      <c r="AC954" s="55"/>
      <c r="AJ954" s="55"/>
    </row>
    <row r="955">
      <c r="D955" s="133"/>
      <c r="O955" s="55"/>
      <c r="V955" s="55"/>
      <c r="AC955" s="55"/>
      <c r="AJ955" s="55"/>
    </row>
    <row r="956">
      <c r="D956" s="133"/>
      <c r="O956" s="55"/>
      <c r="V956" s="55"/>
      <c r="AC956" s="55"/>
      <c r="AJ956" s="55"/>
    </row>
    <row r="957">
      <c r="D957" s="133"/>
      <c r="O957" s="55"/>
      <c r="V957" s="55"/>
      <c r="AC957" s="55"/>
      <c r="AJ957" s="55"/>
    </row>
    <row r="958">
      <c r="D958" s="133"/>
      <c r="O958" s="55"/>
      <c r="V958" s="55"/>
      <c r="AC958" s="55"/>
      <c r="AJ958" s="55"/>
    </row>
    <row r="959">
      <c r="D959" s="133"/>
      <c r="O959" s="55"/>
      <c r="V959" s="55"/>
      <c r="AC959" s="55"/>
      <c r="AJ959" s="55"/>
    </row>
    <row r="960">
      <c r="D960" s="133"/>
      <c r="O960" s="55"/>
      <c r="V960" s="55"/>
      <c r="AC960" s="55"/>
      <c r="AJ960" s="55"/>
    </row>
    <row r="961">
      <c r="D961" s="133"/>
      <c r="O961" s="55"/>
      <c r="V961" s="55"/>
      <c r="AC961" s="55"/>
      <c r="AJ961" s="55"/>
    </row>
    <row r="962">
      <c r="D962" s="133"/>
      <c r="O962" s="55"/>
      <c r="V962" s="55"/>
      <c r="AC962" s="55"/>
      <c r="AJ962" s="55"/>
    </row>
    <row r="963">
      <c r="D963" s="133"/>
      <c r="O963" s="55"/>
      <c r="V963" s="55"/>
      <c r="AC963" s="55"/>
      <c r="AJ963" s="55"/>
    </row>
    <row r="964">
      <c r="D964" s="133"/>
      <c r="O964" s="55"/>
      <c r="V964" s="55"/>
      <c r="AC964" s="55"/>
      <c r="AJ964" s="55"/>
    </row>
    <row r="965">
      <c r="D965" s="133"/>
      <c r="O965" s="55"/>
      <c r="V965" s="55"/>
      <c r="AC965" s="55"/>
      <c r="AJ965" s="55"/>
    </row>
    <row r="966">
      <c r="D966" s="133"/>
      <c r="O966" s="55"/>
      <c r="V966" s="55"/>
      <c r="AC966" s="55"/>
      <c r="AJ966" s="55"/>
    </row>
    <row r="967">
      <c r="D967" s="133"/>
      <c r="O967" s="55"/>
      <c r="V967" s="55"/>
      <c r="AC967" s="55"/>
      <c r="AJ967" s="55"/>
    </row>
    <row r="968">
      <c r="D968" s="133"/>
      <c r="O968" s="55"/>
      <c r="V968" s="55"/>
      <c r="AC968" s="55"/>
      <c r="AJ968" s="55"/>
    </row>
    <row r="969">
      <c r="D969" s="133"/>
      <c r="O969" s="55"/>
      <c r="V969" s="55"/>
      <c r="AC969" s="55"/>
      <c r="AJ969" s="55"/>
    </row>
    <row r="970">
      <c r="D970" s="133"/>
      <c r="O970" s="55"/>
      <c r="V970" s="55"/>
      <c r="AC970" s="55"/>
      <c r="AJ970" s="55"/>
    </row>
    <row r="971">
      <c r="D971" s="133"/>
      <c r="O971" s="55"/>
      <c r="V971" s="55"/>
      <c r="AC971" s="55"/>
      <c r="AJ971" s="55"/>
    </row>
    <row r="972">
      <c r="D972" s="133"/>
      <c r="O972" s="55"/>
      <c r="V972" s="55"/>
      <c r="AC972" s="55"/>
      <c r="AJ972" s="55"/>
    </row>
    <row r="973">
      <c r="D973" s="133"/>
      <c r="O973" s="55"/>
      <c r="V973" s="55"/>
      <c r="AC973" s="55"/>
      <c r="AJ973" s="55"/>
    </row>
    <row r="974">
      <c r="D974" s="133"/>
      <c r="O974" s="55"/>
      <c r="V974" s="55"/>
      <c r="AC974" s="55"/>
      <c r="AJ974" s="55"/>
    </row>
    <row r="975">
      <c r="D975" s="133"/>
      <c r="O975" s="55"/>
      <c r="V975" s="55"/>
      <c r="AC975" s="55"/>
      <c r="AJ975" s="55"/>
    </row>
    <row r="976">
      <c r="D976" s="133"/>
      <c r="O976" s="55"/>
      <c r="V976" s="55"/>
      <c r="AC976" s="55"/>
      <c r="AJ976" s="55"/>
    </row>
    <row r="977">
      <c r="D977" s="133"/>
      <c r="O977" s="55"/>
      <c r="V977" s="55"/>
      <c r="AC977" s="55"/>
      <c r="AJ977" s="55"/>
    </row>
    <row r="978">
      <c r="D978" s="133"/>
      <c r="O978" s="55"/>
      <c r="V978" s="55"/>
      <c r="AC978" s="55"/>
      <c r="AJ978" s="55"/>
    </row>
    <row r="979">
      <c r="D979" s="133"/>
      <c r="O979" s="55"/>
      <c r="V979" s="55"/>
      <c r="AC979" s="55"/>
      <c r="AJ979" s="55"/>
    </row>
    <row r="980">
      <c r="D980" s="133"/>
      <c r="O980" s="55"/>
      <c r="V980" s="55"/>
      <c r="AC980" s="55"/>
      <c r="AJ980" s="55"/>
    </row>
    <row r="981">
      <c r="D981" s="133"/>
      <c r="O981" s="55"/>
      <c r="V981" s="55"/>
      <c r="AC981" s="55"/>
      <c r="AJ981" s="55"/>
    </row>
    <row r="982">
      <c r="D982" s="133"/>
      <c r="O982" s="55"/>
      <c r="V982" s="55"/>
      <c r="AC982" s="55"/>
      <c r="AJ982" s="55"/>
    </row>
    <row r="983">
      <c r="D983" s="133"/>
      <c r="O983" s="55"/>
      <c r="V983" s="55"/>
      <c r="AC983" s="55"/>
      <c r="AJ983" s="55"/>
    </row>
    <row r="984">
      <c r="D984" s="133"/>
      <c r="O984" s="55"/>
      <c r="V984" s="55"/>
      <c r="AC984" s="55"/>
      <c r="AJ984" s="55"/>
    </row>
    <row r="985">
      <c r="D985" s="133"/>
      <c r="O985" s="55"/>
      <c r="V985" s="55"/>
      <c r="AC985" s="55"/>
      <c r="AJ985" s="55"/>
    </row>
    <row r="986">
      <c r="D986" s="133"/>
      <c r="O986" s="55"/>
      <c r="V986" s="55"/>
      <c r="AC986" s="55"/>
      <c r="AJ986" s="55"/>
    </row>
    <row r="987">
      <c r="D987" s="133"/>
      <c r="O987" s="55"/>
      <c r="V987" s="55"/>
      <c r="AC987" s="55"/>
      <c r="AJ987" s="55"/>
    </row>
    <row r="988">
      <c r="D988" s="133"/>
      <c r="O988" s="55"/>
      <c r="V988" s="55"/>
      <c r="AC988" s="55"/>
      <c r="AJ988" s="55"/>
    </row>
    <row r="989">
      <c r="D989" s="133"/>
      <c r="O989" s="55"/>
      <c r="V989" s="55"/>
      <c r="AC989" s="55"/>
      <c r="AJ989" s="55"/>
    </row>
    <row r="990">
      <c r="D990" s="133"/>
      <c r="O990" s="55"/>
      <c r="V990" s="55"/>
      <c r="AC990" s="55"/>
      <c r="AJ990" s="55"/>
    </row>
    <row r="991">
      <c r="D991" s="133"/>
      <c r="O991" s="55"/>
      <c r="V991" s="55"/>
      <c r="AC991" s="55"/>
      <c r="AJ991" s="55"/>
    </row>
    <row r="992">
      <c r="D992" s="133"/>
      <c r="O992" s="55"/>
      <c r="V992" s="55"/>
      <c r="AC992" s="55"/>
      <c r="AJ992" s="55"/>
    </row>
    <row r="993">
      <c r="D993" s="133"/>
      <c r="O993" s="55"/>
      <c r="V993" s="55"/>
      <c r="AC993" s="55"/>
      <c r="AJ993" s="55"/>
    </row>
    <row r="994">
      <c r="D994" s="133"/>
      <c r="O994" s="55"/>
      <c r="V994" s="55"/>
      <c r="AC994" s="55"/>
      <c r="AJ994" s="55"/>
    </row>
    <row r="995">
      <c r="D995" s="133"/>
      <c r="O995" s="55"/>
      <c r="V995" s="55"/>
      <c r="AC995" s="55"/>
      <c r="AJ995" s="55"/>
    </row>
    <row r="996">
      <c r="D996" s="133"/>
      <c r="O996" s="55"/>
      <c r="V996" s="55"/>
      <c r="AC996" s="55"/>
      <c r="AJ996" s="55"/>
    </row>
    <row r="997">
      <c r="D997" s="133"/>
      <c r="O997" s="55"/>
      <c r="V997" s="55"/>
      <c r="AC997" s="55"/>
      <c r="AJ997" s="55"/>
    </row>
    <row r="998">
      <c r="D998" s="133"/>
      <c r="O998" s="55"/>
      <c r="V998" s="55"/>
      <c r="AC998" s="55"/>
      <c r="AJ998" s="55"/>
    </row>
    <row r="999">
      <c r="D999" s="133"/>
      <c r="O999" s="55"/>
      <c r="V999" s="55"/>
      <c r="AC999" s="55"/>
      <c r="AJ999" s="55"/>
    </row>
    <row r="1000">
      <c r="D1000" s="133"/>
      <c r="O1000" s="55"/>
      <c r="V1000" s="55"/>
      <c r="AC1000" s="55"/>
      <c r="AJ1000" s="55"/>
    </row>
    <row r="1001">
      <c r="D1001" s="133"/>
      <c r="O1001" s="55"/>
      <c r="V1001" s="55"/>
      <c r="AC1001" s="55"/>
      <c r="AJ1001" s="55"/>
    </row>
    <row r="1002">
      <c r="D1002" s="133"/>
      <c r="O1002" s="55"/>
      <c r="V1002" s="55"/>
      <c r="AC1002" s="55"/>
      <c r="AJ1002" s="55"/>
    </row>
    <row r="1003">
      <c r="D1003" s="133"/>
      <c r="O1003" s="55"/>
      <c r="V1003" s="55"/>
      <c r="AC1003" s="55"/>
      <c r="AJ1003" s="55"/>
    </row>
    <row r="1004">
      <c r="D1004" s="133"/>
      <c r="O1004" s="55"/>
      <c r="V1004" s="55"/>
      <c r="AC1004" s="55"/>
      <c r="AJ1004" s="55"/>
    </row>
    <row r="1005">
      <c r="D1005" s="133"/>
      <c r="O1005" s="55"/>
      <c r="V1005" s="55"/>
      <c r="AC1005" s="55"/>
      <c r="AJ1005" s="55"/>
    </row>
    <row r="1006">
      <c r="D1006" s="133"/>
      <c r="O1006" s="55"/>
      <c r="V1006" s="55"/>
      <c r="AC1006" s="55"/>
      <c r="AJ1006" s="55"/>
    </row>
    <row r="1007">
      <c r="D1007" s="133"/>
      <c r="O1007" s="55"/>
      <c r="V1007" s="55"/>
      <c r="AC1007" s="55"/>
      <c r="AJ1007" s="55"/>
    </row>
    <row r="1008">
      <c r="D1008" s="133"/>
      <c r="O1008" s="55"/>
      <c r="V1008" s="55"/>
      <c r="AC1008" s="55"/>
      <c r="AJ1008" s="55"/>
    </row>
    <row r="1009">
      <c r="D1009" s="133"/>
      <c r="O1009" s="55"/>
      <c r="V1009" s="55"/>
      <c r="AC1009" s="55"/>
      <c r="AJ1009" s="55"/>
    </row>
    <row r="1010">
      <c r="D1010" s="133"/>
      <c r="O1010" s="55"/>
      <c r="V1010" s="55"/>
      <c r="AC1010" s="55"/>
      <c r="AJ1010" s="55"/>
    </row>
    <row r="1011">
      <c r="D1011" s="133"/>
      <c r="O1011" s="55"/>
      <c r="V1011" s="55"/>
      <c r="AC1011" s="55"/>
      <c r="AJ1011" s="55"/>
    </row>
    <row r="1012">
      <c r="D1012" s="133"/>
      <c r="O1012" s="55"/>
      <c r="V1012" s="55"/>
      <c r="AC1012" s="55"/>
      <c r="AJ1012" s="55"/>
    </row>
    <row r="1013">
      <c r="D1013" s="133"/>
      <c r="O1013" s="55"/>
      <c r="V1013" s="55"/>
      <c r="AC1013" s="55"/>
      <c r="AJ1013" s="55"/>
    </row>
    <row r="1014">
      <c r="D1014" s="133"/>
      <c r="O1014" s="55"/>
      <c r="V1014" s="55"/>
      <c r="AC1014" s="55"/>
      <c r="AJ1014" s="55"/>
    </row>
    <row r="1015">
      <c r="D1015" s="133"/>
      <c r="O1015" s="55"/>
      <c r="V1015" s="55"/>
      <c r="AC1015" s="55"/>
      <c r="AJ1015" s="55"/>
    </row>
    <row r="1016">
      <c r="D1016" s="133"/>
      <c r="O1016" s="55"/>
      <c r="V1016" s="55"/>
      <c r="AC1016" s="55"/>
      <c r="AJ1016" s="55"/>
    </row>
    <row r="1017">
      <c r="D1017" s="133"/>
      <c r="O1017" s="55"/>
      <c r="V1017" s="55"/>
      <c r="AC1017" s="55"/>
      <c r="AJ1017" s="55"/>
    </row>
    <row r="1018">
      <c r="D1018" s="133"/>
      <c r="O1018" s="55"/>
      <c r="V1018" s="55"/>
      <c r="AC1018" s="55"/>
      <c r="AJ1018" s="55"/>
    </row>
    <row r="1019">
      <c r="D1019" s="133"/>
      <c r="O1019" s="55"/>
      <c r="V1019" s="55"/>
      <c r="AC1019" s="55"/>
      <c r="AJ1019" s="55"/>
    </row>
    <row r="1020">
      <c r="D1020" s="133"/>
      <c r="O1020" s="55"/>
      <c r="V1020" s="55"/>
      <c r="AC1020" s="55"/>
      <c r="AJ1020" s="55"/>
    </row>
    <row r="1021">
      <c r="D1021" s="133"/>
      <c r="O1021" s="55"/>
      <c r="V1021" s="55"/>
      <c r="AC1021" s="55"/>
      <c r="AJ1021" s="55"/>
    </row>
    <row r="1022">
      <c r="D1022" s="133"/>
      <c r="O1022" s="55"/>
      <c r="V1022" s="55"/>
      <c r="AC1022" s="55"/>
      <c r="AJ1022" s="55"/>
    </row>
    <row r="1023">
      <c r="D1023" s="133"/>
      <c r="O1023" s="55"/>
      <c r="V1023" s="55"/>
      <c r="AC1023" s="55"/>
      <c r="AJ1023" s="55"/>
    </row>
    <row r="1024">
      <c r="D1024" s="133"/>
      <c r="O1024" s="55"/>
      <c r="V1024" s="55"/>
      <c r="AC1024" s="55"/>
      <c r="AJ1024" s="55"/>
    </row>
    <row r="1025">
      <c r="D1025" s="133"/>
      <c r="O1025" s="55"/>
      <c r="V1025" s="55"/>
      <c r="AC1025" s="55"/>
      <c r="AJ1025" s="55"/>
    </row>
    <row r="1026">
      <c r="D1026" s="133"/>
      <c r="O1026" s="55"/>
      <c r="V1026" s="55"/>
      <c r="AC1026" s="55"/>
      <c r="AJ1026" s="55"/>
    </row>
    <row r="1027">
      <c r="D1027" s="133"/>
      <c r="O1027" s="55"/>
      <c r="V1027" s="55"/>
      <c r="AC1027" s="55"/>
      <c r="AJ1027" s="55"/>
    </row>
    <row r="1028">
      <c r="D1028" s="133"/>
      <c r="O1028" s="55"/>
      <c r="V1028" s="55"/>
      <c r="AC1028" s="55"/>
      <c r="AJ1028" s="55"/>
    </row>
    <row r="1029">
      <c r="D1029" s="133"/>
      <c r="O1029" s="55"/>
      <c r="V1029" s="55"/>
      <c r="AC1029" s="55"/>
      <c r="AJ1029" s="55"/>
    </row>
    <row r="1030">
      <c r="D1030" s="133"/>
      <c r="O1030" s="55"/>
      <c r="V1030" s="55"/>
      <c r="AC1030" s="55"/>
      <c r="AJ1030" s="55"/>
    </row>
    <row r="1031">
      <c r="D1031" s="133"/>
      <c r="O1031" s="55"/>
      <c r="V1031" s="55"/>
      <c r="AC1031" s="55"/>
      <c r="AJ1031" s="55"/>
    </row>
    <row r="1032">
      <c r="D1032" s="133"/>
      <c r="O1032" s="55"/>
      <c r="V1032" s="55"/>
      <c r="AC1032" s="55"/>
      <c r="AJ1032" s="55"/>
    </row>
    <row r="1033">
      <c r="D1033" s="133"/>
      <c r="O1033" s="55"/>
      <c r="V1033" s="55"/>
      <c r="AC1033" s="55"/>
      <c r="AJ1033" s="55"/>
    </row>
    <row r="1034">
      <c r="D1034" s="133"/>
      <c r="O1034" s="55"/>
      <c r="V1034" s="55"/>
      <c r="AC1034" s="55"/>
      <c r="AJ1034" s="55"/>
    </row>
    <row r="1035">
      <c r="D1035" s="133"/>
      <c r="O1035" s="55"/>
      <c r="V1035" s="55"/>
      <c r="AC1035" s="55"/>
      <c r="AJ1035" s="55"/>
    </row>
    <row r="1036">
      <c r="D1036" s="133"/>
      <c r="O1036" s="55"/>
      <c r="V1036" s="55"/>
      <c r="AC1036" s="55"/>
      <c r="AJ1036" s="55"/>
    </row>
    <row r="1037">
      <c r="D1037" s="133"/>
      <c r="O1037" s="55"/>
      <c r="V1037" s="55"/>
      <c r="AC1037" s="55"/>
      <c r="AJ1037" s="55"/>
    </row>
    <row r="1038">
      <c r="D1038" s="133"/>
      <c r="O1038" s="55"/>
      <c r="V1038" s="55"/>
      <c r="AC1038" s="55"/>
      <c r="AJ1038" s="55"/>
    </row>
    <row r="1039">
      <c r="D1039" s="133"/>
      <c r="O1039" s="55"/>
      <c r="V1039" s="55"/>
      <c r="AC1039" s="55"/>
      <c r="AJ1039" s="55"/>
    </row>
    <row r="1040">
      <c r="D1040" s="133"/>
      <c r="O1040" s="55"/>
      <c r="V1040" s="55"/>
      <c r="AC1040" s="55"/>
      <c r="AJ1040" s="55"/>
    </row>
    <row r="1041">
      <c r="D1041" s="133"/>
      <c r="O1041" s="55"/>
      <c r="V1041" s="55"/>
      <c r="AC1041" s="55"/>
      <c r="AJ1041" s="55"/>
    </row>
    <row r="1042">
      <c r="D1042" s="133"/>
      <c r="O1042" s="55"/>
      <c r="V1042" s="55"/>
      <c r="AC1042" s="55"/>
      <c r="AJ1042" s="55"/>
    </row>
    <row r="1043">
      <c r="D1043" s="133"/>
      <c r="O1043" s="55"/>
      <c r="V1043" s="55"/>
      <c r="AC1043" s="55"/>
      <c r="AJ1043" s="55"/>
    </row>
    <row r="1044">
      <c r="D1044" s="133"/>
      <c r="O1044" s="55"/>
      <c r="V1044" s="55"/>
      <c r="AC1044" s="55"/>
      <c r="AJ1044" s="55"/>
    </row>
    <row r="1045">
      <c r="D1045" s="133"/>
      <c r="O1045" s="55"/>
      <c r="V1045" s="55"/>
      <c r="AC1045" s="55"/>
      <c r="AJ1045" s="55"/>
    </row>
    <row r="1046">
      <c r="D1046" s="133"/>
      <c r="O1046" s="55"/>
      <c r="V1046" s="55"/>
      <c r="AC1046" s="55"/>
      <c r="AJ1046" s="55"/>
    </row>
    <row r="1047">
      <c r="D1047" s="133"/>
      <c r="O1047" s="55"/>
      <c r="V1047" s="55"/>
      <c r="AC1047" s="55"/>
      <c r="AJ1047" s="55"/>
    </row>
    <row r="1048">
      <c r="D1048" s="133"/>
      <c r="O1048" s="55"/>
      <c r="V1048" s="55"/>
      <c r="AC1048" s="55"/>
      <c r="AJ1048" s="55"/>
    </row>
    <row r="1049">
      <c r="D1049" s="133"/>
      <c r="O1049" s="55"/>
      <c r="V1049" s="55"/>
      <c r="AC1049" s="55"/>
      <c r="AJ1049" s="55"/>
    </row>
    <row r="1050">
      <c r="D1050" s="133"/>
      <c r="O1050" s="55"/>
      <c r="V1050" s="55"/>
      <c r="AC1050" s="55"/>
      <c r="AJ1050" s="55"/>
    </row>
    <row r="1051">
      <c r="D1051" s="133"/>
      <c r="O1051" s="55"/>
      <c r="V1051" s="55"/>
      <c r="AC1051" s="55"/>
      <c r="AJ1051" s="55"/>
    </row>
    <row r="1052">
      <c r="D1052" s="133"/>
      <c r="O1052" s="55"/>
      <c r="V1052" s="55"/>
      <c r="AC1052" s="55"/>
      <c r="AJ1052" s="55"/>
    </row>
    <row r="1053">
      <c r="D1053" s="133"/>
      <c r="O1053" s="55"/>
      <c r="V1053" s="55"/>
      <c r="AC1053" s="55"/>
      <c r="AJ1053" s="55"/>
    </row>
    <row r="1054">
      <c r="D1054" s="133"/>
      <c r="O1054" s="55"/>
      <c r="V1054" s="55"/>
      <c r="AC1054" s="55"/>
      <c r="AJ1054" s="55"/>
    </row>
    <row r="1055">
      <c r="D1055" s="133"/>
      <c r="O1055" s="55"/>
      <c r="V1055" s="55"/>
      <c r="AC1055" s="55"/>
      <c r="AJ1055" s="55"/>
    </row>
    <row r="1056">
      <c r="D1056" s="133"/>
      <c r="O1056" s="55"/>
      <c r="V1056" s="55"/>
      <c r="AC1056" s="55"/>
      <c r="AJ1056" s="55"/>
    </row>
    <row r="1057">
      <c r="D1057" s="133"/>
      <c r="O1057" s="55"/>
      <c r="V1057" s="55"/>
      <c r="AC1057" s="55"/>
      <c r="AJ1057" s="55"/>
    </row>
    <row r="1058">
      <c r="D1058" s="133"/>
      <c r="O1058" s="55"/>
      <c r="V1058" s="55"/>
      <c r="AC1058" s="55"/>
      <c r="AJ1058" s="55"/>
    </row>
    <row r="1059">
      <c r="D1059" s="133"/>
      <c r="O1059" s="55"/>
      <c r="V1059" s="55"/>
      <c r="AC1059" s="55"/>
      <c r="AJ1059" s="55"/>
    </row>
    <row r="1060">
      <c r="D1060" s="133"/>
      <c r="O1060" s="55"/>
      <c r="V1060" s="55"/>
      <c r="AC1060" s="55"/>
      <c r="AJ1060" s="55"/>
    </row>
    <row r="1061">
      <c r="D1061" s="133"/>
      <c r="O1061" s="55"/>
      <c r="V1061" s="55"/>
      <c r="AC1061" s="55"/>
      <c r="AJ1061" s="55"/>
    </row>
    <row r="1062">
      <c r="D1062" s="133"/>
      <c r="O1062" s="55"/>
      <c r="V1062" s="55"/>
      <c r="AC1062" s="55"/>
      <c r="AJ1062" s="55"/>
    </row>
    <row r="1063">
      <c r="D1063" s="133"/>
      <c r="O1063" s="55"/>
      <c r="V1063" s="55"/>
      <c r="AC1063" s="55"/>
      <c r="AJ1063" s="55"/>
    </row>
    <row r="1064">
      <c r="D1064" s="133"/>
      <c r="O1064" s="55"/>
      <c r="V1064" s="55"/>
      <c r="AC1064" s="55"/>
      <c r="AJ1064" s="55"/>
    </row>
    <row r="1065">
      <c r="D1065" s="133"/>
      <c r="O1065" s="55"/>
      <c r="V1065" s="55"/>
      <c r="AC1065" s="55"/>
      <c r="AJ1065" s="55"/>
    </row>
    <row r="1066">
      <c r="D1066" s="133"/>
      <c r="O1066" s="55"/>
      <c r="V1066" s="55"/>
      <c r="AC1066" s="55"/>
      <c r="AJ1066" s="55"/>
    </row>
    <row r="1067">
      <c r="D1067" s="133"/>
      <c r="O1067" s="55"/>
      <c r="V1067" s="55"/>
      <c r="AC1067" s="55"/>
      <c r="AJ1067" s="55"/>
    </row>
    <row r="1068">
      <c r="D1068" s="133"/>
      <c r="O1068" s="55"/>
      <c r="V1068" s="55"/>
      <c r="AC1068" s="55"/>
      <c r="AJ1068" s="55"/>
    </row>
    <row r="1069">
      <c r="D1069" s="133"/>
      <c r="O1069" s="55"/>
      <c r="V1069" s="55"/>
      <c r="AC1069" s="55"/>
      <c r="AJ1069" s="55"/>
    </row>
    <row r="1070">
      <c r="D1070" s="133"/>
      <c r="O1070" s="55"/>
      <c r="V1070" s="55"/>
      <c r="AC1070" s="55"/>
      <c r="AJ1070" s="55"/>
    </row>
    <row r="1071">
      <c r="D1071" s="133"/>
      <c r="O1071" s="55"/>
      <c r="V1071" s="55"/>
      <c r="AC1071" s="55"/>
      <c r="AJ1071" s="55"/>
    </row>
    <row r="1072">
      <c r="D1072" s="133"/>
      <c r="O1072" s="55"/>
      <c r="V1072" s="55"/>
      <c r="AC1072" s="55"/>
      <c r="AJ1072" s="55"/>
    </row>
    <row r="1073">
      <c r="D1073" s="133"/>
      <c r="O1073" s="55"/>
      <c r="V1073" s="55"/>
      <c r="AC1073" s="55"/>
      <c r="AJ1073" s="55"/>
    </row>
    <row r="1074">
      <c r="D1074" s="133"/>
      <c r="O1074" s="55"/>
      <c r="V1074" s="55"/>
      <c r="AC1074" s="55"/>
      <c r="AJ1074" s="55"/>
    </row>
    <row r="1075">
      <c r="D1075" s="133"/>
      <c r="O1075" s="55"/>
      <c r="V1075" s="55"/>
      <c r="AC1075" s="55"/>
      <c r="AJ1075" s="55"/>
    </row>
    <row r="1076">
      <c r="D1076" s="133"/>
      <c r="O1076" s="55"/>
      <c r="V1076" s="55"/>
      <c r="AC1076" s="55"/>
      <c r="AJ1076" s="55"/>
    </row>
    <row r="1077">
      <c r="D1077" s="133"/>
      <c r="O1077" s="55"/>
      <c r="V1077" s="55"/>
      <c r="AC1077" s="55"/>
      <c r="AJ1077" s="55"/>
    </row>
    <row r="1078">
      <c r="D1078" s="133"/>
      <c r="O1078" s="55"/>
      <c r="V1078" s="55"/>
      <c r="AC1078" s="55"/>
      <c r="AJ1078" s="55"/>
    </row>
    <row r="1079">
      <c r="D1079" s="133"/>
      <c r="O1079" s="55"/>
      <c r="V1079" s="55"/>
      <c r="AC1079" s="55"/>
      <c r="AJ1079" s="55"/>
    </row>
    <row r="1080">
      <c r="D1080" s="133"/>
      <c r="O1080" s="55"/>
      <c r="V1080" s="55"/>
      <c r="AC1080" s="55"/>
      <c r="AJ1080" s="55"/>
    </row>
    <row r="1081">
      <c r="D1081" s="133"/>
      <c r="O1081" s="55"/>
      <c r="V1081" s="55"/>
      <c r="AC1081" s="55"/>
      <c r="AJ1081" s="55"/>
    </row>
    <row r="1082">
      <c r="D1082" s="133"/>
      <c r="O1082" s="55"/>
      <c r="V1082" s="55"/>
      <c r="AC1082" s="55"/>
      <c r="AJ1082" s="55"/>
    </row>
    <row r="1083">
      <c r="D1083" s="133"/>
      <c r="O1083" s="55"/>
      <c r="V1083" s="55"/>
      <c r="AC1083" s="55"/>
      <c r="AJ1083" s="55"/>
    </row>
    <row r="1084">
      <c r="D1084" s="133"/>
      <c r="O1084" s="55"/>
      <c r="V1084" s="55"/>
      <c r="AC1084" s="55"/>
      <c r="AJ1084" s="55"/>
    </row>
    <row r="1085">
      <c r="D1085" s="133"/>
      <c r="O1085" s="55"/>
      <c r="V1085" s="55"/>
      <c r="AC1085" s="55"/>
      <c r="AJ1085" s="55"/>
    </row>
    <row r="1086">
      <c r="D1086" s="133"/>
      <c r="O1086" s="55"/>
      <c r="V1086" s="55"/>
      <c r="AC1086" s="55"/>
      <c r="AJ1086" s="55"/>
    </row>
    <row r="1087">
      <c r="D1087" s="133"/>
      <c r="O1087" s="55"/>
      <c r="V1087" s="55"/>
      <c r="AC1087" s="55"/>
      <c r="AJ1087" s="55"/>
    </row>
    <row r="1088">
      <c r="D1088" s="133"/>
      <c r="O1088" s="55"/>
      <c r="V1088" s="55"/>
      <c r="AC1088" s="55"/>
      <c r="AJ1088" s="55"/>
    </row>
    <row r="1089">
      <c r="D1089" s="133"/>
      <c r="O1089" s="55"/>
      <c r="V1089" s="55"/>
      <c r="AC1089" s="55"/>
      <c r="AJ1089" s="55"/>
    </row>
  </sheetData>
  <mergeCells count="294">
    <mergeCell ref="K84:M84"/>
    <mergeCell ref="R84:T84"/>
    <mergeCell ref="J87:O87"/>
    <mergeCell ref="Q87:V87"/>
    <mergeCell ref="X87:AC87"/>
    <mergeCell ref="R88:V88"/>
    <mergeCell ref="Y88:AC88"/>
    <mergeCell ref="K88:O88"/>
    <mergeCell ref="K89:O89"/>
    <mergeCell ref="R89:V89"/>
    <mergeCell ref="Y89:AC89"/>
    <mergeCell ref="K90:O90"/>
    <mergeCell ref="Y90:AC90"/>
    <mergeCell ref="Y91:AC91"/>
    <mergeCell ref="C115:D115"/>
    <mergeCell ref="C125:H125"/>
    <mergeCell ref="J125:N125"/>
    <mergeCell ref="C142:H142"/>
    <mergeCell ref="D143:H143"/>
    <mergeCell ref="D144:H144"/>
    <mergeCell ref="D145:H145"/>
    <mergeCell ref="D159:G159"/>
    <mergeCell ref="B168:G168"/>
    <mergeCell ref="I168:N168"/>
    <mergeCell ref="P168:U168"/>
    <mergeCell ref="W168:AB168"/>
    <mergeCell ref="AD168:AI168"/>
    <mergeCell ref="D146:H146"/>
    <mergeCell ref="D147:H147"/>
    <mergeCell ref="D148:H148"/>
    <mergeCell ref="D151:H151"/>
    <mergeCell ref="D156:G156"/>
    <mergeCell ref="D157:G157"/>
    <mergeCell ref="D158:G158"/>
    <mergeCell ref="D177:E177"/>
    <mergeCell ref="K177:L177"/>
    <mergeCell ref="R177:S177"/>
    <mergeCell ref="Y177:Z177"/>
    <mergeCell ref="AF177:AG177"/>
    <mergeCell ref="D178:E178"/>
    <mergeCell ref="K178:L178"/>
    <mergeCell ref="R178:S178"/>
    <mergeCell ref="K179:L179"/>
    <mergeCell ref="R179:S179"/>
    <mergeCell ref="R176:S176"/>
    <mergeCell ref="R180:S180"/>
    <mergeCell ref="R181:S181"/>
    <mergeCell ref="R182:S182"/>
    <mergeCell ref="W185:W192"/>
    <mergeCell ref="AD185:AD192"/>
    <mergeCell ref="R192:S192"/>
    <mergeCell ref="Y192:Z192"/>
    <mergeCell ref="A170:A184"/>
    <mergeCell ref="B170:B183"/>
    <mergeCell ref="I170:I179"/>
    <mergeCell ref="P170:P182"/>
    <mergeCell ref="W170:W179"/>
    <mergeCell ref="AD170:AD177"/>
    <mergeCell ref="Y179:Z179"/>
    <mergeCell ref="D192:E192"/>
    <mergeCell ref="F192:G192"/>
    <mergeCell ref="AF192:AG192"/>
    <mergeCell ref="AF193:AG193"/>
    <mergeCell ref="K192:L192"/>
    <mergeCell ref="D193:E193"/>
    <mergeCell ref="F193:G193"/>
    <mergeCell ref="D184:E184"/>
    <mergeCell ref="D194:E194"/>
    <mergeCell ref="F194:G194"/>
    <mergeCell ref="D195:E195"/>
    <mergeCell ref="F197:G197"/>
    <mergeCell ref="D198:E198"/>
    <mergeCell ref="R193:S193"/>
    <mergeCell ref="R201:S201"/>
    <mergeCell ref="P203:P209"/>
    <mergeCell ref="W203:W209"/>
    <mergeCell ref="AD203:AD209"/>
    <mergeCell ref="R209:S209"/>
    <mergeCell ref="Y209:Z209"/>
    <mergeCell ref="AF209:AG209"/>
    <mergeCell ref="R183:S183"/>
    <mergeCell ref="A185:A192"/>
    <mergeCell ref="B185:B201"/>
    <mergeCell ref="I185:I192"/>
    <mergeCell ref="P185:P201"/>
    <mergeCell ref="K191:L191"/>
    <mergeCell ref="F200:G200"/>
    <mergeCell ref="B211:B222"/>
    <mergeCell ref="D217:E217"/>
    <mergeCell ref="K217:L217"/>
    <mergeCell ref="R217:S217"/>
    <mergeCell ref="AF217:AG217"/>
    <mergeCell ref="AF218:AG218"/>
    <mergeCell ref="D199:E199"/>
    <mergeCell ref="D200:E200"/>
    <mergeCell ref="A203:A209"/>
    <mergeCell ref="B203:B209"/>
    <mergeCell ref="I203:I209"/>
    <mergeCell ref="D209:E209"/>
    <mergeCell ref="K209:L209"/>
    <mergeCell ref="Y217:Z217"/>
    <mergeCell ref="Y218:Z218"/>
    <mergeCell ref="AD224:AD230"/>
    <mergeCell ref="Y230:Z230"/>
    <mergeCell ref="AF230:AG230"/>
    <mergeCell ref="AD234:AD241"/>
    <mergeCell ref="Y240:Z240"/>
    <mergeCell ref="AF240:AG240"/>
    <mergeCell ref="D196:E196"/>
    <mergeCell ref="A211:A222"/>
    <mergeCell ref="I211:I222"/>
    <mergeCell ref="P211:P222"/>
    <mergeCell ref="W211:W222"/>
    <mergeCell ref="AD211:AD222"/>
    <mergeCell ref="D219:E219"/>
    <mergeCell ref="A224:A230"/>
    <mergeCell ref="A234:A240"/>
    <mergeCell ref="B234:B240"/>
    <mergeCell ref="W224:W230"/>
    <mergeCell ref="W234:W241"/>
    <mergeCell ref="R240:S240"/>
    <mergeCell ref="R241:S241"/>
    <mergeCell ref="D232:E232"/>
    <mergeCell ref="D240:E240"/>
    <mergeCell ref="D241:E241"/>
    <mergeCell ref="E255:H255"/>
    <mergeCell ref="D197:E197"/>
    <mergeCell ref="D218:E218"/>
    <mergeCell ref="B224:B230"/>
    <mergeCell ref="I224:I230"/>
    <mergeCell ref="D230:E230"/>
    <mergeCell ref="D231:E231"/>
    <mergeCell ref="I234:I240"/>
    <mergeCell ref="Y35:AA35"/>
    <mergeCell ref="AF35:AH35"/>
    <mergeCell ref="R36:T36"/>
    <mergeCell ref="Y36:AA36"/>
    <mergeCell ref="R23:T23"/>
    <mergeCell ref="R24:T24"/>
    <mergeCell ref="P26:P36"/>
    <mergeCell ref="W26:W36"/>
    <mergeCell ref="AD26:AD36"/>
    <mergeCell ref="AL26:AL35"/>
    <mergeCell ref="R35:T35"/>
    <mergeCell ref="AF36:AH36"/>
    <mergeCell ref="D11:F11"/>
    <mergeCell ref="K11:M11"/>
    <mergeCell ref="R11:T11"/>
    <mergeCell ref="Y11:AA11"/>
    <mergeCell ref="AN11:AO11"/>
    <mergeCell ref="AF11:AH11"/>
    <mergeCell ref="AF12:AH12"/>
    <mergeCell ref="AD14:AD24"/>
    <mergeCell ref="AL14:AL23"/>
    <mergeCell ref="AF23:AH23"/>
    <mergeCell ref="AN23:AO23"/>
    <mergeCell ref="AF24:AH24"/>
    <mergeCell ref="AN35:AO35"/>
    <mergeCell ref="A2:A12"/>
    <mergeCell ref="I2:I12"/>
    <mergeCell ref="P2:P12"/>
    <mergeCell ref="W2:W12"/>
    <mergeCell ref="AD2:AD12"/>
    <mergeCell ref="AL2:AL11"/>
    <mergeCell ref="Y12:AA12"/>
    <mergeCell ref="K12:M12"/>
    <mergeCell ref="R12:T12"/>
    <mergeCell ref="P14:P24"/>
    <mergeCell ref="W14:W24"/>
    <mergeCell ref="K23:M23"/>
    <mergeCell ref="Y23:AA23"/>
    <mergeCell ref="K24:M24"/>
    <mergeCell ref="Y24:AA24"/>
    <mergeCell ref="B2:B12"/>
    <mergeCell ref="D12:F12"/>
    <mergeCell ref="A14:A24"/>
    <mergeCell ref="B14:B24"/>
    <mergeCell ref="I14:I24"/>
    <mergeCell ref="D23:F23"/>
    <mergeCell ref="D24:F24"/>
    <mergeCell ref="A26:A36"/>
    <mergeCell ref="B26:B36"/>
    <mergeCell ref="I26:I36"/>
    <mergeCell ref="D35:F35"/>
    <mergeCell ref="K35:M35"/>
    <mergeCell ref="D36:F36"/>
    <mergeCell ref="K36:M36"/>
    <mergeCell ref="Y71:AA71"/>
    <mergeCell ref="AF71:AH71"/>
    <mergeCell ref="R72:T72"/>
    <mergeCell ref="Y72:AA72"/>
    <mergeCell ref="R59:T59"/>
    <mergeCell ref="R60:T60"/>
    <mergeCell ref="P62:P72"/>
    <mergeCell ref="W62:W72"/>
    <mergeCell ref="AD62:AD72"/>
    <mergeCell ref="AL62:AL71"/>
    <mergeCell ref="R71:T71"/>
    <mergeCell ref="AF72:AH72"/>
    <mergeCell ref="D47:F47"/>
    <mergeCell ref="K47:M47"/>
    <mergeCell ref="R47:T47"/>
    <mergeCell ref="Y47:AA47"/>
    <mergeCell ref="AN47:AO47"/>
    <mergeCell ref="AF47:AH47"/>
    <mergeCell ref="AF48:AH48"/>
    <mergeCell ref="AD50:AD60"/>
    <mergeCell ref="AL50:AL59"/>
    <mergeCell ref="AF59:AH59"/>
    <mergeCell ref="AN59:AO59"/>
    <mergeCell ref="AF60:AH60"/>
    <mergeCell ref="AN71:AO71"/>
    <mergeCell ref="A38:A48"/>
    <mergeCell ref="I38:I48"/>
    <mergeCell ref="P38:P48"/>
    <mergeCell ref="W38:W48"/>
    <mergeCell ref="AD38:AD48"/>
    <mergeCell ref="AL38:AL47"/>
    <mergeCell ref="Y48:AA48"/>
    <mergeCell ref="K48:M48"/>
    <mergeCell ref="R48:T48"/>
    <mergeCell ref="P50:P60"/>
    <mergeCell ref="W50:W60"/>
    <mergeCell ref="K59:M59"/>
    <mergeCell ref="Y59:AA59"/>
    <mergeCell ref="K60:M60"/>
    <mergeCell ref="Y60:AA60"/>
    <mergeCell ref="B38:B48"/>
    <mergeCell ref="D48:F48"/>
    <mergeCell ref="A50:A60"/>
    <mergeCell ref="B50:B60"/>
    <mergeCell ref="I50:I60"/>
    <mergeCell ref="D59:F59"/>
    <mergeCell ref="D60:F60"/>
    <mergeCell ref="A62:A72"/>
    <mergeCell ref="B62:B72"/>
    <mergeCell ref="I62:I72"/>
    <mergeCell ref="D71:F71"/>
    <mergeCell ref="K71:M71"/>
    <mergeCell ref="D72:F72"/>
    <mergeCell ref="K72:M72"/>
    <mergeCell ref="AF92:AJ92"/>
    <mergeCell ref="AF93:AJ93"/>
    <mergeCell ref="AF83:AH83"/>
    <mergeCell ref="AF84:AH84"/>
    <mergeCell ref="AE87:AJ87"/>
    <mergeCell ref="AF88:AJ88"/>
    <mergeCell ref="AF89:AJ89"/>
    <mergeCell ref="AF90:AJ90"/>
    <mergeCell ref="AF91:AJ91"/>
    <mergeCell ref="D83:F83"/>
    <mergeCell ref="K83:M83"/>
    <mergeCell ref="R83:T83"/>
    <mergeCell ref="Y83:AA83"/>
    <mergeCell ref="AN83:AO83"/>
    <mergeCell ref="A74:A84"/>
    <mergeCell ref="I74:I84"/>
    <mergeCell ref="P74:P84"/>
    <mergeCell ref="W74:W84"/>
    <mergeCell ref="AD74:AD84"/>
    <mergeCell ref="AL74:AL83"/>
    <mergeCell ref="Y84:AA84"/>
    <mergeCell ref="R90:V90"/>
    <mergeCell ref="R91:V91"/>
    <mergeCell ref="R92:V92"/>
    <mergeCell ref="Y92:AC92"/>
    <mergeCell ref="R93:V93"/>
    <mergeCell ref="Y93:AC93"/>
    <mergeCell ref="X96:AC96"/>
    <mergeCell ref="AE96:AJ96"/>
    <mergeCell ref="K91:O91"/>
    <mergeCell ref="K92:O92"/>
    <mergeCell ref="K93:O93"/>
    <mergeCell ref="J96:O96"/>
    <mergeCell ref="Q96:V96"/>
    <mergeCell ref="D92:H92"/>
    <mergeCell ref="D93:H93"/>
    <mergeCell ref="C96:H96"/>
    <mergeCell ref="B74:B84"/>
    <mergeCell ref="D84:F84"/>
    <mergeCell ref="C87:H87"/>
    <mergeCell ref="D88:H88"/>
    <mergeCell ref="D89:H89"/>
    <mergeCell ref="D90:H90"/>
    <mergeCell ref="D91:H91"/>
    <mergeCell ref="R239:S239"/>
    <mergeCell ref="K240:L240"/>
    <mergeCell ref="R218:S218"/>
    <mergeCell ref="R219:S219"/>
    <mergeCell ref="P224:P230"/>
    <mergeCell ref="R229:S229"/>
    <mergeCell ref="K230:L230"/>
    <mergeCell ref="R230:S230"/>
    <mergeCell ref="P234:P24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.63"/>
    <col customWidth="1" min="10" max="10" width="3.25"/>
    <col customWidth="1" min="15" max="15" width="3.0"/>
    <col customWidth="1" min="20" max="20" width="3.0"/>
  </cols>
  <sheetData>
    <row r="1">
      <c r="A1" s="2" t="s">
        <v>0</v>
      </c>
      <c r="B1" s="2" t="s">
        <v>1</v>
      </c>
      <c r="C1" s="4" t="s">
        <v>7</v>
      </c>
      <c r="D1" s="2" t="s">
        <v>3</v>
      </c>
      <c r="F1" s="2" t="s">
        <v>0</v>
      </c>
      <c r="G1" s="2" t="s">
        <v>1</v>
      </c>
      <c r="H1" s="4" t="s">
        <v>7</v>
      </c>
      <c r="I1" s="2" t="s">
        <v>3</v>
      </c>
      <c r="K1" s="2" t="s">
        <v>0</v>
      </c>
      <c r="L1" s="2" t="s">
        <v>1</v>
      </c>
      <c r="M1" s="4" t="s">
        <v>7</v>
      </c>
      <c r="N1" s="2" t="s">
        <v>3</v>
      </c>
      <c r="P1" s="2" t="s">
        <v>0</v>
      </c>
      <c r="Q1" s="2" t="s">
        <v>1</v>
      </c>
      <c r="R1" s="4" t="s">
        <v>7</v>
      </c>
      <c r="S1" s="2" t="s">
        <v>3</v>
      </c>
    </row>
    <row r="2">
      <c r="A2" s="12"/>
      <c r="B2" s="9" t="s">
        <v>10</v>
      </c>
      <c r="C2" s="9"/>
      <c r="D2" s="9"/>
      <c r="F2" s="12"/>
      <c r="G2" s="9" t="s">
        <v>10</v>
      </c>
      <c r="H2" s="9"/>
      <c r="I2" s="9"/>
      <c r="K2" s="12"/>
      <c r="L2" s="9" t="s">
        <v>10</v>
      </c>
      <c r="M2" s="9"/>
      <c r="N2" s="9"/>
      <c r="P2" s="12"/>
      <c r="Q2" s="9" t="s">
        <v>10</v>
      </c>
      <c r="R2" s="9"/>
      <c r="S2" s="9"/>
    </row>
    <row r="3">
      <c r="A3" s="19"/>
      <c r="B3" s="9">
        <v>202.0</v>
      </c>
      <c r="C3" s="9"/>
      <c r="D3" s="9"/>
      <c r="F3" s="19"/>
      <c r="G3" s="9">
        <v>202.0</v>
      </c>
      <c r="H3" s="9"/>
      <c r="I3" s="9"/>
      <c r="K3" s="19"/>
      <c r="L3" s="9">
        <v>202.0</v>
      </c>
      <c r="M3" s="9"/>
      <c r="N3" s="9"/>
      <c r="P3" s="19"/>
      <c r="Q3" s="9">
        <v>202.0</v>
      </c>
      <c r="R3" s="9"/>
      <c r="S3" s="9"/>
    </row>
    <row r="4">
      <c r="A4" s="19"/>
      <c r="B4" s="9">
        <v>213.0</v>
      </c>
      <c r="C4" s="9"/>
      <c r="D4" s="9"/>
      <c r="F4" s="19"/>
      <c r="G4" s="9">
        <v>213.0</v>
      </c>
      <c r="H4" s="9"/>
      <c r="I4" s="9"/>
      <c r="K4" s="19"/>
      <c r="L4" s="9">
        <v>213.0</v>
      </c>
      <c r="M4" s="9"/>
      <c r="N4" s="9"/>
      <c r="P4" s="19"/>
      <c r="Q4" s="9">
        <v>213.0</v>
      </c>
      <c r="R4" s="9"/>
      <c r="S4" s="9"/>
    </row>
    <row r="5">
      <c r="A5" s="19"/>
      <c r="B5" s="9">
        <v>307.0</v>
      </c>
      <c r="C5" s="9"/>
      <c r="D5" s="9"/>
      <c r="F5" s="19"/>
      <c r="G5" s="9">
        <v>307.0</v>
      </c>
      <c r="H5" s="9"/>
      <c r="I5" s="9"/>
      <c r="K5" s="19"/>
      <c r="L5" s="9">
        <v>307.0</v>
      </c>
      <c r="M5" s="9"/>
      <c r="N5" s="9"/>
      <c r="P5" s="19"/>
      <c r="Q5" s="9">
        <v>307.0</v>
      </c>
      <c r="R5" s="9"/>
      <c r="S5" s="9"/>
    </row>
    <row r="6">
      <c r="A6" s="19"/>
      <c r="B6" s="9">
        <v>313.0</v>
      </c>
      <c r="C6" s="9"/>
      <c r="D6" s="9"/>
      <c r="F6" s="19"/>
      <c r="G6" s="9">
        <v>313.0</v>
      </c>
      <c r="H6" s="9"/>
      <c r="I6" s="9"/>
      <c r="K6" s="19"/>
      <c r="L6" s="9">
        <v>313.0</v>
      </c>
      <c r="M6" s="9"/>
      <c r="N6" s="9"/>
      <c r="P6" s="19"/>
      <c r="Q6" s="9">
        <v>313.0</v>
      </c>
      <c r="R6" s="9"/>
      <c r="S6" s="9"/>
    </row>
    <row r="7">
      <c r="A7" s="53"/>
      <c r="B7" s="9" t="s">
        <v>293</v>
      </c>
      <c r="C7" s="9"/>
      <c r="D7" s="9"/>
      <c r="F7" s="53"/>
      <c r="G7" s="9" t="s">
        <v>293</v>
      </c>
      <c r="H7" s="9"/>
      <c r="I7" s="9"/>
      <c r="K7" s="53"/>
      <c r="L7" s="9" t="s">
        <v>293</v>
      </c>
      <c r="M7" s="9"/>
      <c r="N7" s="9"/>
      <c r="P7" s="53"/>
      <c r="Q7" s="9" t="s">
        <v>293</v>
      </c>
      <c r="R7" s="9"/>
      <c r="S7" s="9"/>
    </row>
    <row r="8">
      <c r="A8" s="322"/>
      <c r="B8" s="28" t="s">
        <v>23</v>
      </c>
      <c r="C8" s="323">
        <f t="shared" ref="C8:D8" si="1">C2+C3+C4+C5+C6+C7</f>
        <v>0</v>
      </c>
      <c r="D8" s="324">
        <f t="shared" si="1"/>
        <v>0</v>
      </c>
      <c r="F8" s="322"/>
      <c r="G8" s="28" t="s">
        <v>23</v>
      </c>
      <c r="H8" s="323">
        <f t="shared" ref="H8:I8" si="2">H2+H3+H4+H5+H6+H7</f>
        <v>0</v>
      </c>
      <c r="I8" s="324">
        <f t="shared" si="2"/>
        <v>0</v>
      </c>
      <c r="K8" s="322"/>
      <c r="L8" s="28" t="s">
        <v>23</v>
      </c>
      <c r="M8" s="323">
        <f t="shared" ref="M8:N8" si="3">M2+M3+M4+M5+M6+M7</f>
        <v>0</v>
      </c>
      <c r="N8" s="324">
        <f t="shared" si="3"/>
        <v>0</v>
      </c>
      <c r="P8" s="322"/>
      <c r="Q8" s="28" t="s">
        <v>23</v>
      </c>
      <c r="R8" s="323">
        <f t="shared" ref="R8:S8" si="4">R2+R3+R4+R5+R6+R7</f>
        <v>0</v>
      </c>
      <c r="S8" s="324">
        <f t="shared" si="4"/>
        <v>0</v>
      </c>
    </row>
    <row r="9">
      <c r="A9" s="53"/>
      <c r="B9" s="45" t="s">
        <v>25</v>
      </c>
      <c r="C9" s="325">
        <f>C8-D8</f>
        <v>0</v>
      </c>
      <c r="D9" s="48"/>
      <c r="F9" s="53"/>
      <c r="G9" s="45" t="s">
        <v>25</v>
      </c>
      <c r="H9" s="325">
        <f>H8-I8</f>
        <v>0</v>
      </c>
      <c r="I9" s="48"/>
      <c r="K9" s="53"/>
      <c r="L9" s="45" t="s">
        <v>25</v>
      </c>
      <c r="M9" s="325">
        <f>M8-N8</f>
        <v>0</v>
      </c>
      <c r="N9" s="48"/>
      <c r="P9" s="53"/>
      <c r="Q9" s="45" t="s">
        <v>25</v>
      </c>
      <c r="R9" s="325">
        <f>R8-S8</f>
        <v>0</v>
      </c>
      <c r="S9" s="48"/>
    </row>
    <row r="10">
      <c r="A10" s="2" t="s">
        <v>0</v>
      </c>
      <c r="B10" s="2" t="s">
        <v>1</v>
      </c>
      <c r="C10" s="4" t="s">
        <v>7</v>
      </c>
      <c r="D10" s="2" t="s">
        <v>3</v>
      </c>
      <c r="F10" s="2" t="s">
        <v>0</v>
      </c>
      <c r="G10" s="2" t="s">
        <v>1</v>
      </c>
      <c r="H10" s="4" t="s">
        <v>7</v>
      </c>
      <c r="I10" s="2" t="s">
        <v>3</v>
      </c>
      <c r="K10" s="2" t="s">
        <v>0</v>
      </c>
      <c r="L10" s="2" t="s">
        <v>1</v>
      </c>
      <c r="M10" s="4" t="s">
        <v>7</v>
      </c>
      <c r="N10" s="2" t="s">
        <v>3</v>
      </c>
      <c r="P10" s="2" t="s">
        <v>0</v>
      </c>
      <c r="Q10" s="2" t="s">
        <v>1</v>
      </c>
      <c r="R10" s="4" t="s">
        <v>7</v>
      </c>
      <c r="S10" s="2" t="s">
        <v>3</v>
      </c>
    </row>
    <row r="11">
      <c r="A11" s="12"/>
      <c r="B11" s="9" t="s">
        <v>10</v>
      </c>
      <c r="C11" s="9"/>
      <c r="D11" s="9"/>
      <c r="F11" s="12"/>
      <c r="G11" s="9" t="s">
        <v>10</v>
      </c>
      <c r="H11" s="9"/>
      <c r="I11" s="9"/>
      <c r="K11" s="12"/>
      <c r="L11" s="9" t="s">
        <v>10</v>
      </c>
      <c r="M11" s="9"/>
      <c r="N11" s="9"/>
      <c r="P11" s="12"/>
      <c r="Q11" s="9" t="s">
        <v>10</v>
      </c>
      <c r="R11" s="9"/>
      <c r="S11" s="9"/>
    </row>
    <row r="12">
      <c r="A12" s="19"/>
      <c r="B12" s="9">
        <v>202.0</v>
      </c>
      <c r="C12" s="9"/>
      <c r="D12" s="9"/>
      <c r="F12" s="19"/>
      <c r="G12" s="9">
        <v>202.0</v>
      </c>
      <c r="H12" s="9"/>
      <c r="I12" s="9"/>
      <c r="K12" s="19"/>
      <c r="L12" s="9">
        <v>202.0</v>
      </c>
      <c r="M12" s="9"/>
      <c r="N12" s="9"/>
      <c r="P12" s="19"/>
      <c r="Q12" s="9">
        <v>202.0</v>
      </c>
      <c r="R12" s="9"/>
      <c r="S12" s="9"/>
    </row>
    <row r="13">
      <c r="A13" s="19"/>
      <c r="B13" s="9">
        <v>213.0</v>
      </c>
      <c r="C13" s="9"/>
      <c r="D13" s="9"/>
      <c r="F13" s="19"/>
      <c r="G13" s="9">
        <v>213.0</v>
      </c>
      <c r="H13" s="9"/>
      <c r="I13" s="9"/>
      <c r="K13" s="19"/>
      <c r="L13" s="9">
        <v>213.0</v>
      </c>
      <c r="M13" s="9"/>
      <c r="N13" s="9"/>
      <c r="P13" s="19"/>
      <c r="Q13" s="9">
        <v>213.0</v>
      </c>
      <c r="R13" s="9"/>
      <c r="S13" s="9"/>
    </row>
    <row r="14">
      <c r="A14" s="19"/>
      <c r="B14" s="9">
        <v>307.0</v>
      </c>
      <c r="C14" s="9"/>
      <c r="D14" s="9"/>
      <c r="F14" s="19"/>
      <c r="G14" s="9">
        <v>307.0</v>
      </c>
      <c r="H14" s="9"/>
      <c r="I14" s="9"/>
      <c r="K14" s="19"/>
      <c r="L14" s="9">
        <v>307.0</v>
      </c>
      <c r="M14" s="9"/>
      <c r="N14" s="9"/>
      <c r="P14" s="19"/>
      <c r="Q14" s="9">
        <v>307.0</v>
      </c>
      <c r="R14" s="9"/>
      <c r="S14" s="9"/>
    </row>
    <row r="15">
      <c r="A15" s="19"/>
      <c r="B15" s="9">
        <v>313.0</v>
      </c>
      <c r="C15" s="9"/>
      <c r="D15" s="9"/>
      <c r="F15" s="19"/>
      <c r="G15" s="9">
        <v>313.0</v>
      </c>
      <c r="H15" s="9"/>
      <c r="I15" s="9"/>
      <c r="K15" s="19"/>
      <c r="L15" s="9">
        <v>313.0</v>
      </c>
      <c r="M15" s="9"/>
      <c r="N15" s="9"/>
      <c r="P15" s="19"/>
      <c r="Q15" s="9">
        <v>313.0</v>
      </c>
      <c r="R15" s="9"/>
      <c r="S15" s="9"/>
    </row>
    <row r="16">
      <c r="A16" s="53"/>
      <c r="B16" s="9" t="s">
        <v>293</v>
      </c>
      <c r="C16" s="9"/>
      <c r="D16" s="9"/>
      <c r="F16" s="53"/>
      <c r="G16" s="9" t="s">
        <v>293</v>
      </c>
      <c r="H16" s="9"/>
      <c r="I16" s="9"/>
      <c r="K16" s="53"/>
      <c r="L16" s="9" t="s">
        <v>293</v>
      </c>
      <c r="M16" s="9"/>
      <c r="N16" s="9"/>
      <c r="P16" s="53"/>
      <c r="Q16" s="9" t="s">
        <v>293</v>
      </c>
      <c r="R16" s="9"/>
      <c r="S16" s="9"/>
    </row>
    <row r="17">
      <c r="A17" s="322"/>
      <c r="B17" s="28" t="s">
        <v>23</v>
      </c>
      <c r="C17" s="323">
        <f t="shared" ref="C17:D17" si="5">C11+C12+C13+C14+C15+C16</f>
        <v>0</v>
      </c>
      <c r="D17" s="324">
        <f t="shared" si="5"/>
        <v>0</v>
      </c>
      <c r="F17" s="322"/>
      <c r="G17" s="28" t="s">
        <v>23</v>
      </c>
      <c r="H17" s="323">
        <f t="shared" ref="H17:I17" si="6">H11+H12+H13+H14+H15+H16</f>
        <v>0</v>
      </c>
      <c r="I17" s="324">
        <f t="shared" si="6"/>
        <v>0</v>
      </c>
      <c r="K17" s="322"/>
      <c r="L17" s="28" t="s">
        <v>23</v>
      </c>
      <c r="M17" s="323">
        <f t="shared" ref="M17:N17" si="7">M11+M12+M13+M14+M15+M16</f>
        <v>0</v>
      </c>
      <c r="N17" s="324">
        <f t="shared" si="7"/>
        <v>0</v>
      </c>
      <c r="P17" s="322"/>
      <c r="Q17" s="28" t="s">
        <v>23</v>
      </c>
      <c r="R17" s="323">
        <f t="shared" ref="R17:S17" si="8">R11+R12+R13+R14+R15+R16</f>
        <v>0</v>
      </c>
      <c r="S17" s="324">
        <f t="shared" si="8"/>
        <v>0</v>
      </c>
    </row>
    <row r="18">
      <c r="A18" s="53"/>
      <c r="B18" s="45" t="s">
        <v>25</v>
      </c>
      <c r="C18" s="325">
        <f>C17-D17</f>
        <v>0</v>
      </c>
      <c r="D18" s="48"/>
      <c r="F18" s="53"/>
      <c r="G18" s="45" t="s">
        <v>25</v>
      </c>
      <c r="H18" s="325">
        <f>H17-I17</f>
        <v>0</v>
      </c>
      <c r="I18" s="48"/>
      <c r="K18" s="53"/>
      <c r="L18" s="45" t="s">
        <v>25</v>
      </c>
      <c r="M18" s="325">
        <f>M17-N17</f>
        <v>0</v>
      </c>
      <c r="N18" s="48"/>
      <c r="P18" s="53"/>
      <c r="Q18" s="45" t="s">
        <v>25</v>
      </c>
      <c r="R18" s="325">
        <f>R17-S17</f>
        <v>0</v>
      </c>
      <c r="S18" s="48"/>
    </row>
    <row r="19">
      <c r="A19" s="2" t="s">
        <v>0</v>
      </c>
      <c r="B19" s="2" t="s">
        <v>1</v>
      </c>
      <c r="C19" s="4" t="s">
        <v>7</v>
      </c>
      <c r="D19" s="2" t="s">
        <v>3</v>
      </c>
      <c r="F19" s="2" t="s">
        <v>0</v>
      </c>
      <c r="G19" s="2" t="s">
        <v>1</v>
      </c>
      <c r="H19" s="4" t="s">
        <v>7</v>
      </c>
      <c r="I19" s="2" t="s">
        <v>3</v>
      </c>
      <c r="K19" s="2" t="s">
        <v>0</v>
      </c>
      <c r="L19" s="2" t="s">
        <v>1</v>
      </c>
      <c r="M19" s="4" t="s">
        <v>7</v>
      </c>
      <c r="N19" s="2" t="s">
        <v>3</v>
      </c>
      <c r="P19" s="2" t="s">
        <v>0</v>
      </c>
      <c r="Q19" s="2" t="s">
        <v>1</v>
      </c>
      <c r="R19" s="4" t="s">
        <v>7</v>
      </c>
      <c r="S19" s="2" t="s">
        <v>3</v>
      </c>
    </row>
    <row r="20">
      <c r="A20" s="12"/>
      <c r="B20" s="9" t="s">
        <v>10</v>
      </c>
      <c r="C20" s="9"/>
      <c r="D20" s="9"/>
      <c r="F20" s="12"/>
      <c r="G20" s="9" t="s">
        <v>10</v>
      </c>
      <c r="H20" s="9"/>
      <c r="I20" s="9"/>
      <c r="K20" s="12"/>
      <c r="L20" s="9" t="s">
        <v>10</v>
      </c>
      <c r="M20" s="9"/>
      <c r="N20" s="9"/>
      <c r="P20" s="12"/>
      <c r="Q20" s="9" t="s">
        <v>10</v>
      </c>
      <c r="R20" s="9"/>
      <c r="S20" s="9"/>
    </row>
    <row r="21">
      <c r="A21" s="19"/>
      <c r="B21" s="9">
        <v>202.0</v>
      </c>
      <c r="C21" s="9"/>
      <c r="D21" s="9"/>
      <c r="F21" s="19"/>
      <c r="G21" s="9">
        <v>202.0</v>
      </c>
      <c r="H21" s="9"/>
      <c r="I21" s="9"/>
      <c r="K21" s="19"/>
      <c r="L21" s="9">
        <v>202.0</v>
      </c>
      <c r="M21" s="9"/>
      <c r="N21" s="9"/>
      <c r="P21" s="19"/>
      <c r="Q21" s="9">
        <v>202.0</v>
      </c>
      <c r="R21" s="9"/>
      <c r="S21" s="9"/>
    </row>
    <row r="22">
      <c r="A22" s="19"/>
      <c r="B22" s="9">
        <v>213.0</v>
      </c>
      <c r="C22" s="9"/>
      <c r="D22" s="9"/>
      <c r="F22" s="19"/>
      <c r="G22" s="9">
        <v>213.0</v>
      </c>
      <c r="H22" s="9"/>
      <c r="I22" s="9"/>
      <c r="K22" s="19"/>
      <c r="L22" s="9">
        <v>213.0</v>
      </c>
      <c r="M22" s="9"/>
      <c r="N22" s="9"/>
      <c r="P22" s="19"/>
      <c r="Q22" s="9">
        <v>213.0</v>
      </c>
      <c r="R22" s="9"/>
      <c r="S22" s="9"/>
    </row>
    <row r="23">
      <c r="A23" s="19"/>
      <c r="B23" s="9">
        <v>307.0</v>
      </c>
      <c r="C23" s="9"/>
      <c r="D23" s="9"/>
      <c r="F23" s="19"/>
      <c r="G23" s="9">
        <v>307.0</v>
      </c>
      <c r="H23" s="9"/>
      <c r="I23" s="9"/>
      <c r="K23" s="19"/>
      <c r="L23" s="9">
        <v>307.0</v>
      </c>
      <c r="M23" s="9"/>
      <c r="N23" s="9"/>
      <c r="P23" s="19"/>
      <c r="Q23" s="9">
        <v>307.0</v>
      </c>
      <c r="R23" s="9"/>
      <c r="S23" s="9"/>
    </row>
    <row r="24">
      <c r="A24" s="19"/>
      <c r="B24" s="9">
        <v>313.0</v>
      </c>
      <c r="C24" s="9"/>
      <c r="D24" s="9"/>
      <c r="F24" s="19"/>
      <c r="G24" s="9">
        <v>313.0</v>
      </c>
      <c r="H24" s="9"/>
      <c r="I24" s="9"/>
      <c r="K24" s="19"/>
      <c r="L24" s="9">
        <v>313.0</v>
      </c>
      <c r="M24" s="9"/>
      <c r="N24" s="9"/>
      <c r="P24" s="19"/>
      <c r="Q24" s="9">
        <v>313.0</v>
      </c>
      <c r="R24" s="9"/>
      <c r="S24" s="9"/>
    </row>
    <row r="25">
      <c r="A25" s="53"/>
      <c r="B25" s="9" t="s">
        <v>293</v>
      </c>
      <c r="C25" s="9"/>
      <c r="D25" s="9"/>
      <c r="F25" s="53"/>
      <c r="G25" s="9" t="s">
        <v>293</v>
      </c>
      <c r="H25" s="9"/>
      <c r="I25" s="9"/>
      <c r="K25" s="53"/>
      <c r="L25" s="9" t="s">
        <v>293</v>
      </c>
      <c r="M25" s="9"/>
      <c r="N25" s="9"/>
      <c r="P25" s="53"/>
      <c r="Q25" s="9" t="s">
        <v>293</v>
      </c>
      <c r="R25" s="9"/>
      <c r="S25" s="9"/>
    </row>
    <row r="26">
      <c r="A26" s="322"/>
      <c r="B26" s="28" t="s">
        <v>23</v>
      </c>
      <c r="C26" s="323">
        <f t="shared" ref="C26:D26" si="9">C20+C21+C22+C23+C24+C25</f>
        <v>0</v>
      </c>
      <c r="D26" s="324">
        <f t="shared" si="9"/>
        <v>0</v>
      </c>
      <c r="F26" s="322"/>
      <c r="G26" s="28" t="s">
        <v>23</v>
      </c>
      <c r="H26" s="323">
        <f t="shared" ref="H26:I26" si="10">H20+H21+H22+H23+H24+H25</f>
        <v>0</v>
      </c>
      <c r="I26" s="324">
        <f t="shared" si="10"/>
        <v>0</v>
      </c>
      <c r="K26" s="322"/>
      <c r="L26" s="28" t="s">
        <v>23</v>
      </c>
      <c r="M26" s="323">
        <f t="shared" ref="M26:N26" si="11">M20+M21+M22+M23+M24+M25</f>
        <v>0</v>
      </c>
      <c r="N26" s="324">
        <f t="shared" si="11"/>
        <v>0</v>
      </c>
      <c r="P26" s="322"/>
      <c r="Q26" s="28" t="s">
        <v>23</v>
      </c>
      <c r="R26" s="323">
        <f t="shared" ref="R26:S26" si="12">R20+R21+R22+R23+R24+R25</f>
        <v>0</v>
      </c>
      <c r="S26" s="324">
        <f t="shared" si="12"/>
        <v>0</v>
      </c>
    </row>
    <row r="27">
      <c r="A27" s="53"/>
      <c r="B27" s="45" t="s">
        <v>25</v>
      </c>
      <c r="C27" s="325">
        <f>C26-D26</f>
        <v>0</v>
      </c>
      <c r="D27" s="48"/>
      <c r="F27" s="53"/>
      <c r="G27" s="45" t="s">
        <v>25</v>
      </c>
      <c r="H27" s="325">
        <f>H26-I26</f>
        <v>0</v>
      </c>
      <c r="I27" s="48"/>
      <c r="K27" s="53"/>
      <c r="L27" s="45" t="s">
        <v>25</v>
      </c>
      <c r="M27" s="325">
        <f>M26-N26</f>
        <v>0</v>
      </c>
      <c r="N27" s="48"/>
      <c r="P27" s="53"/>
      <c r="Q27" s="45" t="s">
        <v>25</v>
      </c>
      <c r="R27" s="325">
        <f>R26-S26</f>
        <v>0</v>
      </c>
      <c r="S27" s="48"/>
    </row>
    <row r="28">
      <c r="A28" s="2" t="s">
        <v>0</v>
      </c>
      <c r="B28" s="2" t="s">
        <v>1</v>
      </c>
      <c r="C28" s="4" t="s">
        <v>7</v>
      </c>
      <c r="D28" s="2" t="s">
        <v>3</v>
      </c>
      <c r="F28" s="2" t="s">
        <v>0</v>
      </c>
      <c r="G28" s="2" t="s">
        <v>1</v>
      </c>
      <c r="H28" s="4" t="s">
        <v>7</v>
      </c>
      <c r="I28" s="2" t="s">
        <v>3</v>
      </c>
      <c r="K28" s="2" t="s">
        <v>0</v>
      </c>
      <c r="L28" s="2" t="s">
        <v>1</v>
      </c>
      <c r="M28" s="4" t="s">
        <v>7</v>
      </c>
      <c r="N28" s="2" t="s">
        <v>3</v>
      </c>
      <c r="P28" s="2" t="s">
        <v>0</v>
      </c>
      <c r="Q28" s="2" t="s">
        <v>1</v>
      </c>
      <c r="R28" s="4" t="s">
        <v>7</v>
      </c>
      <c r="S28" s="2" t="s">
        <v>3</v>
      </c>
    </row>
    <row r="29">
      <c r="A29" s="12"/>
      <c r="B29" s="9" t="s">
        <v>10</v>
      </c>
      <c r="C29" s="9"/>
      <c r="D29" s="9"/>
      <c r="F29" s="12"/>
      <c r="G29" s="9" t="s">
        <v>10</v>
      </c>
      <c r="H29" s="9"/>
      <c r="I29" s="9"/>
      <c r="K29" s="12"/>
      <c r="L29" s="9" t="s">
        <v>10</v>
      </c>
      <c r="M29" s="9"/>
      <c r="N29" s="9"/>
      <c r="P29" s="12"/>
      <c r="Q29" s="9" t="s">
        <v>10</v>
      </c>
      <c r="R29" s="9"/>
      <c r="S29" s="9"/>
    </row>
    <row r="30">
      <c r="A30" s="19"/>
      <c r="B30" s="9">
        <v>202.0</v>
      </c>
      <c r="C30" s="9"/>
      <c r="D30" s="9"/>
      <c r="F30" s="19"/>
      <c r="G30" s="9">
        <v>202.0</v>
      </c>
      <c r="H30" s="9"/>
      <c r="I30" s="9"/>
      <c r="K30" s="19"/>
      <c r="L30" s="9">
        <v>202.0</v>
      </c>
      <c r="M30" s="9"/>
      <c r="N30" s="9"/>
      <c r="P30" s="19"/>
      <c r="Q30" s="9">
        <v>202.0</v>
      </c>
      <c r="R30" s="9"/>
      <c r="S30" s="9"/>
    </row>
    <row r="31">
      <c r="A31" s="19"/>
      <c r="B31" s="9">
        <v>213.0</v>
      </c>
      <c r="C31" s="9"/>
      <c r="D31" s="9"/>
      <c r="F31" s="19"/>
      <c r="G31" s="9">
        <v>213.0</v>
      </c>
      <c r="H31" s="9"/>
      <c r="I31" s="9"/>
      <c r="K31" s="19"/>
      <c r="L31" s="9">
        <v>213.0</v>
      </c>
      <c r="M31" s="9"/>
      <c r="N31" s="9"/>
      <c r="P31" s="19"/>
      <c r="Q31" s="9">
        <v>213.0</v>
      </c>
      <c r="R31" s="9"/>
      <c r="S31" s="9"/>
    </row>
    <row r="32">
      <c r="A32" s="19"/>
      <c r="B32" s="9">
        <v>307.0</v>
      </c>
      <c r="C32" s="9"/>
      <c r="D32" s="9"/>
      <c r="F32" s="19"/>
      <c r="G32" s="9">
        <v>307.0</v>
      </c>
      <c r="H32" s="9"/>
      <c r="I32" s="9"/>
      <c r="K32" s="19"/>
      <c r="L32" s="9">
        <v>307.0</v>
      </c>
      <c r="M32" s="9"/>
      <c r="N32" s="9"/>
      <c r="P32" s="19"/>
      <c r="Q32" s="9">
        <v>307.0</v>
      </c>
      <c r="R32" s="9"/>
      <c r="S32" s="9"/>
    </row>
    <row r="33">
      <c r="A33" s="19"/>
      <c r="B33" s="9">
        <v>313.0</v>
      </c>
      <c r="C33" s="9"/>
      <c r="D33" s="9"/>
      <c r="F33" s="19"/>
      <c r="G33" s="9">
        <v>313.0</v>
      </c>
      <c r="H33" s="9"/>
      <c r="I33" s="9"/>
      <c r="K33" s="19"/>
      <c r="L33" s="9">
        <v>313.0</v>
      </c>
      <c r="M33" s="9"/>
      <c r="N33" s="9"/>
      <c r="P33" s="19"/>
      <c r="Q33" s="9">
        <v>313.0</v>
      </c>
      <c r="R33" s="9"/>
      <c r="S33" s="9"/>
    </row>
    <row r="34">
      <c r="A34" s="53"/>
      <c r="B34" s="9" t="s">
        <v>293</v>
      </c>
      <c r="C34" s="9"/>
      <c r="D34" s="9"/>
      <c r="F34" s="53"/>
      <c r="G34" s="9" t="s">
        <v>293</v>
      </c>
      <c r="H34" s="9"/>
      <c r="I34" s="9"/>
      <c r="K34" s="53"/>
      <c r="L34" s="9" t="s">
        <v>293</v>
      </c>
      <c r="M34" s="9"/>
      <c r="N34" s="9"/>
      <c r="P34" s="53"/>
      <c r="Q34" s="9" t="s">
        <v>293</v>
      </c>
      <c r="R34" s="9"/>
      <c r="S34" s="9"/>
    </row>
    <row r="35">
      <c r="A35" s="322"/>
      <c r="B35" s="28" t="s">
        <v>23</v>
      </c>
      <c r="C35" s="323">
        <f t="shared" ref="C35:D35" si="13">C29+C30+C31+C32+C33+C34</f>
        <v>0</v>
      </c>
      <c r="D35" s="324">
        <f t="shared" si="13"/>
        <v>0</v>
      </c>
      <c r="F35" s="322"/>
      <c r="G35" s="28" t="s">
        <v>23</v>
      </c>
      <c r="H35" s="323">
        <f t="shared" ref="H35:I35" si="14">H29+H30+H31+H32+H33+H34</f>
        <v>0</v>
      </c>
      <c r="I35" s="324">
        <f t="shared" si="14"/>
        <v>0</v>
      </c>
      <c r="K35" s="322"/>
      <c r="L35" s="28" t="s">
        <v>23</v>
      </c>
      <c r="M35" s="323">
        <f t="shared" ref="M35:N35" si="15">M29+M30+M31+M32+M33+M34</f>
        <v>0</v>
      </c>
      <c r="N35" s="324">
        <f t="shared" si="15"/>
        <v>0</v>
      </c>
      <c r="P35" s="322"/>
      <c r="Q35" s="28" t="s">
        <v>23</v>
      </c>
      <c r="R35" s="323">
        <f t="shared" ref="R35:S35" si="16">R29+R30+R31+R32+R33+R34</f>
        <v>0</v>
      </c>
      <c r="S35" s="324">
        <f t="shared" si="16"/>
        <v>0</v>
      </c>
    </row>
    <row r="36">
      <c r="A36" s="53"/>
      <c r="B36" s="45" t="s">
        <v>25</v>
      </c>
      <c r="C36" s="325">
        <f>C35-D35</f>
        <v>0</v>
      </c>
      <c r="D36" s="48"/>
      <c r="F36" s="53"/>
      <c r="G36" s="45" t="s">
        <v>25</v>
      </c>
      <c r="H36" s="325">
        <f>H35-I35</f>
        <v>0</v>
      </c>
      <c r="I36" s="48"/>
      <c r="K36" s="53"/>
      <c r="L36" s="45" t="s">
        <v>25</v>
      </c>
      <c r="M36" s="325">
        <f>M35-N35</f>
        <v>0</v>
      </c>
      <c r="N36" s="48"/>
      <c r="P36" s="53"/>
      <c r="Q36" s="45" t="s">
        <v>25</v>
      </c>
      <c r="R36" s="325">
        <f>R35-S35</f>
        <v>0</v>
      </c>
      <c r="S36" s="48"/>
    </row>
    <row r="37">
      <c r="A37" s="2" t="s">
        <v>0</v>
      </c>
      <c r="B37" s="2" t="s">
        <v>1</v>
      </c>
      <c r="C37" s="4" t="s">
        <v>7</v>
      </c>
      <c r="D37" s="2" t="s">
        <v>3</v>
      </c>
      <c r="F37" s="2" t="s">
        <v>0</v>
      </c>
      <c r="G37" s="2" t="s">
        <v>1</v>
      </c>
      <c r="H37" s="4" t="s">
        <v>7</v>
      </c>
      <c r="I37" s="2" t="s">
        <v>3</v>
      </c>
      <c r="K37" s="2" t="s">
        <v>0</v>
      </c>
      <c r="L37" s="2" t="s">
        <v>1</v>
      </c>
      <c r="M37" s="4" t="s">
        <v>7</v>
      </c>
      <c r="N37" s="2" t="s">
        <v>3</v>
      </c>
      <c r="P37" s="2" t="s">
        <v>0</v>
      </c>
      <c r="Q37" s="2" t="s">
        <v>1</v>
      </c>
      <c r="R37" s="4" t="s">
        <v>7</v>
      </c>
      <c r="S37" s="2" t="s">
        <v>3</v>
      </c>
    </row>
    <row r="38">
      <c r="A38" s="12"/>
      <c r="B38" s="9" t="s">
        <v>10</v>
      </c>
      <c r="C38" s="9"/>
      <c r="D38" s="9"/>
      <c r="F38" s="12"/>
      <c r="G38" s="9" t="s">
        <v>10</v>
      </c>
      <c r="H38" s="9"/>
      <c r="I38" s="9"/>
      <c r="K38" s="12"/>
      <c r="L38" s="9" t="s">
        <v>10</v>
      </c>
      <c r="M38" s="9"/>
      <c r="N38" s="9"/>
      <c r="P38" s="12"/>
      <c r="Q38" s="9" t="s">
        <v>10</v>
      </c>
      <c r="R38" s="9"/>
      <c r="S38" s="9"/>
    </row>
    <row r="39">
      <c r="A39" s="19"/>
      <c r="B39" s="9">
        <v>202.0</v>
      </c>
      <c r="C39" s="9"/>
      <c r="D39" s="9"/>
      <c r="F39" s="19"/>
      <c r="G39" s="9">
        <v>202.0</v>
      </c>
      <c r="H39" s="9"/>
      <c r="I39" s="9"/>
      <c r="K39" s="19"/>
      <c r="L39" s="9">
        <v>202.0</v>
      </c>
      <c r="M39" s="9"/>
      <c r="N39" s="9"/>
      <c r="P39" s="19"/>
      <c r="Q39" s="9">
        <v>202.0</v>
      </c>
      <c r="R39" s="9"/>
      <c r="S39" s="9"/>
    </row>
    <row r="40">
      <c r="A40" s="19"/>
      <c r="B40" s="9">
        <v>213.0</v>
      </c>
      <c r="C40" s="9"/>
      <c r="D40" s="9"/>
      <c r="F40" s="19"/>
      <c r="G40" s="9">
        <v>213.0</v>
      </c>
      <c r="H40" s="9"/>
      <c r="I40" s="9"/>
      <c r="K40" s="19"/>
      <c r="L40" s="9">
        <v>213.0</v>
      </c>
      <c r="M40" s="9"/>
      <c r="N40" s="9"/>
      <c r="P40" s="19"/>
      <c r="Q40" s="9">
        <v>213.0</v>
      </c>
      <c r="R40" s="9"/>
      <c r="S40" s="9"/>
    </row>
    <row r="41">
      <c r="A41" s="19"/>
      <c r="B41" s="9">
        <v>307.0</v>
      </c>
      <c r="C41" s="9"/>
      <c r="D41" s="9"/>
      <c r="F41" s="19"/>
      <c r="G41" s="9">
        <v>307.0</v>
      </c>
      <c r="H41" s="9"/>
      <c r="I41" s="9"/>
      <c r="K41" s="19"/>
      <c r="L41" s="9">
        <v>307.0</v>
      </c>
      <c r="M41" s="9"/>
      <c r="N41" s="9"/>
      <c r="P41" s="19"/>
      <c r="Q41" s="9">
        <v>307.0</v>
      </c>
      <c r="R41" s="9"/>
      <c r="S41" s="9"/>
    </row>
    <row r="42">
      <c r="A42" s="19"/>
      <c r="B42" s="9">
        <v>313.0</v>
      </c>
      <c r="C42" s="9"/>
      <c r="D42" s="9"/>
      <c r="F42" s="19"/>
      <c r="G42" s="9">
        <v>313.0</v>
      </c>
      <c r="H42" s="9"/>
      <c r="I42" s="9"/>
      <c r="K42" s="19"/>
      <c r="L42" s="9">
        <v>313.0</v>
      </c>
      <c r="M42" s="9"/>
      <c r="N42" s="9"/>
      <c r="P42" s="19"/>
      <c r="Q42" s="9">
        <v>313.0</v>
      </c>
      <c r="R42" s="9"/>
      <c r="S42" s="9"/>
    </row>
    <row r="43">
      <c r="A43" s="53"/>
      <c r="B43" s="9" t="s">
        <v>293</v>
      </c>
      <c r="C43" s="9"/>
      <c r="D43" s="9"/>
      <c r="F43" s="53"/>
      <c r="G43" s="9" t="s">
        <v>293</v>
      </c>
      <c r="H43" s="9"/>
      <c r="I43" s="9"/>
      <c r="K43" s="53"/>
      <c r="L43" s="9" t="s">
        <v>293</v>
      </c>
      <c r="M43" s="9"/>
      <c r="N43" s="9"/>
      <c r="P43" s="53"/>
      <c r="Q43" s="9" t="s">
        <v>293</v>
      </c>
      <c r="R43" s="9"/>
      <c r="S43" s="9"/>
    </row>
    <row r="44">
      <c r="A44" s="322"/>
      <c r="B44" s="28" t="s">
        <v>23</v>
      </c>
      <c r="C44" s="323">
        <f t="shared" ref="C44:D44" si="17">C38+C39+C40+C41+C42+C43</f>
        <v>0</v>
      </c>
      <c r="D44" s="324">
        <f t="shared" si="17"/>
        <v>0</v>
      </c>
      <c r="F44" s="322"/>
      <c r="G44" s="28" t="s">
        <v>23</v>
      </c>
      <c r="H44" s="323">
        <f t="shared" ref="H44:I44" si="18">H38+H39+H40+H41+H42+H43</f>
        <v>0</v>
      </c>
      <c r="I44" s="324">
        <f t="shared" si="18"/>
        <v>0</v>
      </c>
      <c r="K44" s="322"/>
      <c r="L44" s="28" t="s">
        <v>23</v>
      </c>
      <c r="M44" s="323">
        <f t="shared" ref="M44:N44" si="19">M38+M39+M40+M41+M42+M43</f>
        <v>0</v>
      </c>
      <c r="N44" s="324">
        <f t="shared" si="19"/>
        <v>0</v>
      </c>
      <c r="P44" s="322"/>
      <c r="Q44" s="28" t="s">
        <v>23</v>
      </c>
      <c r="R44" s="323">
        <f t="shared" ref="R44:S44" si="20">R38+R39+R40+R41+R42+R43</f>
        <v>0</v>
      </c>
      <c r="S44" s="324">
        <f t="shared" si="20"/>
        <v>0</v>
      </c>
    </row>
    <row r="45">
      <c r="A45" s="53"/>
      <c r="B45" s="45" t="s">
        <v>25</v>
      </c>
      <c r="C45" s="325">
        <f>C44-D44</f>
        <v>0</v>
      </c>
      <c r="D45" s="48"/>
      <c r="F45" s="53"/>
      <c r="G45" s="45" t="s">
        <v>25</v>
      </c>
      <c r="H45" s="325">
        <f>H44-I44</f>
        <v>0</v>
      </c>
      <c r="I45" s="48"/>
      <c r="K45" s="53"/>
      <c r="L45" s="45" t="s">
        <v>25</v>
      </c>
      <c r="M45" s="325">
        <f>M44-N44</f>
        <v>0</v>
      </c>
      <c r="N45" s="48"/>
      <c r="P45" s="53"/>
      <c r="Q45" s="45" t="s">
        <v>25</v>
      </c>
      <c r="R45" s="325">
        <f>R44-S44</f>
        <v>0</v>
      </c>
      <c r="S45" s="48"/>
    </row>
    <row r="46">
      <c r="A46" s="2" t="s">
        <v>0</v>
      </c>
      <c r="B46" s="2" t="s">
        <v>1</v>
      </c>
      <c r="C46" s="4" t="s">
        <v>7</v>
      </c>
      <c r="D46" s="2" t="s">
        <v>3</v>
      </c>
      <c r="F46" s="2" t="s">
        <v>0</v>
      </c>
      <c r="G46" s="2" t="s">
        <v>1</v>
      </c>
      <c r="H46" s="4" t="s">
        <v>7</v>
      </c>
      <c r="I46" s="2" t="s">
        <v>3</v>
      </c>
      <c r="K46" s="2" t="s">
        <v>0</v>
      </c>
      <c r="L46" s="2" t="s">
        <v>1</v>
      </c>
      <c r="M46" s="4" t="s">
        <v>7</v>
      </c>
      <c r="N46" s="2" t="s">
        <v>3</v>
      </c>
      <c r="P46" s="2" t="s">
        <v>0</v>
      </c>
      <c r="Q46" s="2" t="s">
        <v>1</v>
      </c>
      <c r="R46" s="4" t="s">
        <v>7</v>
      </c>
      <c r="S46" s="2" t="s">
        <v>3</v>
      </c>
    </row>
    <row r="47">
      <c r="A47" s="12"/>
      <c r="B47" s="9" t="s">
        <v>10</v>
      </c>
      <c r="C47" s="9"/>
      <c r="D47" s="9"/>
      <c r="F47" s="12"/>
      <c r="G47" s="9" t="s">
        <v>10</v>
      </c>
      <c r="H47" s="9"/>
      <c r="I47" s="9"/>
      <c r="K47" s="12"/>
      <c r="L47" s="9" t="s">
        <v>10</v>
      </c>
      <c r="M47" s="9"/>
      <c r="N47" s="9"/>
      <c r="P47" s="12"/>
      <c r="Q47" s="9" t="s">
        <v>10</v>
      </c>
      <c r="R47" s="9"/>
      <c r="S47" s="9"/>
    </row>
    <row r="48">
      <c r="A48" s="19"/>
      <c r="B48" s="9">
        <v>202.0</v>
      </c>
      <c r="C48" s="9"/>
      <c r="D48" s="9"/>
      <c r="F48" s="19"/>
      <c r="G48" s="9">
        <v>202.0</v>
      </c>
      <c r="H48" s="9"/>
      <c r="I48" s="9"/>
      <c r="K48" s="19"/>
      <c r="L48" s="9">
        <v>202.0</v>
      </c>
      <c r="M48" s="9"/>
      <c r="N48" s="9"/>
      <c r="P48" s="19"/>
      <c r="Q48" s="9">
        <v>202.0</v>
      </c>
      <c r="R48" s="9"/>
      <c r="S48" s="9"/>
    </row>
    <row r="49">
      <c r="A49" s="19"/>
      <c r="B49" s="9">
        <v>213.0</v>
      </c>
      <c r="C49" s="9"/>
      <c r="D49" s="9"/>
      <c r="F49" s="19"/>
      <c r="G49" s="9">
        <v>213.0</v>
      </c>
      <c r="H49" s="9"/>
      <c r="I49" s="9"/>
      <c r="K49" s="19"/>
      <c r="L49" s="9">
        <v>213.0</v>
      </c>
      <c r="M49" s="9"/>
      <c r="N49" s="9"/>
      <c r="P49" s="19"/>
      <c r="Q49" s="9">
        <v>213.0</v>
      </c>
      <c r="R49" s="9"/>
      <c r="S49" s="9"/>
    </row>
    <row r="50">
      <c r="A50" s="19"/>
      <c r="B50" s="9">
        <v>307.0</v>
      </c>
      <c r="C50" s="9"/>
      <c r="D50" s="9"/>
      <c r="F50" s="19"/>
      <c r="G50" s="9">
        <v>307.0</v>
      </c>
      <c r="H50" s="9"/>
      <c r="I50" s="9"/>
      <c r="K50" s="19"/>
      <c r="L50" s="9">
        <v>307.0</v>
      </c>
      <c r="M50" s="9"/>
      <c r="N50" s="9"/>
      <c r="P50" s="19"/>
      <c r="Q50" s="9">
        <v>307.0</v>
      </c>
      <c r="R50" s="9"/>
      <c r="S50" s="9"/>
    </row>
    <row r="51">
      <c r="A51" s="19"/>
      <c r="B51" s="9">
        <v>313.0</v>
      </c>
      <c r="C51" s="9"/>
      <c r="D51" s="9"/>
      <c r="F51" s="19"/>
      <c r="G51" s="9">
        <v>313.0</v>
      </c>
      <c r="H51" s="9"/>
      <c r="I51" s="9"/>
      <c r="K51" s="19"/>
      <c r="L51" s="9">
        <v>313.0</v>
      </c>
      <c r="M51" s="9"/>
      <c r="N51" s="9"/>
      <c r="P51" s="19"/>
      <c r="Q51" s="9">
        <v>313.0</v>
      </c>
      <c r="R51" s="9"/>
      <c r="S51" s="9"/>
    </row>
    <row r="52">
      <c r="A52" s="53"/>
      <c r="B52" s="9" t="s">
        <v>293</v>
      </c>
      <c r="C52" s="9"/>
      <c r="D52" s="9"/>
      <c r="F52" s="53"/>
      <c r="G52" s="9" t="s">
        <v>293</v>
      </c>
      <c r="H52" s="9"/>
      <c r="I52" s="9"/>
      <c r="K52" s="53"/>
      <c r="L52" s="9" t="s">
        <v>293</v>
      </c>
      <c r="M52" s="9"/>
      <c r="N52" s="9"/>
      <c r="P52" s="53"/>
      <c r="Q52" s="9" t="s">
        <v>293</v>
      </c>
      <c r="R52" s="9"/>
      <c r="S52" s="9"/>
    </row>
    <row r="53">
      <c r="A53" s="322"/>
      <c r="B53" s="28" t="s">
        <v>23</v>
      </c>
      <c r="C53" s="323">
        <f t="shared" ref="C53:D53" si="21">C47+C48+C49+C50+C51+C52</f>
        <v>0</v>
      </c>
      <c r="D53" s="324">
        <f t="shared" si="21"/>
        <v>0</v>
      </c>
      <c r="F53" s="322"/>
      <c r="G53" s="28" t="s">
        <v>23</v>
      </c>
      <c r="H53" s="323">
        <f t="shared" ref="H53:I53" si="22">H47+H48+H49+H50+H51+H52</f>
        <v>0</v>
      </c>
      <c r="I53" s="324">
        <f t="shared" si="22"/>
        <v>0</v>
      </c>
      <c r="K53" s="322"/>
      <c r="L53" s="28" t="s">
        <v>23</v>
      </c>
      <c r="M53" s="323">
        <f t="shared" ref="M53:N53" si="23">M47+M48+M49+M50+M51+M52</f>
        <v>0</v>
      </c>
      <c r="N53" s="324">
        <f t="shared" si="23"/>
        <v>0</v>
      </c>
      <c r="P53" s="322"/>
      <c r="Q53" s="28" t="s">
        <v>23</v>
      </c>
      <c r="R53" s="323">
        <f t="shared" ref="R53:S53" si="24">R47+R48+R49+R50+R51+R52</f>
        <v>0</v>
      </c>
      <c r="S53" s="324">
        <f t="shared" si="24"/>
        <v>0</v>
      </c>
    </row>
    <row r="54">
      <c r="A54" s="53"/>
      <c r="B54" s="45" t="s">
        <v>25</v>
      </c>
      <c r="C54" s="325">
        <f>C53-D53</f>
        <v>0</v>
      </c>
      <c r="D54" s="48"/>
      <c r="F54" s="53"/>
      <c r="G54" s="45" t="s">
        <v>25</v>
      </c>
      <c r="H54" s="325">
        <f>H53-I53</f>
        <v>0</v>
      </c>
      <c r="I54" s="48"/>
      <c r="K54" s="53"/>
      <c r="L54" s="45" t="s">
        <v>25</v>
      </c>
      <c r="M54" s="325">
        <f>M53-N53</f>
        <v>0</v>
      </c>
      <c r="N54" s="48"/>
      <c r="P54" s="53"/>
      <c r="Q54" s="45" t="s">
        <v>25</v>
      </c>
      <c r="R54" s="325">
        <f>R53-S53</f>
        <v>0</v>
      </c>
      <c r="S54" s="48"/>
    </row>
    <row r="57">
      <c r="A57" s="143" t="s">
        <v>294</v>
      </c>
      <c r="B57" s="47"/>
      <c r="C57" s="47"/>
      <c r="D57" s="48"/>
      <c r="F57" s="143" t="s">
        <v>295</v>
      </c>
      <c r="G57" s="47"/>
      <c r="H57" s="47"/>
      <c r="I57" s="48"/>
      <c r="K57" s="143" t="s">
        <v>296</v>
      </c>
      <c r="L57" s="47"/>
      <c r="M57" s="47"/>
      <c r="N57" s="48"/>
      <c r="P57" s="143" t="s">
        <v>297</v>
      </c>
      <c r="Q57" s="47"/>
      <c r="R57" s="47"/>
      <c r="S57" s="48"/>
    </row>
    <row r="58">
      <c r="A58" s="9" t="s">
        <v>7</v>
      </c>
      <c r="B58" s="326">
        <f>C8+C17+C26+C35+C44+C53</f>
        <v>0</v>
      </c>
      <c r="C58" s="47"/>
      <c r="D58" s="48"/>
      <c r="F58" s="9" t="s">
        <v>7</v>
      </c>
      <c r="G58" s="326">
        <f>H8+H17+H26+H35+H44+H53</f>
        <v>0</v>
      </c>
      <c r="H58" s="47"/>
      <c r="I58" s="48"/>
      <c r="K58" s="9" t="s">
        <v>7</v>
      </c>
      <c r="L58" s="326">
        <f>M8+M17+M26+M35+M44+M53</f>
        <v>0</v>
      </c>
      <c r="M58" s="47"/>
      <c r="N58" s="48"/>
      <c r="P58" s="9" t="s">
        <v>7</v>
      </c>
      <c r="Q58" s="326">
        <f>R8+R17+R26+R35+R44+R53</f>
        <v>0</v>
      </c>
      <c r="R58" s="47"/>
      <c r="S58" s="48"/>
    </row>
    <row r="59">
      <c r="A59" s="9" t="s">
        <v>3</v>
      </c>
      <c r="B59" s="327">
        <f>D8+D17+D26+D35+D44+D53</f>
        <v>0</v>
      </c>
      <c r="C59" s="47"/>
      <c r="D59" s="48"/>
      <c r="F59" s="9" t="s">
        <v>3</v>
      </c>
      <c r="G59" s="327">
        <f>I8+I17+I26+I35+I44+I53</f>
        <v>0</v>
      </c>
      <c r="H59" s="47"/>
      <c r="I59" s="48"/>
      <c r="K59" s="9" t="s">
        <v>3</v>
      </c>
      <c r="L59" s="327">
        <f>N8+N17+N26+N35+N44+N53</f>
        <v>0</v>
      </c>
      <c r="M59" s="47"/>
      <c r="N59" s="48"/>
      <c r="P59" s="9" t="s">
        <v>3</v>
      </c>
      <c r="Q59" s="327">
        <f>S8+S17+S26+S35+S44+S53</f>
        <v>0</v>
      </c>
      <c r="R59" s="47"/>
      <c r="S59" s="48"/>
    </row>
    <row r="60">
      <c r="A60" s="9" t="s">
        <v>47</v>
      </c>
      <c r="B60" s="328">
        <f t="array" ref="B60:C60">C9:D9+C18:D18+C27:D27+C36:D36+C45:D45+C54:D54</f>
        <v>0</v>
      </c>
      <c r="C60" s="47"/>
      <c r="D60" s="48"/>
      <c r="F60" s="9" t="s">
        <v>47</v>
      </c>
      <c r="G60" s="328">
        <f t="array" ref="G60:H60">H9:I9+H18:I18+H27:I27+H36:I36+H45:I45+H54:I54</f>
        <v>0</v>
      </c>
      <c r="H60" s="47"/>
      <c r="I60" s="48"/>
      <c r="K60" s="9" t="s">
        <v>47</v>
      </c>
      <c r="L60" s="328">
        <f t="array" ref="L60:M60">M9:N9+M18:N18+M27:N27+M36:N36+M45:N45+M54:N54</f>
        <v>0</v>
      </c>
      <c r="M60" s="47"/>
      <c r="N60" s="48"/>
      <c r="P60" s="9" t="s">
        <v>47</v>
      </c>
      <c r="Q60" s="328">
        <f t="array" ref="Q60:R60">R9:S9+R18:S18+R27:S27+R36:S36+R45:S45+R54:S54</f>
        <v>0</v>
      </c>
      <c r="R60" s="47"/>
      <c r="S60" s="48"/>
    </row>
  </sheetData>
  <mergeCells count="88">
    <mergeCell ref="H9:I9"/>
    <mergeCell ref="M9:N9"/>
    <mergeCell ref="R9:S9"/>
    <mergeCell ref="A2:A7"/>
    <mergeCell ref="F2:F7"/>
    <mergeCell ref="K2:K7"/>
    <mergeCell ref="P2:P7"/>
    <mergeCell ref="A8:A9"/>
    <mergeCell ref="K8:K9"/>
    <mergeCell ref="P8:P9"/>
    <mergeCell ref="K11:K16"/>
    <mergeCell ref="K17:K18"/>
    <mergeCell ref="K20:K25"/>
    <mergeCell ref="P20:P25"/>
    <mergeCell ref="K26:K27"/>
    <mergeCell ref="P26:P27"/>
    <mergeCell ref="M27:N27"/>
    <mergeCell ref="R27:S27"/>
    <mergeCell ref="H18:I18"/>
    <mergeCell ref="M18:N18"/>
    <mergeCell ref="R18:S18"/>
    <mergeCell ref="F8:F9"/>
    <mergeCell ref="C9:D9"/>
    <mergeCell ref="A11:A16"/>
    <mergeCell ref="F11:F16"/>
    <mergeCell ref="P11:P16"/>
    <mergeCell ref="A17:A18"/>
    <mergeCell ref="P17:P18"/>
    <mergeCell ref="F17:F18"/>
    <mergeCell ref="C18:D18"/>
    <mergeCell ref="A20:A25"/>
    <mergeCell ref="F20:F25"/>
    <mergeCell ref="F26:F27"/>
    <mergeCell ref="C27:D27"/>
    <mergeCell ref="H27:I27"/>
    <mergeCell ref="P29:P34"/>
    <mergeCell ref="P35:P36"/>
    <mergeCell ref="M36:N36"/>
    <mergeCell ref="R36:S36"/>
    <mergeCell ref="G58:I58"/>
    <mergeCell ref="G59:I59"/>
    <mergeCell ref="C54:D54"/>
    <mergeCell ref="A57:D57"/>
    <mergeCell ref="F57:I57"/>
    <mergeCell ref="K57:N57"/>
    <mergeCell ref="B58:D58"/>
    <mergeCell ref="L58:N58"/>
    <mergeCell ref="L59:N59"/>
    <mergeCell ref="A26:A27"/>
    <mergeCell ref="A29:A34"/>
    <mergeCell ref="F29:F34"/>
    <mergeCell ref="K29:K34"/>
    <mergeCell ref="A35:A36"/>
    <mergeCell ref="F35:F36"/>
    <mergeCell ref="K35:K36"/>
    <mergeCell ref="K38:K43"/>
    <mergeCell ref="K44:K45"/>
    <mergeCell ref="K47:K52"/>
    <mergeCell ref="P47:P52"/>
    <mergeCell ref="K53:K54"/>
    <mergeCell ref="P53:P54"/>
    <mergeCell ref="M54:N54"/>
    <mergeCell ref="R54:S54"/>
    <mergeCell ref="H45:I45"/>
    <mergeCell ref="M45:N45"/>
    <mergeCell ref="R45:S45"/>
    <mergeCell ref="C36:D36"/>
    <mergeCell ref="H36:I36"/>
    <mergeCell ref="A38:A43"/>
    <mergeCell ref="F38:F43"/>
    <mergeCell ref="P38:P43"/>
    <mergeCell ref="A44:A45"/>
    <mergeCell ref="P44:P45"/>
    <mergeCell ref="F44:F45"/>
    <mergeCell ref="C45:D45"/>
    <mergeCell ref="A47:A52"/>
    <mergeCell ref="F47:F52"/>
    <mergeCell ref="A53:A54"/>
    <mergeCell ref="F53:F54"/>
    <mergeCell ref="H54:I54"/>
    <mergeCell ref="P57:S57"/>
    <mergeCell ref="Q58:S58"/>
    <mergeCell ref="Q59:S59"/>
    <mergeCell ref="Q60:S60"/>
    <mergeCell ref="B59:D59"/>
    <mergeCell ref="B60:D60"/>
    <mergeCell ref="G60:I60"/>
    <mergeCell ref="L60:N6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5" max="5" width="3.63"/>
    <col customWidth="1" min="6" max="6" width="4.13"/>
    <col customWidth="1" min="10" max="10" width="3.25"/>
    <col customWidth="1" min="11" max="11" width="4.0"/>
    <col customWidth="1" min="15" max="15" width="3.0"/>
    <col customWidth="1" min="16" max="16" width="3.88"/>
    <col customWidth="1" min="20" max="20" width="3.0"/>
    <col customWidth="1" min="21" max="21" width="4.25"/>
    <col customWidth="1" min="25" max="25" width="3.25"/>
    <col customWidth="1" min="26" max="26" width="4.13"/>
    <col customWidth="1" min="30" max="30" width="9.88"/>
  </cols>
  <sheetData>
    <row r="1">
      <c r="A1" s="95"/>
      <c r="B1" s="95"/>
      <c r="C1" s="329"/>
      <c r="D1" s="95"/>
      <c r="F1" s="95"/>
      <c r="G1" s="95"/>
      <c r="H1" s="329"/>
      <c r="I1" s="95"/>
      <c r="K1" s="95"/>
      <c r="L1" s="95"/>
      <c r="M1" s="329"/>
      <c r="N1" s="95"/>
      <c r="P1" s="95"/>
      <c r="Q1" s="95"/>
      <c r="R1" s="329"/>
      <c r="S1" s="95"/>
      <c r="U1" s="95"/>
      <c r="V1" s="95"/>
      <c r="W1" s="329"/>
      <c r="X1" s="95"/>
      <c r="Z1" s="95"/>
      <c r="AA1" s="95"/>
      <c r="AB1" s="329"/>
      <c r="AC1" s="95"/>
    </row>
    <row r="2">
      <c r="A2" s="330" t="s">
        <v>298</v>
      </c>
    </row>
    <row r="3">
      <c r="A3" s="95"/>
      <c r="B3" s="95"/>
      <c r="C3" s="329"/>
      <c r="D3" s="95"/>
      <c r="F3" s="95"/>
      <c r="G3" s="95"/>
      <c r="H3" s="329"/>
      <c r="I3" s="95"/>
      <c r="K3" s="95"/>
      <c r="L3" s="95"/>
      <c r="M3" s="329"/>
      <c r="N3" s="95"/>
      <c r="P3" s="95"/>
      <c r="Q3" s="95"/>
      <c r="R3" s="329"/>
      <c r="S3" s="95"/>
      <c r="U3" s="95"/>
      <c r="V3" s="95"/>
      <c r="W3" s="329"/>
      <c r="X3" s="95"/>
      <c r="Z3" s="95"/>
      <c r="AA3" s="95"/>
      <c r="AB3" s="329"/>
      <c r="AC3" s="95"/>
    </row>
    <row r="4">
      <c r="A4" s="2" t="s">
        <v>0</v>
      </c>
      <c r="B4" s="2" t="s">
        <v>1</v>
      </c>
      <c r="C4" s="4" t="s">
        <v>7</v>
      </c>
      <c r="D4" s="2" t="s">
        <v>3</v>
      </c>
      <c r="F4" s="2" t="s">
        <v>0</v>
      </c>
      <c r="G4" s="2" t="s">
        <v>1</v>
      </c>
      <c r="H4" s="4" t="s">
        <v>7</v>
      </c>
      <c r="I4" s="2" t="s">
        <v>3</v>
      </c>
      <c r="K4" s="2" t="s">
        <v>0</v>
      </c>
      <c r="L4" s="2" t="s">
        <v>1</v>
      </c>
      <c r="M4" s="4" t="s">
        <v>7</v>
      </c>
      <c r="N4" s="2" t="s">
        <v>3</v>
      </c>
      <c r="P4" s="2" t="s">
        <v>0</v>
      </c>
      <c r="Q4" s="2" t="s">
        <v>1</v>
      </c>
      <c r="R4" s="4" t="s">
        <v>7</v>
      </c>
      <c r="S4" s="2" t="s">
        <v>3</v>
      </c>
      <c r="U4" s="2" t="s">
        <v>0</v>
      </c>
      <c r="V4" s="2" t="s">
        <v>1</v>
      </c>
      <c r="W4" s="4" t="s">
        <v>7</v>
      </c>
      <c r="X4" s="2" t="s">
        <v>3</v>
      </c>
      <c r="Z4" s="2" t="s">
        <v>0</v>
      </c>
      <c r="AA4" s="2" t="s">
        <v>1</v>
      </c>
      <c r="AB4" s="4" t="s">
        <v>7</v>
      </c>
      <c r="AC4" s="2" t="s">
        <v>3</v>
      </c>
    </row>
    <row r="5">
      <c r="A5" s="121">
        <v>1.0</v>
      </c>
      <c r="B5" s="9" t="s">
        <v>10</v>
      </c>
      <c r="C5" s="9"/>
      <c r="D5" s="9"/>
      <c r="F5" s="121">
        <v>7.0</v>
      </c>
      <c r="G5" s="9" t="s">
        <v>10</v>
      </c>
      <c r="H5" s="9"/>
      <c r="I5" s="9"/>
      <c r="K5" s="121">
        <v>13.0</v>
      </c>
      <c r="L5" s="9" t="s">
        <v>10</v>
      </c>
      <c r="M5" s="9"/>
      <c r="N5" s="9"/>
      <c r="P5" s="121">
        <v>19.0</v>
      </c>
      <c r="Q5" s="9" t="s">
        <v>10</v>
      </c>
      <c r="R5" s="9"/>
      <c r="S5" s="9"/>
      <c r="U5" s="121">
        <v>25.0</v>
      </c>
      <c r="V5" s="9" t="s">
        <v>10</v>
      </c>
      <c r="W5" s="9"/>
      <c r="X5" s="9"/>
      <c r="Z5" s="121">
        <v>31.0</v>
      </c>
      <c r="AA5" s="9" t="s">
        <v>10</v>
      </c>
      <c r="AB5" s="9"/>
      <c r="AC5" s="9"/>
    </row>
    <row r="6">
      <c r="A6" s="19"/>
      <c r="B6" s="9">
        <v>202.0</v>
      </c>
      <c r="C6" s="9"/>
      <c r="D6" s="9"/>
      <c r="F6" s="19"/>
      <c r="G6" s="9">
        <v>202.0</v>
      </c>
      <c r="H6" s="9"/>
      <c r="I6" s="9"/>
      <c r="K6" s="19"/>
      <c r="L6" s="9">
        <v>202.0</v>
      </c>
      <c r="M6" s="9"/>
      <c r="N6" s="9"/>
      <c r="P6" s="19"/>
      <c r="Q6" s="9">
        <v>202.0</v>
      </c>
      <c r="R6" s="9"/>
      <c r="S6" s="9"/>
      <c r="U6" s="19"/>
      <c r="V6" s="9">
        <v>202.0</v>
      </c>
      <c r="W6" s="9"/>
      <c r="X6" s="9"/>
      <c r="Z6" s="19"/>
      <c r="AA6" s="9">
        <v>202.0</v>
      </c>
      <c r="AB6" s="9"/>
      <c r="AC6" s="9"/>
    </row>
    <row r="7">
      <c r="A7" s="19"/>
      <c r="B7" s="9">
        <v>213.0</v>
      </c>
      <c r="C7" s="9"/>
      <c r="D7" s="9"/>
      <c r="F7" s="19"/>
      <c r="G7" s="9">
        <v>213.0</v>
      </c>
      <c r="H7" s="9"/>
      <c r="I7" s="9"/>
      <c r="K7" s="19"/>
      <c r="L7" s="9">
        <v>213.0</v>
      </c>
      <c r="M7" s="9"/>
      <c r="N7" s="9"/>
      <c r="P7" s="19"/>
      <c r="Q7" s="9">
        <v>213.0</v>
      </c>
      <c r="R7" s="9"/>
      <c r="S7" s="9"/>
      <c r="U7" s="19"/>
      <c r="V7" s="9">
        <v>213.0</v>
      </c>
      <c r="W7" s="9"/>
      <c r="X7" s="9"/>
      <c r="Z7" s="19"/>
      <c r="AA7" s="9">
        <v>213.0</v>
      </c>
      <c r="AB7" s="9"/>
      <c r="AC7" s="9"/>
    </row>
    <row r="8">
      <c r="A8" s="19"/>
      <c r="B8" s="9">
        <v>307.0</v>
      </c>
      <c r="C8" s="9"/>
      <c r="D8" s="9"/>
      <c r="F8" s="19"/>
      <c r="G8" s="9">
        <v>307.0</v>
      </c>
      <c r="H8" s="9"/>
      <c r="I8" s="9"/>
      <c r="K8" s="19"/>
      <c r="L8" s="9">
        <v>307.0</v>
      </c>
      <c r="M8" s="9"/>
      <c r="N8" s="9"/>
      <c r="P8" s="19"/>
      <c r="Q8" s="9">
        <v>307.0</v>
      </c>
      <c r="R8" s="9"/>
      <c r="S8" s="9"/>
      <c r="U8" s="19"/>
      <c r="V8" s="9">
        <v>307.0</v>
      </c>
      <c r="W8" s="9"/>
      <c r="X8" s="9"/>
      <c r="Z8" s="19"/>
      <c r="AA8" s="9">
        <v>307.0</v>
      </c>
      <c r="AB8" s="9"/>
      <c r="AC8" s="9"/>
    </row>
    <row r="9">
      <c r="A9" s="19"/>
      <c r="B9" s="9">
        <v>313.0</v>
      </c>
      <c r="C9" s="9"/>
      <c r="D9" s="9"/>
      <c r="F9" s="19"/>
      <c r="G9" s="9">
        <v>313.0</v>
      </c>
      <c r="H9" s="9"/>
      <c r="I9" s="9"/>
      <c r="K9" s="19"/>
      <c r="L9" s="9">
        <v>313.0</v>
      </c>
      <c r="M9" s="9"/>
      <c r="N9" s="9"/>
      <c r="P9" s="19"/>
      <c r="Q9" s="9">
        <v>313.0</v>
      </c>
      <c r="R9" s="9"/>
      <c r="S9" s="9"/>
      <c r="U9" s="19"/>
      <c r="V9" s="9">
        <v>313.0</v>
      </c>
      <c r="W9" s="9"/>
      <c r="X9" s="9"/>
      <c r="Z9" s="19"/>
      <c r="AA9" s="9">
        <v>313.0</v>
      </c>
      <c r="AB9" s="9"/>
      <c r="AC9" s="9"/>
    </row>
    <row r="10">
      <c r="A10" s="53"/>
      <c r="B10" s="9" t="s">
        <v>293</v>
      </c>
      <c r="C10" s="9"/>
      <c r="D10" s="9"/>
      <c r="F10" s="53"/>
      <c r="G10" s="9" t="s">
        <v>293</v>
      </c>
      <c r="H10" s="9"/>
      <c r="I10" s="9"/>
      <c r="K10" s="53"/>
      <c r="L10" s="9" t="s">
        <v>293</v>
      </c>
      <c r="M10" s="9"/>
      <c r="N10" s="9"/>
      <c r="P10" s="53"/>
      <c r="Q10" s="9" t="s">
        <v>293</v>
      </c>
      <c r="R10" s="9"/>
      <c r="S10" s="9"/>
      <c r="U10" s="53"/>
      <c r="V10" s="9" t="s">
        <v>293</v>
      </c>
      <c r="W10" s="9"/>
      <c r="X10" s="9"/>
      <c r="Z10" s="53"/>
      <c r="AA10" s="9" t="s">
        <v>293</v>
      </c>
      <c r="AB10" s="9"/>
      <c r="AC10" s="9"/>
    </row>
    <row r="11">
      <c r="A11" s="322"/>
      <c r="B11" s="28" t="s">
        <v>23</v>
      </c>
      <c r="C11" s="323">
        <f t="shared" ref="C11:D11" si="1">C5+C6+C7+C8+C9+C10</f>
        <v>0</v>
      </c>
      <c r="D11" s="324">
        <f t="shared" si="1"/>
        <v>0</v>
      </c>
      <c r="F11" s="322"/>
      <c r="G11" s="28" t="s">
        <v>23</v>
      </c>
      <c r="H11" s="323">
        <f t="shared" ref="H11:I11" si="2">H5+H6+H7+H8+H9+H10</f>
        <v>0</v>
      </c>
      <c r="I11" s="324">
        <f t="shared" si="2"/>
        <v>0</v>
      </c>
      <c r="K11" s="322"/>
      <c r="L11" s="28" t="s">
        <v>23</v>
      </c>
      <c r="M11" s="323">
        <f t="shared" ref="M11:N11" si="3">M5+M6+M7+M8+M9+M10</f>
        <v>0</v>
      </c>
      <c r="N11" s="324">
        <f t="shared" si="3"/>
        <v>0</v>
      </c>
      <c r="P11" s="322"/>
      <c r="Q11" s="28" t="s">
        <v>23</v>
      </c>
      <c r="R11" s="323">
        <f t="shared" ref="R11:S11" si="4">R5+R6+R7+R8+R9+R10</f>
        <v>0</v>
      </c>
      <c r="S11" s="324">
        <f t="shared" si="4"/>
        <v>0</v>
      </c>
      <c r="U11" s="322"/>
      <c r="V11" s="28" t="s">
        <v>23</v>
      </c>
      <c r="W11" s="323">
        <f t="shared" ref="W11:X11" si="5">W5+W6+W7+W8+W9+W10</f>
        <v>0</v>
      </c>
      <c r="X11" s="324">
        <f t="shared" si="5"/>
        <v>0</v>
      </c>
      <c r="Z11" s="322"/>
      <c r="AA11" s="28" t="s">
        <v>23</v>
      </c>
      <c r="AB11" s="323">
        <f t="shared" ref="AB11:AC11" si="6">AB5+AB6+AB7+AB8+AB9+AB10</f>
        <v>0</v>
      </c>
      <c r="AC11" s="324">
        <f t="shared" si="6"/>
        <v>0</v>
      </c>
    </row>
    <row r="12">
      <c r="A12" s="53"/>
      <c r="B12" s="45" t="s">
        <v>25</v>
      </c>
      <c r="C12" s="325">
        <f>C11-D11</f>
        <v>0</v>
      </c>
      <c r="D12" s="48"/>
      <c r="F12" s="53"/>
      <c r="G12" s="45" t="s">
        <v>25</v>
      </c>
      <c r="H12" s="325">
        <f>H11-I11</f>
        <v>0</v>
      </c>
      <c r="I12" s="48"/>
      <c r="K12" s="53"/>
      <c r="L12" s="45" t="s">
        <v>25</v>
      </c>
      <c r="M12" s="325">
        <f>M11-N11</f>
        <v>0</v>
      </c>
      <c r="N12" s="48"/>
      <c r="P12" s="53"/>
      <c r="Q12" s="45" t="s">
        <v>25</v>
      </c>
      <c r="R12" s="325">
        <f>R11-S11</f>
        <v>0</v>
      </c>
      <c r="S12" s="48"/>
      <c r="U12" s="53"/>
      <c r="V12" s="45" t="s">
        <v>25</v>
      </c>
      <c r="W12" s="325">
        <f>W11-X11</f>
        <v>0</v>
      </c>
      <c r="X12" s="48"/>
      <c r="Z12" s="53"/>
      <c r="AA12" s="45" t="s">
        <v>25</v>
      </c>
      <c r="AB12" s="325">
        <f>AB11-AC11</f>
        <v>0</v>
      </c>
      <c r="AC12" s="48"/>
    </row>
    <row r="13">
      <c r="A13" s="2" t="s">
        <v>0</v>
      </c>
      <c r="B13" s="2" t="s">
        <v>1</v>
      </c>
      <c r="C13" s="4" t="s">
        <v>7</v>
      </c>
      <c r="D13" s="2" t="s">
        <v>3</v>
      </c>
      <c r="F13" s="2" t="s">
        <v>0</v>
      </c>
      <c r="G13" s="2" t="s">
        <v>1</v>
      </c>
      <c r="H13" s="4" t="s">
        <v>7</v>
      </c>
      <c r="I13" s="2" t="s">
        <v>3</v>
      </c>
      <c r="K13" s="2" t="s">
        <v>0</v>
      </c>
      <c r="L13" s="2" t="s">
        <v>1</v>
      </c>
      <c r="M13" s="4" t="s">
        <v>7</v>
      </c>
      <c r="N13" s="2" t="s">
        <v>3</v>
      </c>
      <c r="P13" s="2" t="s">
        <v>0</v>
      </c>
      <c r="Q13" s="2" t="s">
        <v>1</v>
      </c>
      <c r="R13" s="4" t="s">
        <v>7</v>
      </c>
      <c r="S13" s="2" t="s">
        <v>3</v>
      </c>
      <c r="U13" s="2" t="s">
        <v>0</v>
      </c>
      <c r="V13" s="2" t="s">
        <v>1</v>
      </c>
      <c r="W13" s="4" t="s">
        <v>7</v>
      </c>
      <c r="X13" s="2" t="s">
        <v>3</v>
      </c>
      <c r="Z13" s="2" t="s">
        <v>0</v>
      </c>
      <c r="AA13" s="2" t="s">
        <v>1</v>
      </c>
      <c r="AB13" s="4" t="s">
        <v>7</v>
      </c>
      <c r="AC13" s="2" t="s">
        <v>3</v>
      </c>
    </row>
    <row r="14">
      <c r="A14" s="121">
        <v>2.0</v>
      </c>
      <c r="B14" s="9" t="s">
        <v>10</v>
      </c>
      <c r="C14" s="9"/>
      <c r="D14" s="9"/>
      <c r="F14" s="121">
        <v>8.0</v>
      </c>
      <c r="G14" s="9" t="s">
        <v>10</v>
      </c>
      <c r="H14" s="9"/>
      <c r="I14" s="9"/>
      <c r="K14" s="121">
        <v>14.0</v>
      </c>
      <c r="L14" s="9" t="s">
        <v>10</v>
      </c>
      <c r="M14" s="9"/>
      <c r="N14" s="9"/>
      <c r="P14" s="121">
        <v>20.0</v>
      </c>
      <c r="Q14" s="9" t="s">
        <v>10</v>
      </c>
      <c r="R14" s="9"/>
      <c r="S14" s="9"/>
      <c r="U14" s="121">
        <v>26.0</v>
      </c>
      <c r="V14" s="9" t="s">
        <v>10</v>
      </c>
      <c r="W14" s="9"/>
      <c r="X14" s="9"/>
      <c r="Z14" s="121"/>
      <c r="AA14" s="9" t="s">
        <v>10</v>
      </c>
      <c r="AB14" s="9"/>
      <c r="AC14" s="9"/>
    </row>
    <row r="15">
      <c r="A15" s="19"/>
      <c r="B15" s="9">
        <v>202.0</v>
      </c>
      <c r="C15" s="9"/>
      <c r="D15" s="9"/>
      <c r="F15" s="19"/>
      <c r="G15" s="9">
        <v>202.0</v>
      </c>
      <c r="H15" s="9"/>
      <c r="I15" s="9"/>
      <c r="K15" s="19"/>
      <c r="L15" s="9">
        <v>202.0</v>
      </c>
      <c r="M15" s="9"/>
      <c r="N15" s="9"/>
      <c r="P15" s="19"/>
      <c r="Q15" s="9">
        <v>202.0</v>
      </c>
      <c r="R15" s="9"/>
      <c r="S15" s="9"/>
      <c r="U15" s="19"/>
      <c r="V15" s="9">
        <v>202.0</v>
      </c>
      <c r="W15" s="9"/>
      <c r="X15" s="9"/>
      <c r="Z15" s="19"/>
      <c r="AA15" s="9">
        <v>202.0</v>
      </c>
      <c r="AB15" s="9"/>
      <c r="AC15" s="9"/>
    </row>
    <row r="16">
      <c r="A16" s="19"/>
      <c r="B16" s="9">
        <v>213.0</v>
      </c>
      <c r="C16" s="9"/>
      <c r="D16" s="9"/>
      <c r="F16" s="19"/>
      <c r="G16" s="9">
        <v>213.0</v>
      </c>
      <c r="H16" s="9"/>
      <c r="I16" s="9"/>
      <c r="K16" s="19"/>
      <c r="L16" s="9">
        <v>213.0</v>
      </c>
      <c r="M16" s="9"/>
      <c r="N16" s="9"/>
      <c r="P16" s="19"/>
      <c r="Q16" s="9">
        <v>213.0</v>
      </c>
      <c r="R16" s="9"/>
      <c r="S16" s="9"/>
      <c r="U16" s="19"/>
      <c r="V16" s="9">
        <v>213.0</v>
      </c>
      <c r="W16" s="9"/>
      <c r="X16" s="9"/>
      <c r="Z16" s="19"/>
      <c r="AA16" s="9">
        <v>213.0</v>
      </c>
      <c r="AB16" s="9"/>
      <c r="AC16" s="9"/>
    </row>
    <row r="17">
      <c r="A17" s="19"/>
      <c r="B17" s="9">
        <v>307.0</v>
      </c>
      <c r="C17" s="9"/>
      <c r="D17" s="9"/>
      <c r="F17" s="19"/>
      <c r="G17" s="9">
        <v>307.0</v>
      </c>
      <c r="H17" s="9"/>
      <c r="I17" s="9"/>
      <c r="K17" s="19"/>
      <c r="L17" s="9">
        <v>307.0</v>
      </c>
      <c r="M17" s="9"/>
      <c r="N17" s="9"/>
      <c r="P17" s="19"/>
      <c r="Q17" s="9">
        <v>307.0</v>
      </c>
      <c r="R17" s="9"/>
      <c r="S17" s="9"/>
      <c r="U17" s="19"/>
      <c r="V17" s="9">
        <v>307.0</v>
      </c>
      <c r="W17" s="9"/>
      <c r="X17" s="9"/>
      <c r="Z17" s="19"/>
      <c r="AA17" s="9">
        <v>307.0</v>
      </c>
      <c r="AB17" s="9"/>
      <c r="AC17" s="9"/>
    </row>
    <row r="18">
      <c r="A18" s="19"/>
      <c r="B18" s="9">
        <v>313.0</v>
      </c>
      <c r="C18" s="9"/>
      <c r="D18" s="9"/>
      <c r="F18" s="19"/>
      <c r="G18" s="9">
        <v>313.0</v>
      </c>
      <c r="H18" s="9"/>
      <c r="I18" s="9"/>
      <c r="K18" s="19"/>
      <c r="L18" s="9">
        <v>313.0</v>
      </c>
      <c r="M18" s="9"/>
      <c r="N18" s="9"/>
      <c r="P18" s="19"/>
      <c r="Q18" s="9">
        <v>313.0</v>
      </c>
      <c r="R18" s="9"/>
      <c r="S18" s="9"/>
      <c r="U18" s="19"/>
      <c r="V18" s="9">
        <v>313.0</v>
      </c>
      <c r="W18" s="9"/>
      <c r="X18" s="9"/>
      <c r="Z18" s="19"/>
      <c r="AA18" s="9">
        <v>313.0</v>
      </c>
      <c r="AB18" s="9"/>
      <c r="AC18" s="9"/>
    </row>
    <row r="19">
      <c r="A19" s="53"/>
      <c r="B19" s="9" t="s">
        <v>293</v>
      </c>
      <c r="C19" s="9"/>
      <c r="D19" s="9"/>
      <c r="F19" s="53"/>
      <c r="G19" s="9" t="s">
        <v>293</v>
      </c>
      <c r="H19" s="9"/>
      <c r="I19" s="9"/>
      <c r="K19" s="53"/>
      <c r="L19" s="9" t="s">
        <v>293</v>
      </c>
      <c r="M19" s="9"/>
      <c r="N19" s="9"/>
      <c r="P19" s="53"/>
      <c r="Q19" s="9" t="s">
        <v>293</v>
      </c>
      <c r="R19" s="9"/>
      <c r="S19" s="9"/>
      <c r="U19" s="53"/>
      <c r="V19" s="9" t="s">
        <v>293</v>
      </c>
      <c r="W19" s="9"/>
      <c r="X19" s="9"/>
      <c r="Z19" s="53"/>
      <c r="AA19" s="9" t="s">
        <v>293</v>
      </c>
      <c r="AB19" s="9"/>
      <c r="AC19" s="9"/>
    </row>
    <row r="20">
      <c r="A20" s="322"/>
      <c r="B20" s="28" t="s">
        <v>23</v>
      </c>
      <c r="C20" s="323">
        <f t="shared" ref="C20:D20" si="7">C14+C15+C16+C17+C18+C19</f>
        <v>0</v>
      </c>
      <c r="D20" s="324">
        <f t="shared" si="7"/>
        <v>0</v>
      </c>
      <c r="F20" s="322"/>
      <c r="G20" s="28" t="s">
        <v>23</v>
      </c>
      <c r="H20" s="323">
        <f t="shared" ref="H20:I20" si="8">H14+H15+H16+H17+H18+H19</f>
        <v>0</v>
      </c>
      <c r="I20" s="324">
        <f t="shared" si="8"/>
        <v>0</v>
      </c>
      <c r="K20" s="322"/>
      <c r="L20" s="28" t="s">
        <v>23</v>
      </c>
      <c r="M20" s="323">
        <f t="shared" ref="M20:N20" si="9">M14+M15+M16+M17+M18+M19</f>
        <v>0</v>
      </c>
      <c r="N20" s="324">
        <f t="shared" si="9"/>
        <v>0</v>
      </c>
      <c r="P20" s="322"/>
      <c r="Q20" s="28" t="s">
        <v>23</v>
      </c>
      <c r="R20" s="323">
        <f t="shared" ref="R20:S20" si="10">R14+R15+R16+R17+R18+R19</f>
        <v>0</v>
      </c>
      <c r="S20" s="324">
        <f t="shared" si="10"/>
        <v>0</v>
      </c>
      <c r="U20" s="322"/>
      <c r="V20" s="28" t="s">
        <v>23</v>
      </c>
      <c r="W20" s="323">
        <f t="shared" ref="W20:X20" si="11">W14+W15+W16+W17+W18+W19</f>
        <v>0</v>
      </c>
      <c r="X20" s="324">
        <f t="shared" si="11"/>
        <v>0</v>
      </c>
      <c r="Z20" s="322"/>
      <c r="AA20" s="28" t="s">
        <v>23</v>
      </c>
      <c r="AB20" s="323">
        <f t="shared" ref="AB20:AC20" si="12">AB14+AB15+AB16+AB17+AB18+AB19</f>
        <v>0</v>
      </c>
      <c r="AC20" s="324">
        <f t="shared" si="12"/>
        <v>0</v>
      </c>
    </row>
    <row r="21">
      <c r="A21" s="53"/>
      <c r="B21" s="45" t="s">
        <v>25</v>
      </c>
      <c r="C21" s="325">
        <f>C20-D20</f>
        <v>0</v>
      </c>
      <c r="D21" s="48"/>
      <c r="F21" s="53"/>
      <c r="G21" s="45" t="s">
        <v>25</v>
      </c>
      <c r="H21" s="325">
        <f>H20-I20</f>
        <v>0</v>
      </c>
      <c r="I21" s="48"/>
      <c r="K21" s="53"/>
      <c r="L21" s="45" t="s">
        <v>25</v>
      </c>
      <c r="M21" s="325">
        <f>M20-N20</f>
        <v>0</v>
      </c>
      <c r="N21" s="48"/>
      <c r="P21" s="53"/>
      <c r="Q21" s="45" t="s">
        <v>25</v>
      </c>
      <c r="R21" s="325">
        <f>R20-S20</f>
        <v>0</v>
      </c>
      <c r="S21" s="48"/>
      <c r="U21" s="53"/>
      <c r="V21" s="45" t="s">
        <v>25</v>
      </c>
      <c r="W21" s="325">
        <f>W20-X20</f>
        <v>0</v>
      </c>
      <c r="X21" s="48"/>
      <c r="Z21" s="53"/>
      <c r="AA21" s="45" t="s">
        <v>25</v>
      </c>
      <c r="AB21" s="325">
        <f>AB20-AC20</f>
        <v>0</v>
      </c>
      <c r="AC21" s="48"/>
    </row>
    <row r="22">
      <c r="A22" s="2" t="s">
        <v>0</v>
      </c>
      <c r="B22" s="2" t="s">
        <v>1</v>
      </c>
      <c r="C22" s="4" t="s">
        <v>7</v>
      </c>
      <c r="D22" s="2" t="s">
        <v>3</v>
      </c>
      <c r="F22" s="2" t="s">
        <v>0</v>
      </c>
      <c r="G22" s="2" t="s">
        <v>1</v>
      </c>
      <c r="H22" s="4" t="s">
        <v>7</v>
      </c>
      <c r="I22" s="2" t="s">
        <v>3</v>
      </c>
      <c r="K22" s="2" t="s">
        <v>0</v>
      </c>
      <c r="L22" s="2" t="s">
        <v>1</v>
      </c>
      <c r="M22" s="4" t="s">
        <v>7</v>
      </c>
      <c r="N22" s="2" t="s">
        <v>3</v>
      </c>
      <c r="P22" s="2" t="s">
        <v>0</v>
      </c>
      <c r="Q22" s="2" t="s">
        <v>1</v>
      </c>
      <c r="R22" s="4" t="s">
        <v>7</v>
      </c>
      <c r="S22" s="2" t="s">
        <v>3</v>
      </c>
      <c r="U22" s="2" t="s">
        <v>0</v>
      </c>
      <c r="V22" s="2" t="s">
        <v>1</v>
      </c>
      <c r="W22" s="4" t="s">
        <v>7</v>
      </c>
      <c r="X22" s="2" t="s">
        <v>3</v>
      </c>
      <c r="Z22" s="2" t="s">
        <v>0</v>
      </c>
      <c r="AA22" s="2" t="s">
        <v>1</v>
      </c>
      <c r="AB22" s="4" t="s">
        <v>7</v>
      </c>
      <c r="AC22" s="2" t="s">
        <v>3</v>
      </c>
    </row>
    <row r="23">
      <c r="A23" s="121">
        <v>3.0</v>
      </c>
      <c r="B23" s="9" t="s">
        <v>10</v>
      </c>
      <c r="C23" s="9"/>
      <c r="D23" s="9"/>
      <c r="F23" s="121">
        <v>9.0</v>
      </c>
      <c r="G23" s="9" t="s">
        <v>10</v>
      </c>
      <c r="H23" s="9"/>
      <c r="I23" s="9"/>
      <c r="K23" s="121">
        <v>15.0</v>
      </c>
      <c r="L23" s="9" t="s">
        <v>10</v>
      </c>
      <c r="M23" s="9"/>
      <c r="N23" s="9"/>
      <c r="P23" s="121">
        <v>21.0</v>
      </c>
      <c r="Q23" s="9" t="s">
        <v>10</v>
      </c>
      <c r="R23" s="9"/>
      <c r="S23" s="9"/>
      <c r="U23" s="121">
        <v>27.0</v>
      </c>
      <c r="V23" s="9" t="s">
        <v>10</v>
      </c>
      <c r="W23" s="9"/>
      <c r="X23" s="9"/>
      <c r="Z23" s="121"/>
      <c r="AA23" s="9" t="s">
        <v>10</v>
      </c>
      <c r="AB23" s="9"/>
      <c r="AC23" s="9"/>
    </row>
    <row r="24">
      <c r="A24" s="19"/>
      <c r="B24" s="9">
        <v>202.0</v>
      </c>
      <c r="C24" s="9"/>
      <c r="D24" s="9"/>
      <c r="F24" s="19"/>
      <c r="G24" s="9">
        <v>202.0</v>
      </c>
      <c r="H24" s="9"/>
      <c r="I24" s="9"/>
      <c r="K24" s="19"/>
      <c r="L24" s="9">
        <v>202.0</v>
      </c>
      <c r="M24" s="9"/>
      <c r="N24" s="9"/>
      <c r="P24" s="19"/>
      <c r="Q24" s="9">
        <v>202.0</v>
      </c>
      <c r="R24" s="9"/>
      <c r="S24" s="9"/>
      <c r="U24" s="19"/>
      <c r="V24" s="9">
        <v>202.0</v>
      </c>
      <c r="W24" s="9"/>
      <c r="X24" s="9"/>
      <c r="Z24" s="19"/>
      <c r="AA24" s="9">
        <v>202.0</v>
      </c>
      <c r="AB24" s="9"/>
      <c r="AC24" s="9"/>
    </row>
    <row r="25">
      <c r="A25" s="19"/>
      <c r="B25" s="9">
        <v>213.0</v>
      </c>
      <c r="C25" s="9"/>
      <c r="D25" s="9"/>
      <c r="F25" s="19"/>
      <c r="G25" s="9">
        <v>213.0</v>
      </c>
      <c r="H25" s="9"/>
      <c r="I25" s="9"/>
      <c r="K25" s="19"/>
      <c r="L25" s="9">
        <v>213.0</v>
      </c>
      <c r="M25" s="9"/>
      <c r="N25" s="9"/>
      <c r="P25" s="19"/>
      <c r="Q25" s="9">
        <v>213.0</v>
      </c>
      <c r="R25" s="9"/>
      <c r="S25" s="9"/>
      <c r="U25" s="19"/>
      <c r="V25" s="9">
        <v>213.0</v>
      </c>
      <c r="W25" s="9"/>
      <c r="X25" s="9"/>
      <c r="Z25" s="19"/>
      <c r="AA25" s="9">
        <v>213.0</v>
      </c>
      <c r="AB25" s="9"/>
      <c r="AC25" s="9"/>
    </row>
    <row r="26">
      <c r="A26" s="19"/>
      <c r="B26" s="9">
        <v>307.0</v>
      </c>
      <c r="C26" s="9"/>
      <c r="D26" s="9"/>
      <c r="F26" s="19"/>
      <c r="G26" s="9">
        <v>307.0</v>
      </c>
      <c r="H26" s="9"/>
      <c r="I26" s="9"/>
      <c r="K26" s="19"/>
      <c r="L26" s="9">
        <v>307.0</v>
      </c>
      <c r="M26" s="9"/>
      <c r="N26" s="9"/>
      <c r="P26" s="19"/>
      <c r="Q26" s="9">
        <v>307.0</v>
      </c>
      <c r="R26" s="9"/>
      <c r="S26" s="9"/>
      <c r="U26" s="19"/>
      <c r="V26" s="9">
        <v>307.0</v>
      </c>
      <c r="W26" s="9"/>
      <c r="X26" s="9"/>
      <c r="Z26" s="19"/>
      <c r="AA26" s="9">
        <v>307.0</v>
      </c>
      <c r="AB26" s="9"/>
      <c r="AC26" s="9"/>
    </row>
    <row r="27">
      <c r="A27" s="19"/>
      <c r="B27" s="9">
        <v>313.0</v>
      </c>
      <c r="C27" s="9"/>
      <c r="D27" s="9"/>
      <c r="F27" s="19"/>
      <c r="G27" s="9">
        <v>313.0</v>
      </c>
      <c r="H27" s="9"/>
      <c r="I27" s="9"/>
      <c r="K27" s="19"/>
      <c r="L27" s="9">
        <v>313.0</v>
      </c>
      <c r="M27" s="9"/>
      <c r="N27" s="9"/>
      <c r="P27" s="19"/>
      <c r="Q27" s="9">
        <v>313.0</v>
      </c>
      <c r="R27" s="9"/>
      <c r="S27" s="9"/>
      <c r="U27" s="19"/>
      <c r="V27" s="9">
        <v>313.0</v>
      </c>
      <c r="W27" s="9"/>
      <c r="X27" s="9"/>
      <c r="Z27" s="19"/>
      <c r="AA27" s="9">
        <v>313.0</v>
      </c>
      <c r="AB27" s="9"/>
      <c r="AC27" s="9"/>
    </row>
    <row r="28">
      <c r="A28" s="53"/>
      <c r="B28" s="9" t="s">
        <v>293</v>
      </c>
      <c r="C28" s="9"/>
      <c r="D28" s="9"/>
      <c r="F28" s="53"/>
      <c r="G28" s="9" t="s">
        <v>293</v>
      </c>
      <c r="H28" s="9"/>
      <c r="I28" s="9"/>
      <c r="K28" s="53"/>
      <c r="L28" s="9" t="s">
        <v>293</v>
      </c>
      <c r="M28" s="9"/>
      <c r="N28" s="9"/>
      <c r="P28" s="53"/>
      <c r="Q28" s="9" t="s">
        <v>293</v>
      </c>
      <c r="R28" s="9"/>
      <c r="S28" s="9"/>
      <c r="U28" s="53"/>
      <c r="V28" s="9" t="s">
        <v>293</v>
      </c>
      <c r="W28" s="9"/>
      <c r="X28" s="9"/>
      <c r="Z28" s="53"/>
      <c r="AA28" s="9" t="s">
        <v>293</v>
      </c>
      <c r="AB28" s="9"/>
      <c r="AC28" s="9"/>
    </row>
    <row r="29">
      <c r="A29" s="322"/>
      <c r="B29" s="28" t="s">
        <v>23</v>
      </c>
      <c r="C29" s="323">
        <f t="shared" ref="C29:D29" si="13">C23+C24+C25+C26+C27+C28</f>
        <v>0</v>
      </c>
      <c r="D29" s="324">
        <f t="shared" si="13"/>
        <v>0</v>
      </c>
      <c r="F29" s="322"/>
      <c r="G29" s="28" t="s">
        <v>23</v>
      </c>
      <c r="H29" s="323">
        <f t="shared" ref="H29:I29" si="14">H23+H24+H25+H26+H27+H28</f>
        <v>0</v>
      </c>
      <c r="I29" s="324">
        <f t="shared" si="14"/>
        <v>0</v>
      </c>
      <c r="K29" s="322"/>
      <c r="L29" s="28" t="s">
        <v>23</v>
      </c>
      <c r="M29" s="323">
        <f t="shared" ref="M29:N29" si="15">M23+M24+M25+M26+M27+M28</f>
        <v>0</v>
      </c>
      <c r="N29" s="324">
        <f t="shared" si="15"/>
        <v>0</v>
      </c>
      <c r="P29" s="322"/>
      <c r="Q29" s="28" t="s">
        <v>23</v>
      </c>
      <c r="R29" s="323">
        <f t="shared" ref="R29:S29" si="16">R23+R24+R25+R26+R27+R28</f>
        <v>0</v>
      </c>
      <c r="S29" s="324">
        <f t="shared" si="16"/>
        <v>0</v>
      </c>
      <c r="U29" s="322"/>
      <c r="V29" s="28" t="s">
        <v>23</v>
      </c>
      <c r="W29" s="323">
        <f t="shared" ref="W29:X29" si="17">W23+W24+W25+W26+W27+W28</f>
        <v>0</v>
      </c>
      <c r="X29" s="324">
        <f t="shared" si="17"/>
        <v>0</v>
      </c>
      <c r="Z29" s="322"/>
      <c r="AA29" s="28" t="s">
        <v>23</v>
      </c>
      <c r="AB29" s="323">
        <f t="shared" ref="AB29:AC29" si="18">AB23+AB24+AB25+AB26+AB27+AB28</f>
        <v>0</v>
      </c>
      <c r="AC29" s="324">
        <f t="shared" si="18"/>
        <v>0</v>
      </c>
    </row>
    <row r="30">
      <c r="A30" s="53"/>
      <c r="B30" s="45" t="s">
        <v>25</v>
      </c>
      <c r="C30" s="325">
        <f>C29-D29</f>
        <v>0</v>
      </c>
      <c r="D30" s="48"/>
      <c r="F30" s="53"/>
      <c r="G30" s="45" t="s">
        <v>25</v>
      </c>
      <c r="H30" s="325">
        <f>H29-I29</f>
        <v>0</v>
      </c>
      <c r="I30" s="48"/>
      <c r="K30" s="53"/>
      <c r="L30" s="45" t="s">
        <v>25</v>
      </c>
      <c r="M30" s="325">
        <f>M29-N29</f>
        <v>0</v>
      </c>
      <c r="N30" s="48"/>
      <c r="P30" s="53"/>
      <c r="Q30" s="45" t="s">
        <v>25</v>
      </c>
      <c r="R30" s="325">
        <f>R29-S29</f>
        <v>0</v>
      </c>
      <c r="S30" s="48"/>
      <c r="U30" s="53"/>
      <c r="V30" s="45" t="s">
        <v>25</v>
      </c>
      <c r="W30" s="325">
        <f>W29-X29</f>
        <v>0</v>
      </c>
      <c r="X30" s="48"/>
      <c r="Z30" s="53"/>
      <c r="AA30" s="45" t="s">
        <v>25</v>
      </c>
      <c r="AB30" s="325">
        <f>AB29-AC29</f>
        <v>0</v>
      </c>
      <c r="AC30" s="48"/>
    </row>
    <row r="31">
      <c r="A31" s="2" t="s">
        <v>0</v>
      </c>
      <c r="B31" s="2" t="s">
        <v>1</v>
      </c>
      <c r="C31" s="4" t="s">
        <v>7</v>
      </c>
      <c r="D31" s="2" t="s">
        <v>3</v>
      </c>
      <c r="F31" s="2" t="s">
        <v>0</v>
      </c>
      <c r="G31" s="2" t="s">
        <v>1</v>
      </c>
      <c r="H31" s="4" t="s">
        <v>7</v>
      </c>
      <c r="I31" s="2" t="s">
        <v>3</v>
      </c>
      <c r="K31" s="2" t="s">
        <v>0</v>
      </c>
      <c r="L31" s="2" t="s">
        <v>1</v>
      </c>
      <c r="M31" s="4" t="s">
        <v>7</v>
      </c>
      <c r="N31" s="2" t="s">
        <v>3</v>
      </c>
      <c r="P31" s="2" t="s">
        <v>0</v>
      </c>
      <c r="Q31" s="2" t="s">
        <v>1</v>
      </c>
      <c r="R31" s="4" t="s">
        <v>7</v>
      </c>
      <c r="S31" s="2" t="s">
        <v>3</v>
      </c>
      <c r="U31" s="2" t="s">
        <v>0</v>
      </c>
      <c r="V31" s="2" t="s">
        <v>1</v>
      </c>
      <c r="W31" s="4" t="s">
        <v>7</v>
      </c>
      <c r="X31" s="2" t="s">
        <v>3</v>
      </c>
      <c r="Z31" s="2" t="s">
        <v>0</v>
      </c>
      <c r="AA31" s="2" t="s">
        <v>1</v>
      </c>
      <c r="AB31" s="4" t="s">
        <v>7</v>
      </c>
      <c r="AC31" s="2" t="s">
        <v>3</v>
      </c>
    </row>
    <row r="32">
      <c r="A32" s="121">
        <v>4.0</v>
      </c>
      <c r="B32" s="9" t="s">
        <v>10</v>
      </c>
      <c r="C32" s="9"/>
      <c r="D32" s="9"/>
      <c r="F32" s="121">
        <v>10.0</v>
      </c>
      <c r="G32" s="9" t="s">
        <v>10</v>
      </c>
      <c r="H32" s="9"/>
      <c r="I32" s="9"/>
      <c r="K32" s="121">
        <v>16.0</v>
      </c>
      <c r="L32" s="9" t="s">
        <v>10</v>
      </c>
      <c r="M32" s="9"/>
      <c r="N32" s="9"/>
      <c r="P32" s="121">
        <v>22.0</v>
      </c>
      <c r="Q32" s="9" t="s">
        <v>10</v>
      </c>
      <c r="R32" s="9"/>
      <c r="S32" s="9"/>
      <c r="U32" s="121">
        <v>28.0</v>
      </c>
      <c r="V32" s="9" t="s">
        <v>10</v>
      </c>
      <c r="W32" s="9"/>
      <c r="X32" s="9"/>
      <c r="Z32" s="121"/>
      <c r="AA32" s="9" t="s">
        <v>10</v>
      </c>
      <c r="AB32" s="9"/>
      <c r="AC32" s="9"/>
    </row>
    <row r="33">
      <c r="A33" s="19"/>
      <c r="B33" s="9">
        <v>202.0</v>
      </c>
      <c r="C33" s="9"/>
      <c r="D33" s="9"/>
      <c r="F33" s="19"/>
      <c r="G33" s="9">
        <v>202.0</v>
      </c>
      <c r="H33" s="9"/>
      <c r="I33" s="9"/>
      <c r="K33" s="19"/>
      <c r="L33" s="9">
        <v>202.0</v>
      </c>
      <c r="M33" s="9"/>
      <c r="N33" s="9"/>
      <c r="P33" s="19"/>
      <c r="Q33" s="9">
        <v>202.0</v>
      </c>
      <c r="R33" s="9"/>
      <c r="S33" s="9"/>
      <c r="U33" s="19"/>
      <c r="V33" s="9">
        <v>202.0</v>
      </c>
      <c r="W33" s="9"/>
      <c r="X33" s="9"/>
      <c r="Z33" s="19"/>
      <c r="AA33" s="9">
        <v>202.0</v>
      </c>
      <c r="AB33" s="9"/>
      <c r="AC33" s="9"/>
    </row>
    <row r="34">
      <c r="A34" s="19"/>
      <c r="B34" s="9">
        <v>213.0</v>
      </c>
      <c r="C34" s="9"/>
      <c r="D34" s="9"/>
      <c r="F34" s="19"/>
      <c r="G34" s="9">
        <v>213.0</v>
      </c>
      <c r="H34" s="9"/>
      <c r="I34" s="9"/>
      <c r="K34" s="19"/>
      <c r="L34" s="9">
        <v>213.0</v>
      </c>
      <c r="M34" s="9"/>
      <c r="N34" s="9"/>
      <c r="P34" s="19"/>
      <c r="Q34" s="9">
        <v>213.0</v>
      </c>
      <c r="R34" s="9"/>
      <c r="S34" s="9"/>
      <c r="U34" s="19"/>
      <c r="V34" s="9">
        <v>213.0</v>
      </c>
      <c r="W34" s="9"/>
      <c r="X34" s="9"/>
      <c r="Z34" s="19"/>
      <c r="AA34" s="9">
        <v>213.0</v>
      </c>
      <c r="AB34" s="9"/>
      <c r="AC34" s="9"/>
    </row>
    <row r="35">
      <c r="A35" s="19"/>
      <c r="B35" s="9">
        <v>307.0</v>
      </c>
      <c r="C35" s="9"/>
      <c r="D35" s="9"/>
      <c r="F35" s="19"/>
      <c r="G35" s="9">
        <v>307.0</v>
      </c>
      <c r="H35" s="9"/>
      <c r="I35" s="9"/>
      <c r="K35" s="19"/>
      <c r="L35" s="9">
        <v>307.0</v>
      </c>
      <c r="M35" s="9"/>
      <c r="N35" s="9"/>
      <c r="P35" s="19"/>
      <c r="Q35" s="9">
        <v>307.0</v>
      </c>
      <c r="R35" s="9"/>
      <c r="S35" s="9"/>
      <c r="U35" s="19"/>
      <c r="V35" s="9">
        <v>307.0</v>
      </c>
      <c r="W35" s="9"/>
      <c r="X35" s="9"/>
      <c r="Z35" s="19"/>
      <c r="AA35" s="9">
        <v>307.0</v>
      </c>
      <c r="AB35" s="9"/>
      <c r="AC35" s="9"/>
    </row>
    <row r="36">
      <c r="A36" s="19"/>
      <c r="B36" s="9">
        <v>313.0</v>
      </c>
      <c r="C36" s="9"/>
      <c r="D36" s="9"/>
      <c r="F36" s="19"/>
      <c r="G36" s="9">
        <v>313.0</v>
      </c>
      <c r="H36" s="9"/>
      <c r="I36" s="9"/>
      <c r="K36" s="19"/>
      <c r="L36" s="9">
        <v>313.0</v>
      </c>
      <c r="M36" s="9"/>
      <c r="N36" s="9"/>
      <c r="P36" s="19"/>
      <c r="Q36" s="9">
        <v>313.0</v>
      </c>
      <c r="R36" s="9"/>
      <c r="S36" s="9"/>
      <c r="U36" s="19"/>
      <c r="V36" s="9">
        <v>313.0</v>
      </c>
      <c r="W36" s="9"/>
      <c r="X36" s="9"/>
      <c r="Z36" s="19"/>
      <c r="AA36" s="9">
        <v>313.0</v>
      </c>
      <c r="AB36" s="9"/>
      <c r="AC36" s="9"/>
    </row>
    <row r="37">
      <c r="A37" s="53"/>
      <c r="B37" s="9" t="s">
        <v>293</v>
      </c>
      <c r="C37" s="9"/>
      <c r="D37" s="9"/>
      <c r="F37" s="53"/>
      <c r="G37" s="9" t="s">
        <v>293</v>
      </c>
      <c r="H37" s="9"/>
      <c r="I37" s="9"/>
      <c r="K37" s="53"/>
      <c r="L37" s="9" t="s">
        <v>293</v>
      </c>
      <c r="M37" s="9"/>
      <c r="N37" s="9"/>
      <c r="P37" s="53"/>
      <c r="Q37" s="9" t="s">
        <v>293</v>
      </c>
      <c r="R37" s="9"/>
      <c r="S37" s="9"/>
      <c r="U37" s="53"/>
      <c r="V37" s="9" t="s">
        <v>293</v>
      </c>
      <c r="W37" s="9"/>
      <c r="X37" s="9"/>
      <c r="Z37" s="53"/>
      <c r="AA37" s="9" t="s">
        <v>293</v>
      </c>
      <c r="AB37" s="9"/>
      <c r="AC37" s="9"/>
    </row>
    <row r="38">
      <c r="A38" s="322"/>
      <c r="B38" s="28" t="s">
        <v>23</v>
      </c>
      <c r="C38" s="323">
        <f t="shared" ref="C38:D38" si="19">C32+C33+C34+C35+C36+C37</f>
        <v>0</v>
      </c>
      <c r="D38" s="324">
        <f t="shared" si="19"/>
        <v>0</v>
      </c>
      <c r="F38" s="322"/>
      <c r="G38" s="28" t="s">
        <v>23</v>
      </c>
      <c r="H38" s="323">
        <f t="shared" ref="H38:I38" si="20">H32+H33+H34+H35+H36+H37</f>
        <v>0</v>
      </c>
      <c r="I38" s="324">
        <f t="shared" si="20"/>
        <v>0</v>
      </c>
      <c r="K38" s="322"/>
      <c r="L38" s="28" t="s">
        <v>23</v>
      </c>
      <c r="M38" s="323">
        <f t="shared" ref="M38:N38" si="21">M32+M33+M34+M35+M36+M37</f>
        <v>0</v>
      </c>
      <c r="N38" s="324">
        <f t="shared" si="21"/>
        <v>0</v>
      </c>
      <c r="P38" s="322"/>
      <c r="Q38" s="28" t="s">
        <v>23</v>
      </c>
      <c r="R38" s="323">
        <f t="shared" ref="R38:S38" si="22">R32+R33+R34+R35+R36+R37</f>
        <v>0</v>
      </c>
      <c r="S38" s="324">
        <f t="shared" si="22"/>
        <v>0</v>
      </c>
      <c r="U38" s="322"/>
      <c r="V38" s="28" t="s">
        <v>23</v>
      </c>
      <c r="W38" s="323">
        <f t="shared" ref="W38:X38" si="23">W32+W33+W34+W35+W36+W37</f>
        <v>0</v>
      </c>
      <c r="X38" s="324">
        <f t="shared" si="23"/>
        <v>0</v>
      </c>
      <c r="Z38" s="322"/>
      <c r="AA38" s="28" t="s">
        <v>23</v>
      </c>
      <c r="AB38" s="323">
        <f t="shared" ref="AB38:AC38" si="24">AB32+AB33+AB34+AB35+AB36+AB37</f>
        <v>0</v>
      </c>
      <c r="AC38" s="324">
        <f t="shared" si="24"/>
        <v>0</v>
      </c>
    </row>
    <row r="39">
      <c r="A39" s="53"/>
      <c r="B39" s="45" t="s">
        <v>25</v>
      </c>
      <c r="C39" s="325">
        <f>C38-D38</f>
        <v>0</v>
      </c>
      <c r="D39" s="48"/>
      <c r="F39" s="53"/>
      <c r="G39" s="45" t="s">
        <v>25</v>
      </c>
      <c r="H39" s="325">
        <f>H38-I38</f>
        <v>0</v>
      </c>
      <c r="I39" s="48"/>
      <c r="K39" s="53"/>
      <c r="L39" s="45" t="s">
        <v>25</v>
      </c>
      <c r="M39" s="325">
        <f>M38-N38</f>
        <v>0</v>
      </c>
      <c r="N39" s="48"/>
      <c r="P39" s="53"/>
      <c r="Q39" s="45" t="s">
        <v>25</v>
      </c>
      <c r="R39" s="325">
        <f>R38-S38</f>
        <v>0</v>
      </c>
      <c r="S39" s="48"/>
      <c r="U39" s="53"/>
      <c r="V39" s="45" t="s">
        <v>25</v>
      </c>
      <c r="W39" s="325">
        <f>W38-X38</f>
        <v>0</v>
      </c>
      <c r="X39" s="48"/>
      <c r="Z39" s="53"/>
      <c r="AA39" s="45" t="s">
        <v>25</v>
      </c>
      <c r="AB39" s="325">
        <f>AB38-AC38</f>
        <v>0</v>
      </c>
      <c r="AC39" s="48"/>
    </row>
    <row r="40">
      <c r="A40" s="2" t="s">
        <v>0</v>
      </c>
      <c r="B40" s="2" t="s">
        <v>1</v>
      </c>
      <c r="C40" s="4" t="s">
        <v>7</v>
      </c>
      <c r="D40" s="2" t="s">
        <v>3</v>
      </c>
      <c r="F40" s="2" t="s">
        <v>0</v>
      </c>
      <c r="G40" s="2" t="s">
        <v>1</v>
      </c>
      <c r="H40" s="4" t="s">
        <v>7</v>
      </c>
      <c r="I40" s="2" t="s">
        <v>3</v>
      </c>
      <c r="K40" s="2" t="s">
        <v>0</v>
      </c>
      <c r="L40" s="2" t="s">
        <v>1</v>
      </c>
      <c r="M40" s="4" t="s">
        <v>7</v>
      </c>
      <c r="N40" s="2" t="s">
        <v>3</v>
      </c>
      <c r="P40" s="2" t="s">
        <v>0</v>
      </c>
      <c r="Q40" s="2" t="s">
        <v>1</v>
      </c>
      <c r="R40" s="4" t="s">
        <v>7</v>
      </c>
      <c r="S40" s="2" t="s">
        <v>3</v>
      </c>
      <c r="U40" s="2" t="s">
        <v>0</v>
      </c>
      <c r="V40" s="2" t="s">
        <v>1</v>
      </c>
      <c r="W40" s="4" t="s">
        <v>7</v>
      </c>
      <c r="X40" s="2" t="s">
        <v>3</v>
      </c>
      <c r="Z40" s="2" t="s">
        <v>0</v>
      </c>
      <c r="AA40" s="2" t="s">
        <v>1</v>
      </c>
      <c r="AB40" s="4" t="s">
        <v>7</v>
      </c>
      <c r="AC40" s="2" t="s">
        <v>3</v>
      </c>
    </row>
    <row r="41">
      <c r="A41" s="121">
        <v>5.0</v>
      </c>
      <c r="B41" s="9" t="s">
        <v>10</v>
      </c>
      <c r="C41" s="9"/>
      <c r="D41" s="9"/>
      <c r="F41" s="121">
        <v>11.0</v>
      </c>
      <c r="G41" s="9" t="s">
        <v>10</v>
      </c>
      <c r="H41" s="9"/>
      <c r="I41" s="9"/>
      <c r="K41" s="121">
        <v>17.0</v>
      </c>
      <c r="L41" s="9" t="s">
        <v>10</v>
      </c>
      <c r="M41" s="9"/>
      <c r="N41" s="9"/>
      <c r="P41" s="121">
        <v>23.0</v>
      </c>
      <c r="Q41" s="9" t="s">
        <v>10</v>
      </c>
      <c r="R41" s="9"/>
      <c r="S41" s="9"/>
      <c r="U41" s="121">
        <v>29.0</v>
      </c>
      <c r="V41" s="9" t="s">
        <v>10</v>
      </c>
      <c r="W41" s="9"/>
      <c r="X41" s="9"/>
      <c r="Z41" s="12"/>
      <c r="AA41" s="9" t="s">
        <v>10</v>
      </c>
      <c r="AB41" s="9"/>
      <c r="AC41" s="9"/>
    </row>
    <row r="42">
      <c r="A42" s="19"/>
      <c r="B42" s="9">
        <v>202.0</v>
      </c>
      <c r="C42" s="9"/>
      <c r="D42" s="9"/>
      <c r="F42" s="19"/>
      <c r="G42" s="9">
        <v>202.0</v>
      </c>
      <c r="H42" s="9"/>
      <c r="I42" s="9"/>
      <c r="K42" s="19"/>
      <c r="L42" s="9">
        <v>202.0</v>
      </c>
      <c r="M42" s="9"/>
      <c r="N42" s="9"/>
      <c r="P42" s="19"/>
      <c r="Q42" s="9">
        <v>202.0</v>
      </c>
      <c r="R42" s="9"/>
      <c r="S42" s="9"/>
      <c r="U42" s="19"/>
      <c r="V42" s="9">
        <v>202.0</v>
      </c>
      <c r="W42" s="9"/>
      <c r="X42" s="9"/>
      <c r="Z42" s="19"/>
      <c r="AA42" s="9">
        <v>202.0</v>
      </c>
      <c r="AB42" s="9"/>
      <c r="AC42" s="9"/>
    </row>
    <row r="43">
      <c r="A43" s="19"/>
      <c r="B43" s="9">
        <v>213.0</v>
      </c>
      <c r="C43" s="9"/>
      <c r="D43" s="9"/>
      <c r="F43" s="19"/>
      <c r="G43" s="9">
        <v>213.0</v>
      </c>
      <c r="H43" s="9"/>
      <c r="I43" s="9"/>
      <c r="K43" s="19"/>
      <c r="L43" s="9">
        <v>213.0</v>
      </c>
      <c r="M43" s="9"/>
      <c r="N43" s="9"/>
      <c r="P43" s="19"/>
      <c r="Q43" s="9">
        <v>213.0</v>
      </c>
      <c r="R43" s="9"/>
      <c r="S43" s="9"/>
      <c r="U43" s="19"/>
      <c r="V43" s="9">
        <v>213.0</v>
      </c>
      <c r="W43" s="9"/>
      <c r="X43" s="9"/>
      <c r="Z43" s="19"/>
      <c r="AA43" s="9">
        <v>213.0</v>
      </c>
      <c r="AB43" s="9"/>
      <c r="AC43" s="9"/>
    </row>
    <row r="44">
      <c r="A44" s="19"/>
      <c r="B44" s="9">
        <v>307.0</v>
      </c>
      <c r="C44" s="9"/>
      <c r="D44" s="9"/>
      <c r="F44" s="19"/>
      <c r="G44" s="9">
        <v>307.0</v>
      </c>
      <c r="H44" s="9"/>
      <c r="I44" s="9"/>
      <c r="K44" s="19"/>
      <c r="L44" s="9">
        <v>307.0</v>
      </c>
      <c r="M44" s="9"/>
      <c r="N44" s="9"/>
      <c r="P44" s="19"/>
      <c r="Q44" s="9">
        <v>307.0</v>
      </c>
      <c r="R44" s="9"/>
      <c r="S44" s="9"/>
      <c r="U44" s="19"/>
      <c r="V44" s="9">
        <v>307.0</v>
      </c>
      <c r="W44" s="9"/>
      <c r="X44" s="9"/>
      <c r="Z44" s="19"/>
      <c r="AA44" s="9">
        <v>307.0</v>
      </c>
      <c r="AB44" s="9"/>
      <c r="AC44" s="9"/>
    </row>
    <row r="45">
      <c r="A45" s="19"/>
      <c r="B45" s="9">
        <v>313.0</v>
      </c>
      <c r="C45" s="9"/>
      <c r="D45" s="9"/>
      <c r="F45" s="19"/>
      <c r="G45" s="9">
        <v>313.0</v>
      </c>
      <c r="H45" s="9"/>
      <c r="I45" s="9"/>
      <c r="K45" s="19"/>
      <c r="L45" s="9">
        <v>313.0</v>
      </c>
      <c r="M45" s="9"/>
      <c r="N45" s="9"/>
      <c r="P45" s="19"/>
      <c r="Q45" s="9">
        <v>313.0</v>
      </c>
      <c r="R45" s="9"/>
      <c r="S45" s="9"/>
      <c r="U45" s="19"/>
      <c r="V45" s="9">
        <v>313.0</v>
      </c>
      <c r="W45" s="9"/>
      <c r="X45" s="9"/>
      <c r="Z45" s="19"/>
      <c r="AA45" s="9">
        <v>313.0</v>
      </c>
      <c r="AB45" s="9"/>
      <c r="AC45" s="9"/>
    </row>
    <row r="46">
      <c r="A46" s="53"/>
      <c r="B46" s="9" t="s">
        <v>293</v>
      </c>
      <c r="C46" s="9"/>
      <c r="D46" s="9"/>
      <c r="F46" s="53"/>
      <c r="G46" s="9" t="s">
        <v>293</v>
      </c>
      <c r="H46" s="9"/>
      <c r="I46" s="9"/>
      <c r="K46" s="53"/>
      <c r="L46" s="9" t="s">
        <v>293</v>
      </c>
      <c r="M46" s="9"/>
      <c r="N46" s="9"/>
      <c r="P46" s="53"/>
      <c r="Q46" s="9" t="s">
        <v>293</v>
      </c>
      <c r="R46" s="9"/>
      <c r="S46" s="9"/>
      <c r="U46" s="53"/>
      <c r="V46" s="9" t="s">
        <v>293</v>
      </c>
      <c r="W46" s="9"/>
      <c r="X46" s="9"/>
      <c r="Z46" s="53"/>
      <c r="AA46" s="9" t="s">
        <v>293</v>
      </c>
      <c r="AB46" s="9"/>
      <c r="AC46" s="9"/>
    </row>
    <row r="47">
      <c r="A47" s="322"/>
      <c r="B47" s="28" t="s">
        <v>23</v>
      </c>
      <c r="C47" s="323">
        <f t="shared" ref="C47:D47" si="25">C41+C42+C43+C44+C45+C46</f>
        <v>0</v>
      </c>
      <c r="D47" s="324">
        <f t="shared" si="25"/>
        <v>0</v>
      </c>
      <c r="F47" s="322"/>
      <c r="G47" s="28" t="s">
        <v>23</v>
      </c>
      <c r="H47" s="323">
        <f t="shared" ref="H47:I47" si="26">H41+H42+H43+H44+H45+H46</f>
        <v>0</v>
      </c>
      <c r="I47" s="324">
        <f t="shared" si="26"/>
        <v>0</v>
      </c>
      <c r="K47" s="322"/>
      <c r="L47" s="28" t="s">
        <v>23</v>
      </c>
      <c r="M47" s="323">
        <f t="shared" ref="M47:N47" si="27">M41+M42+M43+M44+M45+M46</f>
        <v>0</v>
      </c>
      <c r="N47" s="324">
        <f t="shared" si="27"/>
        <v>0</v>
      </c>
      <c r="P47" s="322"/>
      <c r="Q47" s="28" t="s">
        <v>23</v>
      </c>
      <c r="R47" s="323">
        <f t="shared" ref="R47:S47" si="28">R41+R42+R43+R44+R45+R46</f>
        <v>0</v>
      </c>
      <c r="S47" s="324">
        <f t="shared" si="28"/>
        <v>0</v>
      </c>
      <c r="U47" s="322"/>
      <c r="V47" s="28" t="s">
        <v>23</v>
      </c>
      <c r="W47" s="323">
        <f t="shared" ref="W47:X47" si="29">W41+W42+W43+W44+W45+W46</f>
        <v>0</v>
      </c>
      <c r="X47" s="324">
        <f t="shared" si="29"/>
        <v>0</v>
      </c>
      <c r="Z47" s="322"/>
      <c r="AA47" s="28" t="s">
        <v>23</v>
      </c>
      <c r="AB47" s="323">
        <f t="shared" ref="AB47:AC47" si="30">AB41+AB42+AB43+AB44+AB45+AB46</f>
        <v>0</v>
      </c>
      <c r="AC47" s="324">
        <f t="shared" si="30"/>
        <v>0</v>
      </c>
    </row>
    <row r="48">
      <c r="A48" s="53"/>
      <c r="B48" s="45" t="s">
        <v>25</v>
      </c>
      <c r="C48" s="325">
        <f>C47-D47</f>
        <v>0</v>
      </c>
      <c r="D48" s="48"/>
      <c r="F48" s="53"/>
      <c r="G48" s="45" t="s">
        <v>25</v>
      </c>
      <c r="H48" s="325">
        <f>H47-I47</f>
        <v>0</v>
      </c>
      <c r="I48" s="48"/>
      <c r="K48" s="53"/>
      <c r="L48" s="45" t="s">
        <v>25</v>
      </c>
      <c r="M48" s="325">
        <f>M47-N47</f>
        <v>0</v>
      </c>
      <c r="N48" s="48"/>
      <c r="P48" s="53"/>
      <c r="Q48" s="45" t="s">
        <v>25</v>
      </c>
      <c r="R48" s="325">
        <f>R47-S47</f>
        <v>0</v>
      </c>
      <c r="S48" s="48"/>
      <c r="U48" s="53"/>
      <c r="V48" s="45" t="s">
        <v>25</v>
      </c>
      <c r="W48" s="325">
        <f>W47-X47</f>
        <v>0</v>
      </c>
      <c r="X48" s="48"/>
      <c r="Z48" s="53"/>
      <c r="AA48" s="45" t="s">
        <v>25</v>
      </c>
      <c r="AB48" s="325">
        <f>AB47-AC47</f>
        <v>0</v>
      </c>
      <c r="AC48" s="48"/>
    </row>
    <row r="49">
      <c r="A49" s="2" t="s">
        <v>0</v>
      </c>
      <c r="B49" s="2" t="s">
        <v>1</v>
      </c>
      <c r="C49" s="4" t="s">
        <v>7</v>
      </c>
      <c r="D49" s="2" t="s">
        <v>3</v>
      </c>
      <c r="F49" s="2" t="s">
        <v>0</v>
      </c>
      <c r="G49" s="2" t="s">
        <v>1</v>
      </c>
      <c r="H49" s="4" t="s">
        <v>7</v>
      </c>
      <c r="I49" s="2" t="s">
        <v>3</v>
      </c>
      <c r="K49" s="2" t="s">
        <v>0</v>
      </c>
      <c r="L49" s="2" t="s">
        <v>1</v>
      </c>
      <c r="M49" s="4" t="s">
        <v>7</v>
      </c>
      <c r="N49" s="2" t="s">
        <v>3</v>
      </c>
      <c r="P49" s="2" t="s">
        <v>0</v>
      </c>
      <c r="Q49" s="2" t="s">
        <v>1</v>
      </c>
      <c r="R49" s="4" t="s">
        <v>7</v>
      </c>
      <c r="S49" s="2" t="s">
        <v>3</v>
      </c>
      <c r="U49" s="2" t="s">
        <v>0</v>
      </c>
      <c r="V49" s="2" t="s">
        <v>1</v>
      </c>
      <c r="W49" s="4" t="s">
        <v>7</v>
      </c>
      <c r="X49" s="2" t="s">
        <v>3</v>
      </c>
      <c r="Z49" s="2" t="s">
        <v>0</v>
      </c>
      <c r="AA49" s="2" t="s">
        <v>1</v>
      </c>
      <c r="AB49" s="4" t="s">
        <v>7</v>
      </c>
      <c r="AC49" s="2" t="s">
        <v>3</v>
      </c>
    </row>
    <row r="50">
      <c r="A50" s="121">
        <v>6.0</v>
      </c>
      <c r="B50" s="9" t="s">
        <v>10</v>
      </c>
      <c r="C50" s="9"/>
      <c r="D50" s="9"/>
      <c r="F50" s="121">
        <v>12.0</v>
      </c>
      <c r="G50" s="9" t="s">
        <v>10</v>
      </c>
      <c r="H50" s="9"/>
      <c r="I50" s="9"/>
      <c r="K50" s="121">
        <v>18.0</v>
      </c>
      <c r="L50" s="9" t="s">
        <v>10</v>
      </c>
      <c r="M50" s="9"/>
      <c r="N50" s="9"/>
      <c r="P50" s="121">
        <v>24.0</v>
      </c>
      <c r="Q50" s="9" t="s">
        <v>10</v>
      </c>
      <c r="R50" s="9"/>
      <c r="S50" s="9"/>
      <c r="U50" s="121">
        <v>30.0</v>
      </c>
      <c r="V50" s="9" t="s">
        <v>10</v>
      </c>
      <c r="W50" s="9"/>
      <c r="X50" s="9"/>
      <c r="Z50" s="12"/>
      <c r="AA50" s="9" t="s">
        <v>10</v>
      </c>
      <c r="AB50" s="9"/>
      <c r="AC50" s="9"/>
    </row>
    <row r="51">
      <c r="A51" s="19"/>
      <c r="B51" s="9">
        <v>202.0</v>
      </c>
      <c r="C51" s="9"/>
      <c r="D51" s="9"/>
      <c r="F51" s="19"/>
      <c r="G51" s="9">
        <v>202.0</v>
      </c>
      <c r="H51" s="9"/>
      <c r="I51" s="9"/>
      <c r="K51" s="19"/>
      <c r="L51" s="9">
        <v>202.0</v>
      </c>
      <c r="M51" s="9"/>
      <c r="N51" s="9"/>
      <c r="P51" s="19"/>
      <c r="Q51" s="9">
        <v>202.0</v>
      </c>
      <c r="R51" s="9"/>
      <c r="S51" s="9"/>
      <c r="U51" s="19"/>
      <c r="V51" s="9">
        <v>202.0</v>
      </c>
      <c r="W51" s="9"/>
      <c r="X51" s="9"/>
      <c r="Z51" s="19"/>
      <c r="AA51" s="9">
        <v>202.0</v>
      </c>
      <c r="AB51" s="9"/>
      <c r="AC51" s="9"/>
    </row>
    <row r="52">
      <c r="A52" s="19"/>
      <c r="B52" s="9">
        <v>213.0</v>
      </c>
      <c r="C52" s="9"/>
      <c r="D52" s="9"/>
      <c r="F52" s="19"/>
      <c r="G52" s="9">
        <v>213.0</v>
      </c>
      <c r="H52" s="9"/>
      <c r="I52" s="9"/>
      <c r="K52" s="19"/>
      <c r="L52" s="9">
        <v>213.0</v>
      </c>
      <c r="M52" s="9"/>
      <c r="N52" s="9"/>
      <c r="P52" s="19"/>
      <c r="Q52" s="9">
        <v>213.0</v>
      </c>
      <c r="R52" s="9"/>
      <c r="S52" s="9"/>
      <c r="U52" s="19"/>
      <c r="V52" s="9">
        <v>213.0</v>
      </c>
      <c r="W52" s="9"/>
      <c r="X52" s="9"/>
      <c r="Z52" s="19"/>
      <c r="AA52" s="9">
        <v>213.0</v>
      </c>
      <c r="AB52" s="9"/>
      <c r="AC52" s="9"/>
    </row>
    <row r="53">
      <c r="A53" s="19"/>
      <c r="B53" s="9">
        <v>307.0</v>
      </c>
      <c r="C53" s="9"/>
      <c r="D53" s="9"/>
      <c r="F53" s="19"/>
      <c r="G53" s="9">
        <v>307.0</v>
      </c>
      <c r="H53" s="9"/>
      <c r="I53" s="9"/>
      <c r="K53" s="19"/>
      <c r="L53" s="9">
        <v>307.0</v>
      </c>
      <c r="M53" s="9"/>
      <c r="N53" s="9"/>
      <c r="P53" s="19"/>
      <c r="Q53" s="9">
        <v>307.0</v>
      </c>
      <c r="R53" s="9"/>
      <c r="S53" s="9"/>
      <c r="U53" s="19"/>
      <c r="V53" s="9">
        <v>307.0</v>
      </c>
      <c r="W53" s="9"/>
      <c r="X53" s="9"/>
      <c r="Z53" s="19"/>
      <c r="AA53" s="9">
        <v>307.0</v>
      </c>
      <c r="AB53" s="9"/>
      <c r="AC53" s="9"/>
    </row>
    <row r="54">
      <c r="A54" s="19"/>
      <c r="B54" s="9">
        <v>313.0</v>
      </c>
      <c r="C54" s="9"/>
      <c r="D54" s="9"/>
      <c r="F54" s="19"/>
      <c r="G54" s="9">
        <v>313.0</v>
      </c>
      <c r="H54" s="9"/>
      <c r="I54" s="9"/>
      <c r="K54" s="19"/>
      <c r="L54" s="9">
        <v>313.0</v>
      </c>
      <c r="M54" s="9"/>
      <c r="N54" s="9"/>
      <c r="P54" s="19"/>
      <c r="Q54" s="9">
        <v>313.0</v>
      </c>
      <c r="R54" s="9"/>
      <c r="S54" s="9"/>
      <c r="U54" s="19"/>
      <c r="V54" s="9">
        <v>313.0</v>
      </c>
      <c r="W54" s="9"/>
      <c r="X54" s="9"/>
      <c r="Z54" s="19"/>
      <c r="AA54" s="9">
        <v>313.0</v>
      </c>
      <c r="AB54" s="9"/>
      <c r="AC54" s="9"/>
    </row>
    <row r="55">
      <c r="A55" s="53"/>
      <c r="B55" s="9" t="s">
        <v>293</v>
      </c>
      <c r="C55" s="9"/>
      <c r="D55" s="9"/>
      <c r="F55" s="53"/>
      <c r="G55" s="9" t="s">
        <v>293</v>
      </c>
      <c r="H55" s="9"/>
      <c r="I55" s="9"/>
      <c r="K55" s="53"/>
      <c r="L55" s="9" t="s">
        <v>293</v>
      </c>
      <c r="M55" s="9"/>
      <c r="N55" s="9"/>
      <c r="P55" s="53"/>
      <c r="Q55" s="9" t="s">
        <v>293</v>
      </c>
      <c r="R55" s="9"/>
      <c r="S55" s="9"/>
      <c r="U55" s="53"/>
      <c r="V55" s="9" t="s">
        <v>293</v>
      </c>
      <c r="W55" s="9"/>
      <c r="X55" s="9"/>
      <c r="Z55" s="53"/>
      <c r="AA55" s="9" t="s">
        <v>293</v>
      </c>
      <c r="AB55" s="9"/>
      <c r="AC55" s="9"/>
    </row>
    <row r="56">
      <c r="A56" s="322"/>
      <c r="B56" s="28" t="s">
        <v>23</v>
      </c>
      <c r="C56" s="323">
        <f t="shared" ref="C56:D56" si="31">C50+C51+C52+C53+C54+C55</f>
        <v>0</v>
      </c>
      <c r="D56" s="324">
        <f t="shared" si="31"/>
        <v>0</v>
      </c>
      <c r="F56" s="322"/>
      <c r="G56" s="28" t="s">
        <v>23</v>
      </c>
      <c r="H56" s="323">
        <f t="shared" ref="H56:I56" si="32">H50+H51+H52+H53+H54+H55</f>
        <v>0</v>
      </c>
      <c r="I56" s="324">
        <f t="shared" si="32"/>
        <v>0</v>
      </c>
      <c r="K56" s="322"/>
      <c r="L56" s="28" t="s">
        <v>23</v>
      </c>
      <c r="M56" s="323">
        <f t="shared" ref="M56:N56" si="33">M50+M51+M52+M53+M54+M55</f>
        <v>0</v>
      </c>
      <c r="N56" s="324">
        <f t="shared" si="33"/>
        <v>0</v>
      </c>
      <c r="P56" s="322"/>
      <c r="Q56" s="28" t="s">
        <v>23</v>
      </c>
      <c r="R56" s="323">
        <f t="shared" ref="R56:S56" si="34">R50+R51+R52+R53+R54+R55</f>
        <v>0</v>
      </c>
      <c r="S56" s="324">
        <f t="shared" si="34"/>
        <v>0</v>
      </c>
      <c r="U56" s="322"/>
      <c r="V56" s="28" t="s">
        <v>23</v>
      </c>
      <c r="W56" s="323">
        <f t="shared" ref="W56:X56" si="35">W50+W51+W52+W53+W54+W55</f>
        <v>0</v>
      </c>
      <c r="X56" s="324">
        <f t="shared" si="35"/>
        <v>0</v>
      </c>
      <c r="Z56" s="322"/>
      <c r="AA56" s="28" t="s">
        <v>23</v>
      </c>
      <c r="AB56" s="323">
        <f t="shared" ref="AB56:AC56" si="36">AB50+AB51+AB52+AB53+AB54+AB55</f>
        <v>0</v>
      </c>
      <c r="AC56" s="324">
        <f t="shared" si="36"/>
        <v>0</v>
      </c>
    </row>
    <row r="57">
      <c r="A57" s="53"/>
      <c r="B57" s="45" t="s">
        <v>25</v>
      </c>
      <c r="C57" s="325">
        <f>C56-D56</f>
        <v>0</v>
      </c>
      <c r="D57" s="48"/>
      <c r="F57" s="53"/>
      <c r="G57" s="45" t="s">
        <v>25</v>
      </c>
      <c r="H57" s="325">
        <f>H56-I56</f>
        <v>0</v>
      </c>
      <c r="I57" s="48"/>
      <c r="K57" s="53"/>
      <c r="L57" s="45" t="s">
        <v>25</v>
      </c>
      <c r="M57" s="325">
        <f>M56-N56</f>
        <v>0</v>
      </c>
      <c r="N57" s="48"/>
      <c r="P57" s="53"/>
      <c r="Q57" s="45" t="s">
        <v>25</v>
      </c>
      <c r="R57" s="325">
        <f>R56-S56</f>
        <v>0</v>
      </c>
      <c r="S57" s="48"/>
      <c r="U57" s="53"/>
      <c r="V57" s="45" t="s">
        <v>25</v>
      </c>
      <c r="W57" s="325">
        <f>W56-X56</f>
        <v>0</v>
      </c>
      <c r="X57" s="48"/>
      <c r="Z57" s="53"/>
      <c r="AA57" s="45" t="s">
        <v>25</v>
      </c>
      <c r="AB57" s="325">
        <f>AB56-AC56</f>
        <v>0</v>
      </c>
      <c r="AC57" s="48"/>
    </row>
    <row r="60">
      <c r="A60" s="143" t="s">
        <v>294</v>
      </c>
      <c r="B60" s="47"/>
      <c r="C60" s="47"/>
      <c r="D60" s="48"/>
      <c r="F60" s="143" t="s">
        <v>295</v>
      </c>
      <c r="G60" s="47"/>
      <c r="H60" s="47"/>
      <c r="I60" s="48"/>
      <c r="K60" s="143" t="s">
        <v>296</v>
      </c>
      <c r="L60" s="47"/>
      <c r="M60" s="47"/>
      <c r="N60" s="48"/>
      <c r="P60" s="143" t="s">
        <v>297</v>
      </c>
      <c r="Q60" s="47"/>
      <c r="R60" s="47"/>
      <c r="S60" s="48"/>
      <c r="U60" s="143" t="s">
        <v>297</v>
      </c>
      <c r="V60" s="47"/>
      <c r="W60" s="47"/>
      <c r="X60" s="48"/>
      <c r="Z60" s="143" t="s">
        <v>297</v>
      </c>
      <c r="AA60" s="47"/>
      <c r="AB60" s="47"/>
      <c r="AC60" s="48"/>
    </row>
    <row r="61">
      <c r="A61" s="9" t="s">
        <v>7</v>
      </c>
      <c r="B61" s="326">
        <f>C11+C20+C29+C38+C47+C56</f>
        <v>0</v>
      </c>
      <c r="C61" s="47"/>
      <c r="D61" s="48"/>
      <c r="F61" s="9" t="s">
        <v>7</v>
      </c>
      <c r="G61" s="326">
        <f>H11+H20+H29+H38+H47+H56</f>
        <v>0</v>
      </c>
      <c r="H61" s="47"/>
      <c r="I61" s="48"/>
      <c r="K61" s="9" t="s">
        <v>7</v>
      </c>
      <c r="L61" s="326">
        <f>M11+M20+M29+M38+M47+M56</f>
        <v>0</v>
      </c>
      <c r="M61" s="47"/>
      <c r="N61" s="48"/>
      <c r="P61" s="9" t="s">
        <v>7</v>
      </c>
      <c r="Q61" s="326">
        <f>R11+R20+R29+R38+R47+R56</f>
        <v>0</v>
      </c>
      <c r="R61" s="47"/>
      <c r="S61" s="48"/>
      <c r="U61" s="9" t="s">
        <v>7</v>
      </c>
      <c r="V61" s="326">
        <f>W11+W20+W29+W38+W47+W56</f>
        <v>0</v>
      </c>
      <c r="W61" s="47"/>
      <c r="X61" s="48"/>
      <c r="Z61" s="9" t="s">
        <v>7</v>
      </c>
      <c r="AA61" s="326">
        <f>AB11+AB20+AB29+AB38+AB47+AB56</f>
        <v>0</v>
      </c>
      <c r="AB61" s="47"/>
      <c r="AC61" s="48"/>
    </row>
    <row r="62">
      <c r="A62" s="9" t="s">
        <v>3</v>
      </c>
      <c r="B62" s="327">
        <f>D11+D20+D29+D38+D47+D56</f>
        <v>0</v>
      </c>
      <c r="C62" s="47"/>
      <c r="D62" s="48"/>
      <c r="F62" s="9" t="s">
        <v>3</v>
      </c>
      <c r="G62" s="327">
        <f>I11+I20+I29+I38+I47+I56</f>
        <v>0</v>
      </c>
      <c r="H62" s="47"/>
      <c r="I62" s="48"/>
      <c r="K62" s="9" t="s">
        <v>3</v>
      </c>
      <c r="L62" s="327">
        <f>N11+N20+N29+N38+N47+N56</f>
        <v>0</v>
      </c>
      <c r="M62" s="47"/>
      <c r="N62" s="48"/>
      <c r="P62" s="9" t="s">
        <v>3</v>
      </c>
      <c r="Q62" s="327">
        <f>S11+S20+S29+S38+S47+S56</f>
        <v>0</v>
      </c>
      <c r="R62" s="47"/>
      <c r="S62" s="48"/>
      <c r="U62" s="9" t="s">
        <v>3</v>
      </c>
      <c r="V62" s="327">
        <f>X11+X20+X29+X38+X47+X56</f>
        <v>0</v>
      </c>
      <c r="W62" s="47"/>
      <c r="X62" s="48"/>
      <c r="Z62" s="9" t="s">
        <v>3</v>
      </c>
      <c r="AA62" s="327">
        <f>AC11+AC20+AC29+AC38+AC47+AC56</f>
        <v>0</v>
      </c>
      <c r="AB62" s="47"/>
      <c r="AC62" s="48"/>
    </row>
    <row r="63">
      <c r="A63" s="9" t="s">
        <v>47</v>
      </c>
      <c r="B63" s="328">
        <f t="array" ref="B63:C63">C12:D12+C21:D21+C30:D30+C39:D39+C48:D48+C57:D57</f>
        <v>0</v>
      </c>
      <c r="C63" s="47"/>
      <c r="D63" s="48"/>
      <c r="F63" s="9" t="s">
        <v>47</v>
      </c>
      <c r="G63" s="328">
        <f t="array" ref="G63:H63">H12:I12+H21:I21+H30:I30+H39:I39+H48:I48+H57:I57</f>
        <v>0</v>
      </c>
      <c r="H63" s="47"/>
      <c r="I63" s="48"/>
      <c r="K63" s="9" t="s">
        <v>47</v>
      </c>
      <c r="L63" s="328">
        <f t="array" ref="L63:M63">M12:N12+M21:N21+M30:N30+M39:N39+M48:N48+M57:N57</f>
        <v>0</v>
      </c>
      <c r="M63" s="47"/>
      <c r="N63" s="48"/>
      <c r="P63" s="9" t="s">
        <v>47</v>
      </c>
      <c r="Q63" s="328">
        <f t="array" ref="Q63:R63">R12:S12+R21:S21+R30:S30+R39:S39+R48:S48+R57:S57</f>
        <v>0</v>
      </c>
      <c r="R63" s="47"/>
      <c r="S63" s="48"/>
      <c r="U63" s="9" t="s">
        <v>47</v>
      </c>
      <c r="V63" s="328">
        <f t="array" ref="V63:W63">W12:X12+W21:X21+W30:X30+W39:X39+W48:X48+W57:X57</f>
        <v>0</v>
      </c>
      <c r="W63" s="47"/>
      <c r="X63" s="48"/>
      <c r="Z63" s="9" t="s">
        <v>47</v>
      </c>
      <c r="AA63" s="328">
        <f t="array" ref="AA63:AB63">AB12:AC12+AB21:AC21+AB30:AC30+AB39:AC39+AB48:AC48+AB57:AC57</f>
        <v>0</v>
      </c>
      <c r="AB63" s="47"/>
      <c r="AC63" s="48"/>
    </row>
    <row r="74">
      <c r="A74" s="78" t="s">
        <v>299</v>
      </c>
    </row>
    <row r="75">
      <c r="A75" s="78" t="s">
        <v>300</v>
      </c>
    </row>
    <row r="76">
      <c r="A76" s="78" t="s">
        <v>301</v>
      </c>
    </row>
    <row r="77">
      <c r="A77" s="78" t="s">
        <v>302</v>
      </c>
    </row>
    <row r="78">
      <c r="A78" s="78" t="s">
        <v>303</v>
      </c>
    </row>
  </sheetData>
  <mergeCells count="133">
    <mergeCell ref="F20:F21"/>
    <mergeCell ref="C21:D21"/>
    <mergeCell ref="M21:N21"/>
    <mergeCell ref="R21:S21"/>
    <mergeCell ref="C12:D12"/>
    <mergeCell ref="H12:I12"/>
    <mergeCell ref="A14:A19"/>
    <mergeCell ref="F14:F19"/>
    <mergeCell ref="K14:K19"/>
    <mergeCell ref="K20:K21"/>
    <mergeCell ref="H21:I21"/>
    <mergeCell ref="F5:F10"/>
    <mergeCell ref="F11:F12"/>
    <mergeCell ref="F23:F28"/>
    <mergeCell ref="P5:P10"/>
    <mergeCell ref="P11:P12"/>
    <mergeCell ref="P14:P19"/>
    <mergeCell ref="P20:P21"/>
    <mergeCell ref="P23:P28"/>
    <mergeCell ref="P29:P30"/>
    <mergeCell ref="Z5:Z10"/>
    <mergeCell ref="Z11:Z12"/>
    <mergeCell ref="Z23:Z28"/>
    <mergeCell ref="Z29:Z30"/>
    <mergeCell ref="M12:N12"/>
    <mergeCell ref="R12:S12"/>
    <mergeCell ref="A2:AC2"/>
    <mergeCell ref="A5:A10"/>
    <mergeCell ref="K5:K10"/>
    <mergeCell ref="U5:U10"/>
    <mergeCell ref="A11:A12"/>
    <mergeCell ref="K11:K12"/>
    <mergeCell ref="U11:U12"/>
    <mergeCell ref="U20:U21"/>
    <mergeCell ref="U23:U28"/>
    <mergeCell ref="U29:U30"/>
    <mergeCell ref="R30:S30"/>
    <mergeCell ref="W30:X30"/>
    <mergeCell ref="AB30:AC30"/>
    <mergeCell ref="W12:X12"/>
    <mergeCell ref="AB12:AC12"/>
    <mergeCell ref="U14:U19"/>
    <mergeCell ref="Z14:Z19"/>
    <mergeCell ref="Z20:Z21"/>
    <mergeCell ref="W21:X21"/>
    <mergeCell ref="AB21:AC21"/>
    <mergeCell ref="P41:P46"/>
    <mergeCell ref="P47:P48"/>
    <mergeCell ref="H48:I48"/>
    <mergeCell ref="M48:N48"/>
    <mergeCell ref="P38:P39"/>
    <mergeCell ref="H39:I39"/>
    <mergeCell ref="M39:N39"/>
    <mergeCell ref="K41:K46"/>
    <mergeCell ref="U41:U46"/>
    <mergeCell ref="K47:K48"/>
    <mergeCell ref="U47:U48"/>
    <mergeCell ref="R48:S48"/>
    <mergeCell ref="F50:F55"/>
    <mergeCell ref="F56:F57"/>
    <mergeCell ref="H57:I57"/>
    <mergeCell ref="F60:I60"/>
    <mergeCell ref="G61:I61"/>
    <mergeCell ref="G62:I62"/>
    <mergeCell ref="G63:I63"/>
    <mergeCell ref="F29:F30"/>
    <mergeCell ref="F32:F37"/>
    <mergeCell ref="F38:F39"/>
    <mergeCell ref="F41:F46"/>
    <mergeCell ref="F47:F48"/>
    <mergeCell ref="K50:K55"/>
    <mergeCell ref="K56:K57"/>
    <mergeCell ref="C57:D57"/>
    <mergeCell ref="A60:D60"/>
    <mergeCell ref="B61:D61"/>
    <mergeCell ref="B62:D62"/>
    <mergeCell ref="B63:D63"/>
    <mergeCell ref="A32:A37"/>
    <mergeCell ref="A38:A39"/>
    <mergeCell ref="A41:A46"/>
    <mergeCell ref="A47:A48"/>
    <mergeCell ref="C48:D48"/>
    <mergeCell ref="A50:A55"/>
    <mergeCell ref="A56:A57"/>
    <mergeCell ref="L61:N61"/>
    <mergeCell ref="L62:N62"/>
    <mergeCell ref="L63:N63"/>
    <mergeCell ref="P50:P55"/>
    <mergeCell ref="P56:P57"/>
    <mergeCell ref="M57:N57"/>
    <mergeCell ref="R57:S57"/>
    <mergeCell ref="K60:N60"/>
    <mergeCell ref="P60:S60"/>
    <mergeCell ref="Q61:S61"/>
    <mergeCell ref="K38:K39"/>
    <mergeCell ref="C39:D39"/>
    <mergeCell ref="A20:A21"/>
    <mergeCell ref="A23:A28"/>
    <mergeCell ref="K23:K28"/>
    <mergeCell ref="A29:A30"/>
    <mergeCell ref="K29:K30"/>
    <mergeCell ref="C30:D30"/>
    <mergeCell ref="K32:K37"/>
    <mergeCell ref="R39:S39"/>
    <mergeCell ref="W39:X39"/>
    <mergeCell ref="AB39:AC39"/>
    <mergeCell ref="H30:I30"/>
    <mergeCell ref="M30:N30"/>
    <mergeCell ref="P32:P37"/>
    <mergeCell ref="U32:U37"/>
    <mergeCell ref="Z32:Z37"/>
    <mergeCell ref="U38:U39"/>
    <mergeCell ref="Z38:Z39"/>
    <mergeCell ref="Z41:Z46"/>
    <mergeCell ref="Z47:Z48"/>
    <mergeCell ref="W48:X48"/>
    <mergeCell ref="AB48:AC48"/>
    <mergeCell ref="U50:U55"/>
    <mergeCell ref="Z50:Z55"/>
    <mergeCell ref="U56:U57"/>
    <mergeCell ref="AB57:AC57"/>
    <mergeCell ref="Q62:S62"/>
    <mergeCell ref="Q63:S63"/>
    <mergeCell ref="V62:X62"/>
    <mergeCell ref="V63:X63"/>
    <mergeCell ref="Z56:Z57"/>
    <mergeCell ref="W57:X57"/>
    <mergeCell ref="U60:X60"/>
    <mergeCell ref="Z60:AC60"/>
    <mergeCell ref="V61:X61"/>
    <mergeCell ref="AA61:AC61"/>
    <mergeCell ref="AA62:AC62"/>
    <mergeCell ref="AA63:AC6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3">
      <c r="B3" s="331" t="s">
        <v>304</v>
      </c>
    </row>
    <row r="4">
      <c r="B4" s="332" t="s">
        <v>117</v>
      </c>
      <c r="C4" s="202" t="s">
        <v>305</v>
      </c>
      <c r="D4" s="333">
        <v>0.1</v>
      </c>
      <c r="E4" s="202" t="s">
        <v>306</v>
      </c>
      <c r="F4" s="202" t="s">
        <v>182</v>
      </c>
    </row>
    <row r="5">
      <c r="B5" s="332" t="s">
        <v>118</v>
      </c>
      <c r="C5" s="202" t="s">
        <v>307</v>
      </c>
      <c r="D5" s="333">
        <v>0.1</v>
      </c>
      <c r="E5" s="202" t="s">
        <v>308</v>
      </c>
      <c r="F5" s="202" t="s">
        <v>184</v>
      </c>
    </row>
  </sheetData>
  <mergeCells count="1">
    <mergeCell ref="B3:F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 t="s">
        <v>309</v>
      </c>
      <c r="C1" s="2" t="s">
        <v>310</v>
      </c>
      <c r="D1" s="2" t="s">
        <v>311</v>
      </c>
      <c r="E1" s="2" t="s">
        <v>312</v>
      </c>
      <c r="F1" s="2" t="s">
        <v>313</v>
      </c>
      <c r="G1" s="2" t="s">
        <v>314</v>
      </c>
      <c r="H1" s="2" t="s">
        <v>315</v>
      </c>
    </row>
    <row r="2">
      <c r="A2" s="9" t="s">
        <v>10</v>
      </c>
      <c r="B2" s="10" t="s">
        <v>316</v>
      </c>
      <c r="C2" s="10"/>
      <c r="D2" s="11"/>
      <c r="E2" s="11"/>
      <c r="F2" s="10"/>
      <c r="G2" s="10"/>
      <c r="H2" s="11"/>
    </row>
    <row r="3">
      <c r="A3" s="9" t="s">
        <v>12</v>
      </c>
      <c r="B3" s="13"/>
      <c r="C3" s="13"/>
      <c r="D3" s="11"/>
      <c r="E3" s="334"/>
      <c r="F3" s="10"/>
      <c r="G3" s="10"/>
      <c r="H3" s="11"/>
    </row>
    <row r="4">
      <c r="A4" s="314" t="s">
        <v>276</v>
      </c>
      <c r="B4" s="10"/>
      <c r="C4" s="10"/>
      <c r="D4" s="11"/>
      <c r="E4" s="11"/>
      <c r="F4" s="10"/>
      <c r="G4" s="10"/>
      <c r="H4" s="11"/>
    </row>
    <row r="5">
      <c r="A5" s="9" t="s">
        <v>15</v>
      </c>
      <c r="B5" s="13"/>
      <c r="C5" s="13"/>
      <c r="D5" s="11"/>
      <c r="E5" s="11"/>
      <c r="F5" s="13"/>
      <c r="G5" s="13"/>
      <c r="H5" s="11"/>
    </row>
    <row r="6">
      <c r="A6" s="9" t="s">
        <v>17</v>
      </c>
      <c r="B6" s="13"/>
      <c r="C6" s="13"/>
      <c r="D6" s="334"/>
      <c r="E6" s="11"/>
      <c r="F6" s="10"/>
      <c r="G6" s="13"/>
      <c r="H6" s="11"/>
    </row>
    <row r="7">
      <c r="A7" s="9" t="s">
        <v>18</v>
      </c>
      <c r="B7" s="13"/>
      <c r="C7" s="13"/>
      <c r="D7" s="11"/>
      <c r="E7" s="11"/>
      <c r="F7" s="10"/>
      <c r="G7" s="13"/>
      <c r="H7" s="11"/>
    </row>
    <row r="8">
      <c r="A8" s="9" t="s">
        <v>19</v>
      </c>
      <c r="B8" s="13"/>
      <c r="C8" s="335"/>
      <c r="D8" s="11"/>
      <c r="E8" s="11"/>
      <c r="F8" s="10"/>
      <c r="G8" s="10"/>
      <c r="H8" s="334"/>
    </row>
    <row r="9">
      <c r="A9" s="26" t="s">
        <v>21</v>
      </c>
      <c r="B9" s="10"/>
      <c r="C9" s="10"/>
      <c r="D9" s="11"/>
      <c r="E9" s="11"/>
      <c r="F9" s="10"/>
      <c r="G9" s="10"/>
      <c r="H9" s="11"/>
    </row>
    <row r="15">
      <c r="A15" s="78" t="s">
        <v>317</v>
      </c>
    </row>
    <row r="16">
      <c r="A16" s="78" t="s">
        <v>234</v>
      </c>
    </row>
    <row r="17">
      <c r="A17" s="78" t="s">
        <v>318</v>
      </c>
    </row>
    <row r="18">
      <c r="A18" s="78" t="s">
        <v>319</v>
      </c>
    </row>
    <row r="19">
      <c r="A19" s="78" t="s">
        <v>320</v>
      </c>
    </row>
    <row r="20">
      <c r="A20" s="78" t="s">
        <v>321</v>
      </c>
    </row>
    <row r="21">
      <c r="A21" s="78" t="s">
        <v>322</v>
      </c>
    </row>
  </sheetData>
  <drawing r:id="rId1"/>
</worksheet>
</file>